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rhids\Documents\MY REPUBLIC\KOTAMOBAGU\TOSCA\2. As Plan Drawing\APD - KELURAHAN POYOWA BESAR SATU KOTAMOBAGU\"/>
    </mc:Choice>
  </mc:AlternateContent>
  <xr:revisionPtr revIDLastSave="0" documentId="13_ncr:1_{72A57BFB-EB1B-43F0-BC8B-66B511D692CE}" xr6:coauthVersionLast="47" xr6:coauthVersionMax="47" xr10:uidLastSave="{00000000-0000-0000-0000-000000000000}"/>
  <bookViews>
    <workbookView xWindow="-108" yWindow="-108" windowWidth="23256" windowHeight="12456" tabRatio="614" xr2:uid="{00000000-000D-0000-FFFF-FFFF00000000}"/>
  </bookViews>
  <sheets>
    <sheet name="FDT 1" sheetId="18" r:id="rId1"/>
    <sheet name="FDT 2" sheetId="20" r:id="rId2"/>
  </sheets>
  <definedNames>
    <definedName name="_xlnm._FilterDatabase" localSheetId="0" hidden="1">'FDT 1'!$A$8:$BE$8</definedName>
    <definedName name="_xlnm._FilterDatabase" localSheetId="1" hidden="1">'FDT 2'!$A$8:$BE$8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1" i="20" l="1"/>
  <c r="J321" i="20"/>
  <c r="K321" i="20"/>
  <c r="L321" i="20"/>
  <c r="M321" i="20"/>
  <c r="Z321" i="20"/>
  <c r="AD321" i="20"/>
  <c r="AR321" i="20"/>
  <c r="AS321" i="20"/>
  <c r="AT321" i="20"/>
  <c r="BE321" i="20"/>
  <c r="AT405" i="20" l="1"/>
  <c r="AT389" i="20"/>
  <c r="AT374" i="20"/>
  <c r="AT362" i="20"/>
  <c r="AT349" i="20"/>
  <c r="AT334" i="20"/>
  <c r="AT322" i="20"/>
  <c r="AT307" i="20"/>
  <c r="AT291" i="20"/>
  <c r="AT275" i="20"/>
  <c r="AT264" i="20"/>
  <c r="AT254" i="20"/>
  <c r="AT243" i="20"/>
  <c r="AT231" i="20"/>
  <c r="AT215" i="20"/>
  <c r="AT203" i="20"/>
  <c r="AT192" i="20"/>
  <c r="AT176" i="20"/>
  <c r="AT155" i="20"/>
  <c r="AT141" i="20"/>
  <c r="AT125" i="20"/>
  <c r="AT109" i="20"/>
  <c r="AT93" i="20"/>
  <c r="AT82" i="20"/>
  <c r="AT67" i="20"/>
  <c r="AT51" i="20"/>
  <c r="AT35" i="20"/>
  <c r="AT24" i="20"/>
  <c r="AT9" i="20"/>
  <c r="AT389" i="18"/>
  <c r="AT390" i="18" s="1"/>
  <c r="AT391" i="18" s="1"/>
  <c r="AT392" i="18" s="1"/>
  <c r="AT393" i="18" s="1"/>
  <c r="AT394" i="18" s="1"/>
  <c r="AT395" i="18" s="1"/>
  <c r="AT396" i="18" s="1"/>
  <c r="AT397" i="18" s="1"/>
  <c r="AT398" i="18" s="1"/>
  <c r="AT399" i="18" s="1"/>
  <c r="AT400" i="18" s="1"/>
  <c r="AT376" i="18"/>
  <c r="AT360" i="18"/>
  <c r="AT344" i="18"/>
  <c r="AT330" i="18"/>
  <c r="AT318" i="18"/>
  <c r="AT302" i="18"/>
  <c r="AT286" i="18"/>
  <c r="AT270" i="18"/>
  <c r="AT254" i="18"/>
  <c r="AT238" i="18"/>
  <c r="AT222" i="18"/>
  <c r="AT208" i="18"/>
  <c r="AT194" i="18"/>
  <c r="AT178" i="18"/>
  <c r="AT162" i="18"/>
  <c r="AT146" i="18"/>
  <c r="AT130" i="18"/>
  <c r="AT116" i="18"/>
  <c r="AT106" i="18"/>
  <c r="AT97" i="18"/>
  <c r="AT81" i="18"/>
  <c r="AT70" i="18"/>
  <c r="AT54" i="18"/>
  <c r="AT41" i="18"/>
  <c r="AT25" i="18"/>
  <c r="AT9" i="18"/>
  <c r="F345" i="18"/>
  <c r="AJ7" i="18" l="1"/>
  <c r="AK5" i="18" s="1"/>
  <c r="AJ7" i="20"/>
  <c r="AQ5" i="18" s="1"/>
  <c r="AT406" i="20"/>
  <c r="AT407" i="20" s="1"/>
  <c r="AT408" i="20" s="1"/>
  <c r="AD406" i="20"/>
  <c r="AD407" i="20" s="1"/>
  <c r="L406" i="20"/>
  <c r="L407" i="20" s="1"/>
  <c r="L408" i="20" s="1"/>
  <c r="K406" i="20"/>
  <c r="K407" i="20" s="1"/>
  <c r="K408" i="20" s="1"/>
  <c r="J406" i="20"/>
  <c r="J407" i="20" s="1"/>
  <c r="J408" i="20" s="1"/>
  <c r="I406" i="20"/>
  <c r="I407" i="20" s="1"/>
  <c r="I408" i="20" s="1"/>
  <c r="BE405" i="20"/>
  <c r="AT390" i="20"/>
  <c r="AT391" i="20" s="1"/>
  <c r="AT392" i="20" s="1"/>
  <c r="AD390" i="20"/>
  <c r="BE390" i="20" s="1"/>
  <c r="L390" i="20"/>
  <c r="L391" i="20" s="1"/>
  <c r="L392" i="20" s="1"/>
  <c r="K390" i="20"/>
  <c r="K391" i="20" s="1"/>
  <c r="K392" i="20" s="1"/>
  <c r="J390" i="20"/>
  <c r="J391" i="20" s="1"/>
  <c r="J392" i="20" s="1"/>
  <c r="I390" i="20"/>
  <c r="I391" i="20" s="1"/>
  <c r="I392" i="20" s="1"/>
  <c r="BE389" i="20"/>
  <c r="AT375" i="20"/>
  <c r="AT376" i="20" s="1"/>
  <c r="AT377" i="20" s="1"/>
  <c r="AD375" i="20"/>
  <c r="BE375" i="20" s="1"/>
  <c r="L375" i="20"/>
  <c r="L376" i="20" s="1"/>
  <c r="L377" i="20" s="1"/>
  <c r="K375" i="20"/>
  <c r="K376" i="20" s="1"/>
  <c r="K377" i="20" s="1"/>
  <c r="J375" i="20"/>
  <c r="J376" i="20" s="1"/>
  <c r="J377" i="20" s="1"/>
  <c r="I375" i="20"/>
  <c r="I376" i="20" s="1"/>
  <c r="I377" i="20" s="1"/>
  <c r="BE374" i="20"/>
  <c r="AT363" i="20"/>
  <c r="AT364" i="20" s="1"/>
  <c r="AT365" i="20" s="1"/>
  <c r="AT366" i="20" s="1"/>
  <c r="AT367" i="20" s="1"/>
  <c r="AT368" i="20" s="1"/>
  <c r="AT369" i="20" s="1"/>
  <c r="AT370" i="20" s="1"/>
  <c r="AD363" i="20"/>
  <c r="AD364" i="20" s="1"/>
  <c r="L363" i="20"/>
  <c r="L364" i="20" s="1"/>
  <c r="L365" i="20" s="1"/>
  <c r="L366" i="20" s="1"/>
  <c r="L367" i="20" s="1"/>
  <c r="L368" i="20" s="1"/>
  <c r="L369" i="20" s="1"/>
  <c r="L370" i="20" s="1"/>
  <c r="L371" i="20" s="1"/>
  <c r="L372" i="20" s="1"/>
  <c r="L373" i="20" s="1"/>
  <c r="K363" i="20"/>
  <c r="K364" i="20" s="1"/>
  <c r="K365" i="20" s="1"/>
  <c r="K366" i="20" s="1"/>
  <c r="K367" i="20" s="1"/>
  <c r="K368" i="20" s="1"/>
  <c r="K369" i="20" s="1"/>
  <c r="K370" i="20" s="1"/>
  <c r="K371" i="20" s="1"/>
  <c r="K372" i="20" s="1"/>
  <c r="K373" i="20" s="1"/>
  <c r="J363" i="20"/>
  <c r="J364" i="20" s="1"/>
  <c r="J365" i="20" s="1"/>
  <c r="J366" i="20" s="1"/>
  <c r="J367" i="20" s="1"/>
  <c r="J368" i="20" s="1"/>
  <c r="J369" i="20" s="1"/>
  <c r="J370" i="20" s="1"/>
  <c r="J371" i="20" s="1"/>
  <c r="J372" i="20" s="1"/>
  <c r="J373" i="20" s="1"/>
  <c r="I363" i="20"/>
  <c r="I364" i="20" s="1"/>
  <c r="I365" i="20" s="1"/>
  <c r="I366" i="20" s="1"/>
  <c r="I367" i="20" s="1"/>
  <c r="I368" i="20" s="1"/>
  <c r="I369" i="20" s="1"/>
  <c r="I370" i="20" s="1"/>
  <c r="I371" i="20" s="1"/>
  <c r="I372" i="20" s="1"/>
  <c r="I373" i="20" s="1"/>
  <c r="BE362" i="20"/>
  <c r="AT350" i="20"/>
  <c r="AT351" i="20" s="1"/>
  <c r="AT352" i="20" s="1"/>
  <c r="AT353" i="20" s="1"/>
  <c r="AT355" i="20" s="1"/>
  <c r="AT356" i="20" s="1"/>
  <c r="AT357" i="20" s="1"/>
  <c r="AT358" i="20" s="1"/>
  <c r="AT359" i="20" s="1"/>
  <c r="AT360" i="20" s="1"/>
  <c r="AT361" i="20" s="1"/>
  <c r="AD350" i="20"/>
  <c r="AD351" i="20" s="1"/>
  <c r="L350" i="20"/>
  <c r="L351" i="20" s="1"/>
  <c r="L352" i="20" s="1"/>
  <c r="L353" i="20" s="1"/>
  <c r="L355" i="20" s="1"/>
  <c r="L356" i="20" s="1"/>
  <c r="L357" i="20" s="1"/>
  <c r="L358" i="20" s="1"/>
  <c r="L359" i="20" s="1"/>
  <c r="L360" i="20" s="1"/>
  <c r="L361" i="20" s="1"/>
  <c r="K350" i="20"/>
  <c r="K351" i="20" s="1"/>
  <c r="K352" i="20" s="1"/>
  <c r="K353" i="20" s="1"/>
  <c r="K355" i="20" s="1"/>
  <c r="K356" i="20" s="1"/>
  <c r="K357" i="20" s="1"/>
  <c r="K358" i="20" s="1"/>
  <c r="K359" i="20" s="1"/>
  <c r="K360" i="20" s="1"/>
  <c r="K361" i="20" s="1"/>
  <c r="J350" i="20"/>
  <c r="J351" i="20" s="1"/>
  <c r="J352" i="20" s="1"/>
  <c r="J353" i="20" s="1"/>
  <c r="J355" i="20" s="1"/>
  <c r="J356" i="20" s="1"/>
  <c r="J357" i="20" s="1"/>
  <c r="J358" i="20" s="1"/>
  <c r="J359" i="20" s="1"/>
  <c r="J360" i="20" s="1"/>
  <c r="J361" i="20" s="1"/>
  <c r="I350" i="20"/>
  <c r="I351" i="20" s="1"/>
  <c r="I352" i="20" s="1"/>
  <c r="I353" i="20" s="1"/>
  <c r="I355" i="20" s="1"/>
  <c r="I356" i="20" s="1"/>
  <c r="I357" i="20" s="1"/>
  <c r="I358" i="20" s="1"/>
  <c r="I359" i="20" s="1"/>
  <c r="I360" i="20" s="1"/>
  <c r="I361" i="20" s="1"/>
  <c r="BE349" i="20"/>
  <c r="AT335" i="20"/>
  <c r="AT336" i="20" s="1"/>
  <c r="AT337" i="20" s="1"/>
  <c r="AD335" i="20"/>
  <c r="AD336" i="20" s="1"/>
  <c r="L335" i="20"/>
  <c r="L336" i="20" s="1"/>
  <c r="L337" i="20" s="1"/>
  <c r="K335" i="20"/>
  <c r="K336" i="20" s="1"/>
  <c r="K337" i="20" s="1"/>
  <c r="K341" i="20" s="1"/>
  <c r="K342" i="20" s="1"/>
  <c r="K343" i="20" s="1"/>
  <c r="K344" i="20" s="1"/>
  <c r="K345" i="20" s="1"/>
  <c r="K346" i="20" s="1"/>
  <c r="K347" i="20" s="1"/>
  <c r="K348" i="20" s="1"/>
  <c r="J335" i="20"/>
  <c r="J336" i="20" s="1"/>
  <c r="J337" i="20" s="1"/>
  <c r="J341" i="20" s="1"/>
  <c r="J342" i="20" s="1"/>
  <c r="J343" i="20" s="1"/>
  <c r="J344" i="20" s="1"/>
  <c r="J345" i="20" s="1"/>
  <c r="J346" i="20" s="1"/>
  <c r="J347" i="20" s="1"/>
  <c r="J348" i="20" s="1"/>
  <c r="I335" i="20"/>
  <c r="I336" i="20" s="1"/>
  <c r="I337" i="20" s="1"/>
  <c r="I341" i="20" s="1"/>
  <c r="I342" i="20" s="1"/>
  <c r="I343" i="20" s="1"/>
  <c r="I344" i="20" s="1"/>
  <c r="I345" i="20" s="1"/>
  <c r="I346" i="20" s="1"/>
  <c r="I347" i="20" s="1"/>
  <c r="I348" i="20" s="1"/>
  <c r="BE334" i="20"/>
  <c r="AT323" i="20"/>
  <c r="AT324" i="20" s="1"/>
  <c r="AT325" i="20" s="1"/>
  <c r="AT326" i="20" s="1"/>
  <c r="AT327" i="20" s="1"/>
  <c r="AT330" i="20" s="1"/>
  <c r="AT331" i="20" s="1"/>
  <c r="AT332" i="20" s="1"/>
  <c r="AT333" i="20" s="1"/>
  <c r="AD323" i="20"/>
  <c r="BE323" i="20" s="1"/>
  <c r="L323" i="20"/>
  <c r="L324" i="20" s="1"/>
  <c r="L325" i="20" s="1"/>
  <c r="L326" i="20" s="1"/>
  <c r="L327" i="20" s="1"/>
  <c r="K323" i="20"/>
  <c r="K324" i="20" s="1"/>
  <c r="K325" i="20" s="1"/>
  <c r="K326" i="20" s="1"/>
  <c r="K327" i="20" s="1"/>
  <c r="J323" i="20"/>
  <c r="J324" i="20" s="1"/>
  <c r="J325" i="20" s="1"/>
  <c r="J326" i="20" s="1"/>
  <c r="J327" i="20" s="1"/>
  <c r="I323" i="20"/>
  <c r="I324" i="20" s="1"/>
  <c r="I325" i="20" s="1"/>
  <c r="I326" i="20" s="1"/>
  <c r="I327" i="20" s="1"/>
  <c r="BE322" i="20"/>
  <c r="AT308" i="20"/>
  <c r="AT309" i="20" s="1"/>
  <c r="AT310" i="20" s="1"/>
  <c r="AT311" i="20" s="1"/>
  <c r="AT312" i="20" s="1"/>
  <c r="AT313" i="20" s="1"/>
  <c r="AT314" i="20" s="1"/>
  <c r="AT315" i="20" s="1"/>
  <c r="AT316" i="20" s="1"/>
  <c r="AT317" i="20" s="1"/>
  <c r="AT318" i="20" s="1"/>
  <c r="AT319" i="20" s="1"/>
  <c r="AT320" i="20" s="1"/>
  <c r="AD308" i="20"/>
  <c r="AD309" i="20" s="1"/>
  <c r="AD310" i="20" s="1"/>
  <c r="L308" i="20"/>
  <c r="L309" i="20" s="1"/>
  <c r="L310" i="20" s="1"/>
  <c r="L311" i="20" s="1"/>
  <c r="L312" i="20" s="1"/>
  <c r="L313" i="20" s="1"/>
  <c r="L314" i="20" s="1"/>
  <c r="L315" i="20" s="1"/>
  <c r="L316" i="20" s="1"/>
  <c r="L317" i="20" s="1"/>
  <c r="L318" i="20" s="1"/>
  <c r="L319" i="20" s="1"/>
  <c r="L320" i="20" s="1"/>
  <c r="K308" i="20"/>
  <c r="K309" i="20" s="1"/>
  <c r="K310" i="20" s="1"/>
  <c r="K311" i="20" s="1"/>
  <c r="K312" i="20" s="1"/>
  <c r="K313" i="20" s="1"/>
  <c r="K314" i="20" s="1"/>
  <c r="K315" i="20" s="1"/>
  <c r="K316" i="20" s="1"/>
  <c r="K317" i="20" s="1"/>
  <c r="K318" i="20" s="1"/>
  <c r="K319" i="20" s="1"/>
  <c r="K320" i="20" s="1"/>
  <c r="J308" i="20"/>
  <c r="J309" i="20" s="1"/>
  <c r="J310" i="20" s="1"/>
  <c r="J311" i="20" s="1"/>
  <c r="J312" i="20" s="1"/>
  <c r="J313" i="20" s="1"/>
  <c r="J314" i="20" s="1"/>
  <c r="J315" i="20" s="1"/>
  <c r="J316" i="20" s="1"/>
  <c r="J317" i="20" s="1"/>
  <c r="J318" i="20" s="1"/>
  <c r="J319" i="20" s="1"/>
  <c r="J320" i="20" s="1"/>
  <c r="I308" i="20"/>
  <c r="I309" i="20" s="1"/>
  <c r="I310" i="20" s="1"/>
  <c r="I311" i="20" s="1"/>
  <c r="I312" i="20" s="1"/>
  <c r="I313" i="20" s="1"/>
  <c r="I314" i="20" s="1"/>
  <c r="I315" i="20" s="1"/>
  <c r="I316" i="20" s="1"/>
  <c r="I317" i="20" s="1"/>
  <c r="I318" i="20" s="1"/>
  <c r="I319" i="20" s="1"/>
  <c r="I320" i="20" s="1"/>
  <c r="BE307" i="20"/>
  <c r="AT292" i="20"/>
  <c r="AT293" i="20" s="1"/>
  <c r="AT302" i="20" s="1"/>
  <c r="AT303" i="20" s="1"/>
  <c r="AT304" i="20" s="1"/>
  <c r="AT305" i="20" s="1"/>
  <c r="AT306" i="20" s="1"/>
  <c r="AD292" i="20"/>
  <c r="AD293" i="20" s="1"/>
  <c r="L292" i="20"/>
  <c r="L293" i="20" s="1"/>
  <c r="K292" i="20"/>
  <c r="K293" i="20" s="1"/>
  <c r="K294" i="20" s="1"/>
  <c r="K295" i="20" s="1"/>
  <c r="K296" i="20" s="1"/>
  <c r="K297" i="20" s="1"/>
  <c r="K298" i="20" s="1"/>
  <c r="K299" i="20" s="1"/>
  <c r="K300" i="20" s="1"/>
  <c r="K301" i="20" s="1"/>
  <c r="J292" i="20"/>
  <c r="J293" i="20" s="1"/>
  <c r="J294" i="20" s="1"/>
  <c r="J295" i="20" s="1"/>
  <c r="J296" i="20" s="1"/>
  <c r="J297" i="20" s="1"/>
  <c r="J298" i="20" s="1"/>
  <c r="J299" i="20" s="1"/>
  <c r="J300" i="20" s="1"/>
  <c r="J301" i="20" s="1"/>
  <c r="I292" i="20"/>
  <c r="I293" i="20" s="1"/>
  <c r="BE291" i="20"/>
  <c r="AT276" i="20"/>
  <c r="AT277" i="20" s="1"/>
  <c r="AD276" i="20"/>
  <c r="AD277" i="20" s="1"/>
  <c r="L276" i="20"/>
  <c r="L277" i="20" s="1"/>
  <c r="K276" i="20"/>
  <c r="K277" i="20" s="1"/>
  <c r="K278" i="20" s="1"/>
  <c r="K279" i="20" s="1"/>
  <c r="K280" i="20" s="1"/>
  <c r="K281" i="20" s="1"/>
  <c r="K282" i="20" s="1"/>
  <c r="K283" i="20" s="1"/>
  <c r="J276" i="20"/>
  <c r="J277" i="20" s="1"/>
  <c r="J278" i="20" s="1"/>
  <c r="J279" i="20" s="1"/>
  <c r="J280" i="20" s="1"/>
  <c r="J281" i="20" s="1"/>
  <c r="J282" i="20" s="1"/>
  <c r="J283" i="20" s="1"/>
  <c r="I276" i="20"/>
  <c r="I277" i="20" s="1"/>
  <c r="BE275" i="20"/>
  <c r="AT265" i="20"/>
  <c r="AT266" i="20" s="1"/>
  <c r="AT267" i="20" s="1"/>
  <c r="AT268" i="20" s="1"/>
  <c r="AT269" i="20" s="1"/>
  <c r="AT270" i="20" s="1"/>
  <c r="AT271" i="20" s="1"/>
  <c r="AT272" i="20" s="1"/>
  <c r="AT273" i="20" s="1"/>
  <c r="AT274" i="20" s="1"/>
  <c r="AD265" i="20"/>
  <c r="BE265" i="20" s="1"/>
  <c r="L265" i="20"/>
  <c r="L266" i="20" s="1"/>
  <c r="L267" i="20" s="1"/>
  <c r="L268" i="20" s="1"/>
  <c r="L269" i="20" s="1"/>
  <c r="L270" i="20" s="1"/>
  <c r="L271" i="20" s="1"/>
  <c r="L272" i="20" s="1"/>
  <c r="L273" i="20" s="1"/>
  <c r="L274" i="20" s="1"/>
  <c r="K265" i="20"/>
  <c r="K266" i="20" s="1"/>
  <c r="K267" i="20" s="1"/>
  <c r="K268" i="20" s="1"/>
  <c r="K269" i="20" s="1"/>
  <c r="K270" i="20" s="1"/>
  <c r="K271" i="20" s="1"/>
  <c r="K272" i="20" s="1"/>
  <c r="K273" i="20" s="1"/>
  <c r="K274" i="20" s="1"/>
  <c r="J265" i="20"/>
  <c r="J266" i="20" s="1"/>
  <c r="J267" i="20" s="1"/>
  <c r="J268" i="20" s="1"/>
  <c r="J269" i="20" s="1"/>
  <c r="J270" i="20" s="1"/>
  <c r="J271" i="20" s="1"/>
  <c r="J272" i="20" s="1"/>
  <c r="J273" i="20" s="1"/>
  <c r="J274" i="20" s="1"/>
  <c r="I265" i="20"/>
  <c r="I266" i="20" s="1"/>
  <c r="I267" i="20" s="1"/>
  <c r="I268" i="20" s="1"/>
  <c r="I269" i="20" s="1"/>
  <c r="I270" i="20" s="1"/>
  <c r="I271" i="20" s="1"/>
  <c r="I272" i="20" s="1"/>
  <c r="I273" i="20" s="1"/>
  <c r="I274" i="20" s="1"/>
  <c r="BE264" i="20"/>
  <c r="AT255" i="20"/>
  <c r="AT256" i="20" s="1"/>
  <c r="AT257" i="20" s="1"/>
  <c r="AT258" i="20" s="1"/>
  <c r="AT259" i="20" s="1"/>
  <c r="AT260" i="20" s="1"/>
  <c r="AT261" i="20" s="1"/>
  <c r="AT262" i="20" s="1"/>
  <c r="AT263" i="20" s="1"/>
  <c r="AD255" i="20"/>
  <c r="AD256" i="20" s="1"/>
  <c r="L255" i="20"/>
  <c r="L256" i="20" s="1"/>
  <c r="L257" i="20" s="1"/>
  <c r="L258" i="20" s="1"/>
  <c r="L259" i="20" s="1"/>
  <c r="L260" i="20" s="1"/>
  <c r="L261" i="20" s="1"/>
  <c r="L262" i="20" s="1"/>
  <c r="L263" i="20" s="1"/>
  <c r="K255" i="20"/>
  <c r="K256" i="20" s="1"/>
  <c r="K257" i="20" s="1"/>
  <c r="K258" i="20" s="1"/>
  <c r="K259" i="20" s="1"/>
  <c r="K260" i="20" s="1"/>
  <c r="K261" i="20" s="1"/>
  <c r="K262" i="20" s="1"/>
  <c r="K263" i="20" s="1"/>
  <c r="J255" i="20"/>
  <c r="J256" i="20" s="1"/>
  <c r="J257" i="20" s="1"/>
  <c r="J258" i="20" s="1"/>
  <c r="J259" i="20" s="1"/>
  <c r="J260" i="20" s="1"/>
  <c r="J261" i="20" s="1"/>
  <c r="J262" i="20" s="1"/>
  <c r="J263" i="20" s="1"/>
  <c r="I255" i="20"/>
  <c r="I256" i="20" s="1"/>
  <c r="I257" i="20" s="1"/>
  <c r="I258" i="20" s="1"/>
  <c r="I259" i="20" s="1"/>
  <c r="I260" i="20" s="1"/>
  <c r="I261" i="20" s="1"/>
  <c r="I262" i="20" s="1"/>
  <c r="I263" i="20" s="1"/>
  <c r="BE254" i="20"/>
  <c r="AT244" i="20"/>
  <c r="AT245" i="20" s="1"/>
  <c r="AT246" i="20" s="1"/>
  <c r="AT247" i="20" s="1"/>
  <c r="AD244" i="20"/>
  <c r="AD245" i="20" s="1"/>
  <c r="L244" i="20"/>
  <c r="L245" i="20" s="1"/>
  <c r="L246" i="20" s="1"/>
  <c r="L247" i="20" s="1"/>
  <c r="K244" i="20"/>
  <c r="K245" i="20" s="1"/>
  <c r="K246" i="20" s="1"/>
  <c r="K247" i="20" s="1"/>
  <c r="J244" i="20"/>
  <c r="J245" i="20" s="1"/>
  <c r="J246" i="20" s="1"/>
  <c r="J247" i="20" s="1"/>
  <c r="I244" i="20"/>
  <c r="I245" i="20" s="1"/>
  <c r="I246" i="20" s="1"/>
  <c r="I247" i="20" s="1"/>
  <c r="BE243" i="20"/>
  <c r="AT232" i="20"/>
  <c r="AT233" i="20" s="1"/>
  <c r="AT234" i="20" s="1"/>
  <c r="AT235" i="20" s="1"/>
  <c r="AT236" i="20" s="1"/>
  <c r="AT237" i="20" s="1"/>
  <c r="AT238" i="20" s="1"/>
  <c r="AT239" i="20" s="1"/>
  <c r="AT240" i="20" s="1"/>
  <c r="AT241" i="20" s="1"/>
  <c r="AT242" i="20" s="1"/>
  <c r="AD232" i="20"/>
  <c r="L232" i="20"/>
  <c r="L233" i="20" s="1"/>
  <c r="L234" i="20" s="1"/>
  <c r="L235" i="20" s="1"/>
  <c r="L236" i="20" s="1"/>
  <c r="L237" i="20" s="1"/>
  <c r="L238" i="20" s="1"/>
  <c r="L239" i="20" s="1"/>
  <c r="L240" i="20" s="1"/>
  <c r="L241" i="20" s="1"/>
  <c r="L242" i="20" s="1"/>
  <c r="K232" i="20"/>
  <c r="K233" i="20" s="1"/>
  <c r="K234" i="20" s="1"/>
  <c r="K235" i="20" s="1"/>
  <c r="K236" i="20" s="1"/>
  <c r="K237" i="20" s="1"/>
  <c r="K238" i="20" s="1"/>
  <c r="K239" i="20" s="1"/>
  <c r="K240" i="20" s="1"/>
  <c r="K241" i="20" s="1"/>
  <c r="K242" i="20" s="1"/>
  <c r="J232" i="20"/>
  <c r="J233" i="20" s="1"/>
  <c r="J234" i="20" s="1"/>
  <c r="J235" i="20" s="1"/>
  <c r="J236" i="20" s="1"/>
  <c r="J237" i="20" s="1"/>
  <c r="J238" i="20" s="1"/>
  <c r="J239" i="20" s="1"/>
  <c r="J240" i="20" s="1"/>
  <c r="J241" i="20" s="1"/>
  <c r="J242" i="20" s="1"/>
  <c r="I232" i="20"/>
  <c r="I233" i="20" s="1"/>
  <c r="I234" i="20" s="1"/>
  <c r="I235" i="20" s="1"/>
  <c r="I236" i="20" s="1"/>
  <c r="I237" i="20" s="1"/>
  <c r="I238" i="20" s="1"/>
  <c r="I239" i="20" s="1"/>
  <c r="I240" i="20" s="1"/>
  <c r="I241" i="20" s="1"/>
  <c r="I242" i="20" s="1"/>
  <c r="BE231" i="20"/>
  <c r="AT216" i="20"/>
  <c r="AT217" i="20" s="1"/>
  <c r="AT218" i="20" s="1"/>
  <c r="AT219" i="20" s="1"/>
  <c r="AT220" i="20" s="1"/>
  <c r="AT221" i="20" s="1"/>
  <c r="AT222" i="20" s="1"/>
  <c r="AT223" i="20" s="1"/>
  <c r="AT224" i="20" s="1"/>
  <c r="AT225" i="20" s="1"/>
  <c r="AT226" i="20" s="1"/>
  <c r="AT227" i="20" s="1"/>
  <c r="AT228" i="20" s="1"/>
  <c r="AT229" i="20" s="1"/>
  <c r="AT230" i="20" s="1"/>
  <c r="AD216" i="20"/>
  <c r="L216" i="20"/>
  <c r="L217" i="20" s="1"/>
  <c r="L218" i="20" s="1"/>
  <c r="L219" i="20" s="1"/>
  <c r="L220" i="20" s="1"/>
  <c r="L221" i="20" s="1"/>
  <c r="L222" i="20" s="1"/>
  <c r="L223" i="20" s="1"/>
  <c r="L224" i="20" s="1"/>
  <c r="L225" i="20" s="1"/>
  <c r="L226" i="20" s="1"/>
  <c r="L227" i="20" s="1"/>
  <c r="L228" i="20" s="1"/>
  <c r="L229" i="20" s="1"/>
  <c r="L230" i="20" s="1"/>
  <c r="K216" i="20"/>
  <c r="K217" i="20" s="1"/>
  <c r="K218" i="20" s="1"/>
  <c r="K219" i="20" s="1"/>
  <c r="K220" i="20" s="1"/>
  <c r="K221" i="20" s="1"/>
  <c r="K222" i="20" s="1"/>
  <c r="K223" i="20" s="1"/>
  <c r="K224" i="20" s="1"/>
  <c r="K225" i="20" s="1"/>
  <c r="K226" i="20" s="1"/>
  <c r="K227" i="20" s="1"/>
  <c r="K228" i="20" s="1"/>
  <c r="K229" i="20" s="1"/>
  <c r="K230" i="20" s="1"/>
  <c r="J216" i="20"/>
  <c r="J217" i="20" s="1"/>
  <c r="J218" i="20" s="1"/>
  <c r="J219" i="20" s="1"/>
  <c r="J220" i="20" s="1"/>
  <c r="J221" i="20" s="1"/>
  <c r="J222" i="20" s="1"/>
  <c r="J223" i="20" s="1"/>
  <c r="J224" i="20" s="1"/>
  <c r="J225" i="20" s="1"/>
  <c r="J226" i="20" s="1"/>
  <c r="J227" i="20" s="1"/>
  <c r="J228" i="20" s="1"/>
  <c r="J229" i="20" s="1"/>
  <c r="J230" i="20" s="1"/>
  <c r="I216" i="20"/>
  <c r="I217" i="20" s="1"/>
  <c r="I218" i="20" s="1"/>
  <c r="I219" i="20" s="1"/>
  <c r="I220" i="20" s="1"/>
  <c r="I221" i="20" s="1"/>
  <c r="I222" i="20" s="1"/>
  <c r="I223" i="20" s="1"/>
  <c r="I224" i="20" s="1"/>
  <c r="I225" i="20" s="1"/>
  <c r="I226" i="20" s="1"/>
  <c r="I227" i="20" s="1"/>
  <c r="I228" i="20" s="1"/>
  <c r="I229" i="20" s="1"/>
  <c r="I230" i="20" s="1"/>
  <c r="BE215" i="20"/>
  <c r="AT204" i="20"/>
  <c r="AT205" i="20" s="1"/>
  <c r="AT206" i="20" s="1"/>
  <c r="AT207" i="20" s="1"/>
  <c r="AT208" i="20" s="1"/>
  <c r="AT209" i="20" s="1"/>
  <c r="AT210" i="20" s="1"/>
  <c r="AT211" i="20" s="1"/>
  <c r="AT212" i="20" s="1"/>
  <c r="AT213" i="20" s="1"/>
  <c r="AT214" i="20" s="1"/>
  <c r="AD204" i="20"/>
  <c r="BE204" i="20" s="1"/>
  <c r="L204" i="20"/>
  <c r="L205" i="20" s="1"/>
  <c r="L206" i="20" s="1"/>
  <c r="L207" i="20" s="1"/>
  <c r="L208" i="20" s="1"/>
  <c r="L209" i="20" s="1"/>
  <c r="L210" i="20" s="1"/>
  <c r="L211" i="20" s="1"/>
  <c r="L212" i="20" s="1"/>
  <c r="L213" i="20" s="1"/>
  <c r="L214" i="20" s="1"/>
  <c r="K204" i="20"/>
  <c r="K205" i="20" s="1"/>
  <c r="K206" i="20" s="1"/>
  <c r="K207" i="20" s="1"/>
  <c r="K208" i="20" s="1"/>
  <c r="K209" i="20" s="1"/>
  <c r="K210" i="20" s="1"/>
  <c r="K211" i="20" s="1"/>
  <c r="K212" i="20" s="1"/>
  <c r="K213" i="20" s="1"/>
  <c r="K214" i="20" s="1"/>
  <c r="J204" i="20"/>
  <c r="J205" i="20" s="1"/>
  <c r="J206" i="20" s="1"/>
  <c r="J207" i="20" s="1"/>
  <c r="J208" i="20" s="1"/>
  <c r="J209" i="20" s="1"/>
  <c r="J210" i="20" s="1"/>
  <c r="J211" i="20" s="1"/>
  <c r="J212" i="20" s="1"/>
  <c r="J213" i="20" s="1"/>
  <c r="J214" i="20" s="1"/>
  <c r="I204" i="20"/>
  <c r="I205" i="20" s="1"/>
  <c r="I206" i="20" s="1"/>
  <c r="I207" i="20" s="1"/>
  <c r="I208" i="20" s="1"/>
  <c r="I209" i="20" s="1"/>
  <c r="I210" i="20" s="1"/>
  <c r="I211" i="20" s="1"/>
  <c r="I212" i="20" s="1"/>
  <c r="I213" i="20" s="1"/>
  <c r="I214" i="20" s="1"/>
  <c r="BE203" i="20"/>
  <c r="AD194" i="20"/>
  <c r="BE193" i="20"/>
  <c r="AT193" i="20"/>
  <c r="AT194" i="20" s="1"/>
  <c r="AT195" i="20" s="1"/>
  <c r="AT196" i="20" s="1"/>
  <c r="L193" i="20"/>
  <c r="L194" i="20" s="1"/>
  <c r="L195" i="20" s="1"/>
  <c r="L196" i="20" s="1"/>
  <c r="L197" i="20" s="1"/>
  <c r="L198" i="20" s="1"/>
  <c r="L199" i="20" s="1"/>
  <c r="L200" i="20" s="1"/>
  <c r="L201" i="20" s="1"/>
  <c r="L202" i="20" s="1"/>
  <c r="K193" i="20"/>
  <c r="K194" i="20" s="1"/>
  <c r="K195" i="20" s="1"/>
  <c r="K196" i="20" s="1"/>
  <c r="K197" i="20" s="1"/>
  <c r="K198" i="20" s="1"/>
  <c r="K199" i="20" s="1"/>
  <c r="K200" i="20" s="1"/>
  <c r="K201" i="20" s="1"/>
  <c r="K202" i="20" s="1"/>
  <c r="J193" i="20"/>
  <c r="J194" i="20" s="1"/>
  <c r="J195" i="20" s="1"/>
  <c r="J196" i="20" s="1"/>
  <c r="J197" i="20" s="1"/>
  <c r="J198" i="20" s="1"/>
  <c r="J199" i="20" s="1"/>
  <c r="J200" i="20" s="1"/>
  <c r="J201" i="20" s="1"/>
  <c r="J202" i="20" s="1"/>
  <c r="I193" i="20"/>
  <c r="I194" i="20" s="1"/>
  <c r="I195" i="20" s="1"/>
  <c r="I196" i="20" s="1"/>
  <c r="I197" i="20" s="1"/>
  <c r="I198" i="20" s="1"/>
  <c r="I199" i="20" s="1"/>
  <c r="I200" i="20" s="1"/>
  <c r="I201" i="20" s="1"/>
  <c r="I202" i="20" s="1"/>
  <c r="BE192" i="20"/>
  <c r="AT177" i="20"/>
  <c r="AT178" i="20" s="1"/>
  <c r="AT179" i="20" s="1"/>
  <c r="AT180" i="20" s="1"/>
  <c r="AT181" i="20" s="1"/>
  <c r="AT184" i="20" s="1"/>
  <c r="AT185" i="20" s="1"/>
  <c r="AT186" i="20" s="1"/>
  <c r="AT187" i="20" s="1"/>
  <c r="AT188" i="20" s="1"/>
  <c r="AT189" i="20" s="1"/>
  <c r="AT190" i="20" s="1"/>
  <c r="AT191" i="20" s="1"/>
  <c r="AD177" i="20"/>
  <c r="L177" i="20"/>
  <c r="L178" i="20" s="1"/>
  <c r="L179" i="20" s="1"/>
  <c r="L180" i="20" s="1"/>
  <c r="L181" i="20" s="1"/>
  <c r="L184" i="20" s="1"/>
  <c r="L185" i="20" s="1"/>
  <c r="L186" i="20" s="1"/>
  <c r="L187" i="20" s="1"/>
  <c r="L188" i="20" s="1"/>
  <c r="L189" i="20" s="1"/>
  <c r="L190" i="20" s="1"/>
  <c r="L191" i="20" s="1"/>
  <c r="K177" i="20"/>
  <c r="K178" i="20" s="1"/>
  <c r="K179" i="20" s="1"/>
  <c r="K180" i="20" s="1"/>
  <c r="K181" i="20" s="1"/>
  <c r="K184" i="20" s="1"/>
  <c r="K185" i="20" s="1"/>
  <c r="K186" i="20" s="1"/>
  <c r="K187" i="20" s="1"/>
  <c r="K188" i="20" s="1"/>
  <c r="K189" i="20" s="1"/>
  <c r="K190" i="20" s="1"/>
  <c r="K191" i="20" s="1"/>
  <c r="J177" i="20"/>
  <c r="J178" i="20" s="1"/>
  <c r="J179" i="20" s="1"/>
  <c r="J180" i="20" s="1"/>
  <c r="J181" i="20" s="1"/>
  <c r="J184" i="20" s="1"/>
  <c r="J185" i="20" s="1"/>
  <c r="J186" i="20" s="1"/>
  <c r="J187" i="20" s="1"/>
  <c r="J188" i="20" s="1"/>
  <c r="J189" i="20" s="1"/>
  <c r="J190" i="20" s="1"/>
  <c r="J191" i="20" s="1"/>
  <c r="I177" i="20"/>
  <c r="I178" i="20" s="1"/>
  <c r="I179" i="20" s="1"/>
  <c r="I180" i="20" s="1"/>
  <c r="I181" i="20" s="1"/>
  <c r="I184" i="20" s="1"/>
  <c r="I185" i="20" s="1"/>
  <c r="I186" i="20" s="1"/>
  <c r="I187" i="20" s="1"/>
  <c r="I188" i="20" s="1"/>
  <c r="I189" i="20" s="1"/>
  <c r="I190" i="20" s="1"/>
  <c r="I191" i="20" s="1"/>
  <c r="BE176" i="20"/>
  <c r="AT166" i="20"/>
  <c r="AT167" i="20" s="1"/>
  <c r="AT168" i="20" s="1"/>
  <c r="AT169" i="20" s="1"/>
  <c r="AT171" i="20" s="1"/>
  <c r="AT172" i="20" s="1"/>
  <c r="AT173" i="20" s="1"/>
  <c r="AT174" i="20" s="1"/>
  <c r="AT175" i="20" s="1"/>
  <c r="AD166" i="20"/>
  <c r="AD167" i="20" s="1"/>
  <c r="L166" i="20"/>
  <c r="L167" i="20" s="1"/>
  <c r="L168" i="20" s="1"/>
  <c r="L169" i="20" s="1"/>
  <c r="L171" i="20" s="1"/>
  <c r="L172" i="20" s="1"/>
  <c r="L173" i="20" s="1"/>
  <c r="L174" i="20" s="1"/>
  <c r="L175" i="20" s="1"/>
  <c r="K166" i="20"/>
  <c r="K167" i="20" s="1"/>
  <c r="K168" i="20" s="1"/>
  <c r="K169" i="20" s="1"/>
  <c r="K171" i="20" s="1"/>
  <c r="K172" i="20" s="1"/>
  <c r="K173" i="20" s="1"/>
  <c r="K174" i="20" s="1"/>
  <c r="K175" i="20" s="1"/>
  <c r="J166" i="20"/>
  <c r="J167" i="20" s="1"/>
  <c r="J168" i="20" s="1"/>
  <c r="J169" i="20" s="1"/>
  <c r="J171" i="20" s="1"/>
  <c r="J172" i="20" s="1"/>
  <c r="J173" i="20" s="1"/>
  <c r="J174" i="20" s="1"/>
  <c r="J175" i="20" s="1"/>
  <c r="I166" i="20"/>
  <c r="I167" i="20" s="1"/>
  <c r="I168" i="20" s="1"/>
  <c r="I169" i="20" s="1"/>
  <c r="I171" i="20" s="1"/>
  <c r="I172" i="20" s="1"/>
  <c r="I173" i="20" s="1"/>
  <c r="I174" i="20" s="1"/>
  <c r="I175" i="20" s="1"/>
  <c r="BE165" i="20"/>
  <c r="AT156" i="20"/>
  <c r="AT157" i="20" s="1"/>
  <c r="AT158" i="20" s="1"/>
  <c r="AT159" i="20" s="1"/>
  <c r="AT160" i="20" s="1"/>
  <c r="AT161" i="20" s="1"/>
  <c r="AT162" i="20" s="1"/>
  <c r="AT163" i="20" s="1"/>
  <c r="AT164" i="20" s="1"/>
  <c r="AT165" i="20" s="1"/>
  <c r="AD156" i="20"/>
  <c r="BE156" i="20" s="1"/>
  <c r="L156" i="20"/>
  <c r="L157" i="20" s="1"/>
  <c r="L158" i="20" s="1"/>
  <c r="L159" i="20" s="1"/>
  <c r="L160" i="20" s="1"/>
  <c r="L161" i="20" s="1"/>
  <c r="L162" i="20" s="1"/>
  <c r="L163" i="20" s="1"/>
  <c r="L164" i="20" s="1"/>
  <c r="K156" i="20"/>
  <c r="K157" i="20" s="1"/>
  <c r="K158" i="20" s="1"/>
  <c r="K159" i="20" s="1"/>
  <c r="K160" i="20" s="1"/>
  <c r="K161" i="20" s="1"/>
  <c r="K162" i="20" s="1"/>
  <c r="K163" i="20" s="1"/>
  <c r="K164" i="20" s="1"/>
  <c r="J156" i="20"/>
  <c r="J157" i="20" s="1"/>
  <c r="J158" i="20" s="1"/>
  <c r="J159" i="20" s="1"/>
  <c r="J160" i="20" s="1"/>
  <c r="J161" i="20" s="1"/>
  <c r="J162" i="20" s="1"/>
  <c r="J163" i="20" s="1"/>
  <c r="J164" i="20" s="1"/>
  <c r="I156" i="20"/>
  <c r="I157" i="20" s="1"/>
  <c r="I158" i="20" s="1"/>
  <c r="I159" i="20" s="1"/>
  <c r="I160" i="20" s="1"/>
  <c r="I161" i="20" s="1"/>
  <c r="I162" i="20" s="1"/>
  <c r="I163" i="20" s="1"/>
  <c r="I164" i="20" s="1"/>
  <c r="BE155" i="20"/>
  <c r="AT142" i="20"/>
  <c r="AT143" i="20" s="1"/>
  <c r="AT144" i="20" s="1"/>
  <c r="AT145" i="20" s="1"/>
  <c r="AT146" i="20" s="1"/>
  <c r="AT147" i="20" s="1"/>
  <c r="AT148" i="20" s="1"/>
  <c r="AT149" i="20" s="1"/>
  <c r="AT150" i="20" s="1"/>
  <c r="AT151" i="20" s="1"/>
  <c r="AT152" i="20" s="1"/>
  <c r="AT153" i="20" s="1"/>
  <c r="AT154" i="20" s="1"/>
  <c r="AD142" i="20"/>
  <c r="L142" i="20"/>
  <c r="L143" i="20" s="1"/>
  <c r="L144" i="20" s="1"/>
  <c r="L145" i="20" s="1"/>
  <c r="L146" i="20" s="1"/>
  <c r="L147" i="20" s="1"/>
  <c r="L148" i="20" s="1"/>
  <c r="L149" i="20" s="1"/>
  <c r="L150" i="20" s="1"/>
  <c r="L151" i="20" s="1"/>
  <c r="L152" i="20" s="1"/>
  <c r="L153" i="20" s="1"/>
  <c r="L154" i="20" s="1"/>
  <c r="K142" i="20"/>
  <c r="K143" i="20" s="1"/>
  <c r="K144" i="20" s="1"/>
  <c r="K145" i="20" s="1"/>
  <c r="K146" i="20" s="1"/>
  <c r="K147" i="20" s="1"/>
  <c r="K148" i="20" s="1"/>
  <c r="K149" i="20" s="1"/>
  <c r="K150" i="20" s="1"/>
  <c r="K151" i="20" s="1"/>
  <c r="K152" i="20" s="1"/>
  <c r="K153" i="20" s="1"/>
  <c r="K154" i="20" s="1"/>
  <c r="J142" i="20"/>
  <c r="J143" i="20" s="1"/>
  <c r="J144" i="20" s="1"/>
  <c r="J145" i="20" s="1"/>
  <c r="J146" i="20" s="1"/>
  <c r="J147" i="20" s="1"/>
  <c r="J148" i="20" s="1"/>
  <c r="J149" i="20" s="1"/>
  <c r="J150" i="20" s="1"/>
  <c r="J151" i="20" s="1"/>
  <c r="J152" i="20" s="1"/>
  <c r="J153" i="20" s="1"/>
  <c r="J154" i="20" s="1"/>
  <c r="I142" i="20"/>
  <c r="I143" i="20" s="1"/>
  <c r="I144" i="20" s="1"/>
  <c r="I145" i="20" s="1"/>
  <c r="I146" i="20" s="1"/>
  <c r="I147" i="20" s="1"/>
  <c r="I148" i="20" s="1"/>
  <c r="I149" i="20" s="1"/>
  <c r="I150" i="20" s="1"/>
  <c r="I151" i="20" s="1"/>
  <c r="I152" i="20" s="1"/>
  <c r="I153" i="20" s="1"/>
  <c r="I154" i="20" s="1"/>
  <c r="BE141" i="20"/>
  <c r="AT126" i="20"/>
  <c r="AT127" i="20" s="1"/>
  <c r="AT134" i="20" s="1"/>
  <c r="AT135" i="20" s="1"/>
  <c r="AT136" i="20" s="1"/>
  <c r="AT137" i="20" s="1"/>
  <c r="AT138" i="20" s="1"/>
  <c r="AT139" i="20" s="1"/>
  <c r="AT140" i="20" s="1"/>
  <c r="AD126" i="20"/>
  <c r="BE126" i="20" s="1"/>
  <c r="L126" i="20"/>
  <c r="L127" i="20" s="1"/>
  <c r="L134" i="20" s="1"/>
  <c r="L135" i="20" s="1"/>
  <c r="L136" i="20" s="1"/>
  <c r="L137" i="20" s="1"/>
  <c r="L138" i="20" s="1"/>
  <c r="L139" i="20" s="1"/>
  <c r="L140" i="20" s="1"/>
  <c r="K126" i="20"/>
  <c r="K127" i="20" s="1"/>
  <c r="K134" i="20" s="1"/>
  <c r="K135" i="20" s="1"/>
  <c r="K136" i="20" s="1"/>
  <c r="K137" i="20" s="1"/>
  <c r="K138" i="20" s="1"/>
  <c r="K139" i="20" s="1"/>
  <c r="K140" i="20" s="1"/>
  <c r="J126" i="20"/>
  <c r="J127" i="20" s="1"/>
  <c r="J134" i="20" s="1"/>
  <c r="J135" i="20" s="1"/>
  <c r="J136" i="20" s="1"/>
  <c r="J137" i="20" s="1"/>
  <c r="J138" i="20" s="1"/>
  <c r="J139" i="20" s="1"/>
  <c r="J140" i="20" s="1"/>
  <c r="I126" i="20"/>
  <c r="I127" i="20" s="1"/>
  <c r="I134" i="20" s="1"/>
  <c r="I135" i="20" s="1"/>
  <c r="I136" i="20" s="1"/>
  <c r="I137" i="20" s="1"/>
  <c r="I138" i="20" s="1"/>
  <c r="I139" i="20" s="1"/>
  <c r="I140" i="20" s="1"/>
  <c r="BE125" i="20"/>
  <c r="AT110" i="20"/>
  <c r="AT111" i="20" s="1"/>
  <c r="AT112" i="20" s="1"/>
  <c r="AT113" i="20" s="1"/>
  <c r="AT114" i="20" s="1"/>
  <c r="AT115" i="20" s="1"/>
  <c r="AT116" i="20" s="1"/>
  <c r="AT117" i="20" s="1"/>
  <c r="AT118" i="20" s="1"/>
  <c r="AT119" i="20" s="1"/>
  <c r="AT120" i="20" s="1"/>
  <c r="AT121" i="20" s="1"/>
  <c r="AT122" i="20" s="1"/>
  <c r="AT123" i="20" s="1"/>
  <c r="AT124" i="20" s="1"/>
  <c r="AD110" i="20"/>
  <c r="BE110" i="20" s="1"/>
  <c r="L110" i="20"/>
  <c r="L111" i="20" s="1"/>
  <c r="L112" i="20" s="1"/>
  <c r="L113" i="20" s="1"/>
  <c r="L114" i="20" s="1"/>
  <c r="L115" i="20" s="1"/>
  <c r="L116" i="20" s="1"/>
  <c r="K110" i="20"/>
  <c r="K111" i="20" s="1"/>
  <c r="K112" i="20" s="1"/>
  <c r="K113" i="20" s="1"/>
  <c r="K114" i="20" s="1"/>
  <c r="K115" i="20" s="1"/>
  <c r="K116" i="20" s="1"/>
  <c r="J110" i="20"/>
  <c r="J111" i="20" s="1"/>
  <c r="J112" i="20" s="1"/>
  <c r="J113" i="20" s="1"/>
  <c r="J114" i="20" s="1"/>
  <c r="J115" i="20" s="1"/>
  <c r="J116" i="20" s="1"/>
  <c r="I110" i="20"/>
  <c r="I111" i="20" s="1"/>
  <c r="I112" i="20" s="1"/>
  <c r="I113" i="20" s="1"/>
  <c r="I114" i="20" s="1"/>
  <c r="I115" i="20" s="1"/>
  <c r="I116" i="20" s="1"/>
  <c r="BE109" i="20"/>
  <c r="AT94" i="20"/>
  <c r="AT95" i="20" s="1"/>
  <c r="AT96" i="20" s="1"/>
  <c r="AT97" i="20" s="1"/>
  <c r="AT102" i="20" s="1"/>
  <c r="AT103" i="20" s="1"/>
  <c r="AT104" i="20" s="1"/>
  <c r="AT105" i="20" s="1"/>
  <c r="AT106" i="20" s="1"/>
  <c r="AT107" i="20" s="1"/>
  <c r="AT108" i="20" s="1"/>
  <c r="AD94" i="20"/>
  <c r="L94" i="20"/>
  <c r="L95" i="20" s="1"/>
  <c r="L96" i="20" s="1"/>
  <c r="L97" i="20" s="1"/>
  <c r="L102" i="20" s="1"/>
  <c r="L103" i="20" s="1"/>
  <c r="L104" i="20" s="1"/>
  <c r="L105" i="20" s="1"/>
  <c r="L106" i="20" s="1"/>
  <c r="L107" i="20" s="1"/>
  <c r="L108" i="20" s="1"/>
  <c r="K94" i="20"/>
  <c r="K95" i="20" s="1"/>
  <c r="K96" i="20" s="1"/>
  <c r="K97" i="20" s="1"/>
  <c r="K102" i="20" s="1"/>
  <c r="K103" i="20" s="1"/>
  <c r="K104" i="20" s="1"/>
  <c r="K105" i="20" s="1"/>
  <c r="K106" i="20" s="1"/>
  <c r="K107" i="20" s="1"/>
  <c r="K108" i="20" s="1"/>
  <c r="J94" i="20"/>
  <c r="J95" i="20" s="1"/>
  <c r="J96" i="20" s="1"/>
  <c r="J97" i="20" s="1"/>
  <c r="J102" i="20" s="1"/>
  <c r="J103" i="20" s="1"/>
  <c r="J104" i="20" s="1"/>
  <c r="J105" i="20" s="1"/>
  <c r="J106" i="20" s="1"/>
  <c r="J107" i="20" s="1"/>
  <c r="J108" i="20" s="1"/>
  <c r="I94" i="20"/>
  <c r="I95" i="20" s="1"/>
  <c r="I96" i="20" s="1"/>
  <c r="I97" i="20" s="1"/>
  <c r="I102" i="20" s="1"/>
  <c r="I103" i="20" s="1"/>
  <c r="I104" i="20" s="1"/>
  <c r="I105" i="20" s="1"/>
  <c r="I106" i="20" s="1"/>
  <c r="I107" i="20" s="1"/>
  <c r="I108" i="20" s="1"/>
  <c r="BE93" i="20"/>
  <c r="AT83" i="20"/>
  <c r="AT84" i="20" s="1"/>
  <c r="AT85" i="20" s="1"/>
  <c r="AT86" i="20" s="1"/>
  <c r="AT87" i="20" s="1"/>
  <c r="AT88" i="20" s="1"/>
  <c r="AT89" i="20" s="1"/>
  <c r="AT90" i="20" s="1"/>
  <c r="AT91" i="20" s="1"/>
  <c r="AT92" i="20" s="1"/>
  <c r="AD83" i="20"/>
  <c r="AD84" i="20" s="1"/>
  <c r="BE84" i="20" s="1"/>
  <c r="L83" i="20"/>
  <c r="L84" i="20" s="1"/>
  <c r="L85" i="20" s="1"/>
  <c r="L86" i="20" s="1"/>
  <c r="L87" i="20" s="1"/>
  <c r="L88" i="20" s="1"/>
  <c r="L89" i="20" s="1"/>
  <c r="L90" i="20" s="1"/>
  <c r="L91" i="20" s="1"/>
  <c r="L92" i="20" s="1"/>
  <c r="K83" i="20"/>
  <c r="K84" i="20" s="1"/>
  <c r="K85" i="20" s="1"/>
  <c r="K86" i="20" s="1"/>
  <c r="K87" i="20" s="1"/>
  <c r="K88" i="20" s="1"/>
  <c r="K89" i="20" s="1"/>
  <c r="K90" i="20" s="1"/>
  <c r="K91" i="20" s="1"/>
  <c r="K92" i="20" s="1"/>
  <c r="J83" i="20"/>
  <c r="J84" i="20" s="1"/>
  <c r="J85" i="20" s="1"/>
  <c r="J86" i="20" s="1"/>
  <c r="J87" i="20" s="1"/>
  <c r="J88" i="20" s="1"/>
  <c r="J89" i="20" s="1"/>
  <c r="J90" i="20" s="1"/>
  <c r="J91" i="20" s="1"/>
  <c r="J92" i="20" s="1"/>
  <c r="I83" i="20"/>
  <c r="I84" i="20" s="1"/>
  <c r="I85" i="20" s="1"/>
  <c r="I86" i="20" s="1"/>
  <c r="I87" i="20" s="1"/>
  <c r="I88" i="20" s="1"/>
  <c r="I89" i="20" s="1"/>
  <c r="I90" i="20" s="1"/>
  <c r="I91" i="20" s="1"/>
  <c r="I92" i="20" s="1"/>
  <c r="BE82" i="20"/>
  <c r="AT68" i="20"/>
  <c r="AT69" i="20" s="1"/>
  <c r="AT70" i="20" s="1"/>
  <c r="AT71" i="20" s="1"/>
  <c r="AT72" i="20" s="1"/>
  <c r="AT73" i="20" s="1"/>
  <c r="AT74" i="20" s="1"/>
  <c r="AT75" i="20" s="1"/>
  <c r="AT76" i="20" s="1"/>
  <c r="AT77" i="20" s="1"/>
  <c r="AT78" i="20" s="1"/>
  <c r="AT79" i="20" s="1"/>
  <c r="AT80" i="20" s="1"/>
  <c r="AT81" i="20" s="1"/>
  <c r="AD68" i="20"/>
  <c r="AD69" i="20" s="1"/>
  <c r="L68" i="20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K68" i="20"/>
  <c r="K69" i="20" s="1"/>
  <c r="K70" i="20" s="1"/>
  <c r="K71" i="20" s="1"/>
  <c r="K72" i="20" s="1"/>
  <c r="K73" i="20" s="1"/>
  <c r="K74" i="20" s="1"/>
  <c r="K75" i="20" s="1"/>
  <c r="K76" i="20" s="1"/>
  <c r="K77" i="20" s="1"/>
  <c r="K78" i="20" s="1"/>
  <c r="K79" i="20" s="1"/>
  <c r="K80" i="20" s="1"/>
  <c r="K81" i="20" s="1"/>
  <c r="J68" i="20"/>
  <c r="J69" i="20" s="1"/>
  <c r="J70" i="20" s="1"/>
  <c r="J71" i="20" s="1"/>
  <c r="J72" i="20" s="1"/>
  <c r="J73" i="20" s="1"/>
  <c r="J74" i="20" s="1"/>
  <c r="J75" i="20" s="1"/>
  <c r="J76" i="20" s="1"/>
  <c r="J77" i="20" s="1"/>
  <c r="J78" i="20" s="1"/>
  <c r="J79" i="20" s="1"/>
  <c r="J80" i="20" s="1"/>
  <c r="J81" i="20" s="1"/>
  <c r="I68" i="20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BE67" i="20"/>
  <c r="AT52" i="20"/>
  <c r="AT53" i="20" s="1"/>
  <c r="AT54" i="20" s="1"/>
  <c r="AT55" i="20" s="1"/>
  <c r="AT56" i="20" s="1"/>
  <c r="AT57" i="20" s="1"/>
  <c r="AT58" i="20" s="1"/>
  <c r="AT59" i="20" s="1"/>
  <c r="AT60" i="20" s="1"/>
  <c r="AT61" i="20" s="1"/>
  <c r="AT62" i="20" s="1"/>
  <c r="AT63" i="20" s="1"/>
  <c r="AT64" i="20" s="1"/>
  <c r="AT65" i="20" s="1"/>
  <c r="AT66" i="20" s="1"/>
  <c r="AD52" i="20"/>
  <c r="BE52" i="20" s="1"/>
  <c r="L52" i="20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K52" i="20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J52" i="20"/>
  <c r="J53" i="20" s="1"/>
  <c r="J54" i="20" s="1"/>
  <c r="J55" i="20" s="1"/>
  <c r="J56" i="20" s="1"/>
  <c r="J57" i="20" s="1"/>
  <c r="J58" i="20" s="1"/>
  <c r="J59" i="20" s="1"/>
  <c r="J60" i="20" s="1"/>
  <c r="J61" i="20" s="1"/>
  <c r="J62" i="20" s="1"/>
  <c r="J63" i="20" s="1"/>
  <c r="J64" i="20" s="1"/>
  <c r="J65" i="20" s="1"/>
  <c r="J66" i="20" s="1"/>
  <c r="I52" i="20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BE51" i="20"/>
  <c r="AT36" i="20"/>
  <c r="AT37" i="20" s="1"/>
  <c r="AT38" i="20" s="1"/>
  <c r="AT39" i="20" s="1"/>
  <c r="AT43" i="20" s="1"/>
  <c r="AT44" i="20" s="1"/>
  <c r="AT45" i="20" s="1"/>
  <c r="AT46" i="20" s="1"/>
  <c r="AT47" i="20" s="1"/>
  <c r="AT48" i="20" s="1"/>
  <c r="AT49" i="20" s="1"/>
  <c r="AT50" i="20" s="1"/>
  <c r="AD36" i="20"/>
  <c r="BE36" i="20" s="1"/>
  <c r="L36" i="20"/>
  <c r="L37" i="20" s="1"/>
  <c r="L38" i="20" s="1"/>
  <c r="L39" i="20" s="1"/>
  <c r="L40" i="20" s="1"/>
  <c r="L41" i="20" s="1"/>
  <c r="L42" i="20" s="1"/>
  <c r="L43" i="20" s="1"/>
  <c r="K36" i="20"/>
  <c r="K37" i="20" s="1"/>
  <c r="K38" i="20" s="1"/>
  <c r="K39" i="20" s="1"/>
  <c r="K40" i="20" s="1"/>
  <c r="K41" i="20" s="1"/>
  <c r="K42" i="20" s="1"/>
  <c r="K43" i="20" s="1"/>
  <c r="J36" i="20"/>
  <c r="J37" i="20" s="1"/>
  <c r="J38" i="20" s="1"/>
  <c r="J39" i="20" s="1"/>
  <c r="J40" i="20" s="1"/>
  <c r="J41" i="20" s="1"/>
  <c r="J42" i="20" s="1"/>
  <c r="J43" i="20" s="1"/>
  <c r="I36" i="20"/>
  <c r="I37" i="20" s="1"/>
  <c r="I38" i="20" s="1"/>
  <c r="I39" i="20" s="1"/>
  <c r="I40" i="20" s="1"/>
  <c r="I41" i="20" s="1"/>
  <c r="I42" i="20" s="1"/>
  <c r="I43" i="20" s="1"/>
  <c r="BE35" i="20"/>
  <c r="AT25" i="20"/>
  <c r="AT26" i="20" s="1"/>
  <c r="AT27" i="20" s="1"/>
  <c r="AT28" i="20" s="1"/>
  <c r="AT29" i="20" s="1"/>
  <c r="AT30" i="20" s="1"/>
  <c r="AT31" i="20" s="1"/>
  <c r="AT32" i="20" s="1"/>
  <c r="AT33" i="20" s="1"/>
  <c r="AT34" i="20" s="1"/>
  <c r="AD25" i="20"/>
  <c r="L25" i="20"/>
  <c r="L26" i="20" s="1"/>
  <c r="L27" i="20" s="1"/>
  <c r="L28" i="20" s="1"/>
  <c r="L29" i="20" s="1"/>
  <c r="L30" i="20" s="1"/>
  <c r="L31" i="20" s="1"/>
  <c r="L32" i="20" s="1"/>
  <c r="L33" i="20" s="1"/>
  <c r="L34" i="20" s="1"/>
  <c r="K25" i="20"/>
  <c r="K26" i="20" s="1"/>
  <c r="K27" i="20" s="1"/>
  <c r="K28" i="20" s="1"/>
  <c r="K29" i="20" s="1"/>
  <c r="K30" i="20" s="1"/>
  <c r="K31" i="20" s="1"/>
  <c r="K32" i="20" s="1"/>
  <c r="K33" i="20" s="1"/>
  <c r="K34" i="20" s="1"/>
  <c r="J25" i="20"/>
  <c r="J26" i="20" s="1"/>
  <c r="J27" i="20" s="1"/>
  <c r="J28" i="20" s="1"/>
  <c r="J29" i="20" s="1"/>
  <c r="J30" i="20" s="1"/>
  <c r="J31" i="20" s="1"/>
  <c r="J32" i="20" s="1"/>
  <c r="J33" i="20" s="1"/>
  <c r="J34" i="20" s="1"/>
  <c r="I25" i="20"/>
  <c r="I26" i="20" s="1"/>
  <c r="I27" i="20" s="1"/>
  <c r="I28" i="20" s="1"/>
  <c r="I29" i="20" s="1"/>
  <c r="I30" i="20" s="1"/>
  <c r="I31" i="20" s="1"/>
  <c r="I32" i="20" s="1"/>
  <c r="I33" i="20" s="1"/>
  <c r="I34" i="20" s="1"/>
  <c r="BE24" i="20"/>
  <c r="M24" i="20"/>
  <c r="M25" i="20" s="1"/>
  <c r="M26" i="20" s="1"/>
  <c r="M27" i="20" s="1"/>
  <c r="M28" i="20" s="1"/>
  <c r="M29" i="20" s="1"/>
  <c r="M30" i="20" s="1"/>
  <c r="M31" i="20" s="1"/>
  <c r="M32" i="20" s="1"/>
  <c r="M33" i="20" s="1"/>
  <c r="B24" i="20"/>
  <c r="B35" i="20" s="1"/>
  <c r="B51" i="20" s="1"/>
  <c r="B67" i="20" s="1"/>
  <c r="B82" i="20" s="1"/>
  <c r="B93" i="20" s="1"/>
  <c r="B109" i="20" s="1"/>
  <c r="AT10" i="20"/>
  <c r="AT11" i="20" s="1"/>
  <c r="AT12" i="20" s="1"/>
  <c r="AT13" i="20" s="1"/>
  <c r="AT14" i="20" s="1"/>
  <c r="AT15" i="20" s="1"/>
  <c r="AT16" i="20" s="1"/>
  <c r="AT17" i="20" s="1"/>
  <c r="AT18" i="20" s="1"/>
  <c r="AR10" i="20"/>
  <c r="AR11" i="20" s="1"/>
  <c r="AR12" i="20" s="1"/>
  <c r="AR13" i="20" s="1"/>
  <c r="AR14" i="20" s="1"/>
  <c r="AR15" i="20" s="1"/>
  <c r="AR16" i="20" s="1"/>
  <c r="AR17" i="20" s="1"/>
  <c r="AR18" i="20" s="1"/>
  <c r="AR19" i="20" s="1"/>
  <c r="AR20" i="20" s="1"/>
  <c r="AR21" i="20" s="1"/>
  <c r="AR22" i="20" s="1"/>
  <c r="AR23" i="20" s="1"/>
  <c r="AR24" i="20" s="1"/>
  <c r="AR25" i="20" s="1"/>
  <c r="AR26" i="20" s="1"/>
  <c r="AR27" i="20" s="1"/>
  <c r="AR28" i="20" s="1"/>
  <c r="AR29" i="20" s="1"/>
  <c r="AR30" i="20" s="1"/>
  <c r="AR31" i="20" s="1"/>
  <c r="AR32" i="20" s="1"/>
  <c r="AR33" i="20" s="1"/>
  <c r="AR34" i="20" s="1"/>
  <c r="AD10" i="20"/>
  <c r="Z10" i="20"/>
  <c r="Z11" i="20" s="1"/>
  <c r="Z12" i="20" s="1"/>
  <c r="Z13" i="20" s="1"/>
  <c r="Z14" i="20" s="1"/>
  <c r="Z15" i="20" s="1"/>
  <c r="Z16" i="20" s="1"/>
  <c r="M10" i="20"/>
  <c r="M11" i="20" s="1"/>
  <c r="M12" i="20" s="1"/>
  <c r="M13" i="20" s="1"/>
  <c r="M14" i="20" s="1"/>
  <c r="M15" i="20" s="1"/>
  <c r="M16" i="20" s="1"/>
  <c r="M17" i="20" s="1"/>
  <c r="M18" i="20" s="1"/>
  <c r="M19" i="20" s="1"/>
  <c r="L10" i="20"/>
  <c r="L11" i="20" s="1"/>
  <c r="L12" i="20" s="1"/>
  <c r="L13" i="20" s="1"/>
  <c r="L14" i="20" s="1"/>
  <c r="L15" i="20" s="1"/>
  <c r="L16" i="20" s="1"/>
  <c r="L17" i="20" s="1"/>
  <c r="L18" i="20" s="1"/>
  <c r="L19" i="20" s="1"/>
  <c r="K10" i="20"/>
  <c r="K11" i="20" s="1"/>
  <c r="K12" i="20" s="1"/>
  <c r="K13" i="20" s="1"/>
  <c r="K14" i="20" s="1"/>
  <c r="K15" i="20" s="1"/>
  <c r="K16" i="20" s="1"/>
  <c r="K17" i="20" s="1"/>
  <c r="K18" i="20" s="1"/>
  <c r="K19" i="20" s="1"/>
  <c r="J10" i="20"/>
  <c r="J11" i="20" s="1"/>
  <c r="J12" i="20" s="1"/>
  <c r="J13" i="20" s="1"/>
  <c r="J14" i="20" s="1"/>
  <c r="J15" i="20" s="1"/>
  <c r="J16" i="20" s="1"/>
  <c r="J17" i="20" s="1"/>
  <c r="J18" i="20" s="1"/>
  <c r="J19" i="20" s="1"/>
  <c r="I10" i="20"/>
  <c r="I11" i="20" s="1"/>
  <c r="I12" i="20" s="1"/>
  <c r="I13" i="20" s="1"/>
  <c r="I14" i="20" s="1"/>
  <c r="I15" i="20" s="1"/>
  <c r="I16" i="20" s="1"/>
  <c r="I17" i="20" s="1"/>
  <c r="I18" i="20" s="1"/>
  <c r="I19" i="20" s="1"/>
  <c r="F10" i="20"/>
  <c r="F24" i="20" s="1"/>
  <c r="F25" i="20" s="1"/>
  <c r="F35" i="20" s="1"/>
  <c r="F36" i="20" s="1"/>
  <c r="F51" i="20" s="1"/>
  <c r="F52" i="20" s="1"/>
  <c r="F67" i="20" s="1"/>
  <c r="F68" i="20" s="1"/>
  <c r="F82" i="20" s="1"/>
  <c r="F83" i="20" s="1"/>
  <c r="F93" i="20" s="1"/>
  <c r="F94" i="20" s="1"/>
  <c r="F109" i="20" s="1"/>
  <c r="F110" i="20" s="1"/>
  <c r="F126" i="20" s="1"/>
  <c r="F141" i="20" s="1"/>
  <c r="F142" i="20" s="1"/>
  <c r="F155" i="20" s="1"/>
  <c r="F156" i="20" s="1"/>
  <c r="F165" i="20" s="1"/>
  <c r="F166" i="20" s="1"/>
  <c r="F176" i="20" s="1"/>
  <c r="F177" i="20" s="1"/>
  <c r="BE9" i="20"/>
  <c r="AS9" i="20"/>
  <c r="AS24" i="20" s="1"/>
  <c r="AT98" i="18"/>
  <c r="AT99" i="18" s="1"/>
  <c r="AT100" i="18" s="1"/>
  <c r="Z345" i="18"/>
  <c r="Z346" i="18" s="1"/>
  <c r="Z347" i="18" s="1"/>
  <c r="Z348" i="18" s="1"/>
  <c r="Z349" i="18" s="1"/>
  <c r="Z350" i="18" s="1"/>
  <c r="Z351" i="18" s="1"/>
  <c r="Z352" i="18" s="1"/>
  <c r="Z353" i="18" s="1"/>
  <c r="Z354" i="18" s="1"/>
  <c r="Z355" i="18" s="1"/>
  <c r="Z356" i="18" s="1"/>
  <c r="Z357" i="18" s="1"/>
  <c r="Z358" i="18" s="1"/>
  <c r="Z359" i="18" s="1"/>
  <c r="M360" i="18"/>
  <c r="M361" i="18" s="1"/>
  <c r="M362" i="18" s="1"/>
  <c r="M363" i="18" s="1"/>
  <c r="M364" i="18" s="1"/>
  <c r="M365" i="18" s="1"/>
  <c r="M366" i="18" s="1"/>
  <c r="M367" i="18" s="1"/>
  <c r="M368" i="18" s="1"/>
  <c r="M369" i="18" s="1"/>
  <c r="M370" i="18" s="1"/>
  <c r="M371" i="18" s="1"/>
  <c r="M372" i="18" s="1"/>
  <c r="M373" i="18" s="1"/>
  <c r="M374" i="18" s="1"/>
  <c r="M375" i="18" s="1"/>
  <c r="M376" i="18" s="1"/>
  <c r="M377" i="18" s="1"/>
  <c r="M378" i="18" s="1"/>
  <c r="M379" i="18" s="1"/>
  <c r="M380" i="18" s="1"/>
  <c r="M381" i="18" s="1"/>
  <c r="M382" i="18" s="1"/>
  <c r="M383" i="18" s="1"/>
  <c r="M384" i="18" s="1"/>
  <c r="M385" i="18" s="1"/>
  <c r="M386" i="18" s="1"/>
  <c r="M387" i="18" s="1"/>
  <c r="M388" i="18" s="1"/>
  <c r="M389" i="18" s="1"/>
  <c r="M390" i="18" s="1"/>
  <c r="M345" i="18"/>
  <c r="M346" i="18" s="1"/>
  <c r="M347" i="18" s="1"/>
  <c r="M348" i="18" s="1"/>
  <c r="M349" i="18" s="1"/>
  <c r="M350" i="18" s="1"/>
  <c r="M351" i="18" s="1"/>
  <c r="M352" i="18" s="1"/>
  <c r="M353" i="18" s="1"/>
  <c r="M354" i="18" s="1"/>
  <c r="M355" i="18" s="1"/>
  <c r="M356" i="18" s="1"/>
  <c r="M357" i="18" s="1"/>
  <c r="M358" i="18" s="1"/>
  <c r="M359" i="18" s="1"/>
  <c r="AD331" i="18"/>
  <c r="AD332" i="18" s="1"/>
  <c r="AD333" i="18" s="1"/>
  <c r="AD334" i="18" s="1"/>
  <c r="AD335" i="18" s="1"/>
  <c r="AD336" i="18" s="1"/>
  <c r="AD337" i="18" s="1"/>
  <c r="AD338" i="18" s="1"/>
  <c r="AD339" i="18" s="1"/>
  <c r="AD340" i="18" s="1"/>
  <c r="AD341" i="18" s="1"/>
  <c r="AD342" i="18" s="1"/>
  <c r="AD343" i="18" s="1"/>
  <c r="BE343" i="18" s="1"/>
  <c r="AD319" i="18"/>
  <c r="AD320" i="18" s="1"/>
  <c r="AD321" i="18" s="1"/>
  <c r="AD322" i="18" s="1"/>
  <c r="AD323" i="18" s="1"/>
  <c r="AD324" i="18" s="1"/>
  <c r="AD325" i="18" s="1"/>
  <c r="AD326" i="18" s="1"/>
  <c r="AD327" i="18" s="1"/>
  <c r="AD328" i="18" s="1"/>
  <c r="AD329" i="18" s="1"/>
  <c r="AD303" i="18"/>
  <c r="AD304" i="18" s="1"/>
  <c r="AD305" i="18" s="1"/>
  <c r="AD309" i="18" s="1"/>
  <c r="AD310" i="18" s="1"/>
  <c r="AD311" i="18" s="1"/>
  <c r="AD312" i="18" s="1"/>
  <c r="AD313" i="18" s="1"/>
  <c r="AD314" i="18" s="1"/>
  <c r="AD315" i="18" s="1"/>
  <c r="AD316" i="18" s="1"/>
  <c r="AD317" i="18" s="1"/>
  <c r="AD287" i="18"/>
  <c r="AD288" i="18" s="1"/>
  <c r="AD289" i="18" s="1"/>
  <c r="AD290" i="18" s="1"/>
  <c r="AD291" i="18" s="1"/>
  <c r="AD294" i="18" s="1"/>
  <c r="AD295" i="18" s="1"/>
  <c r="AD296" i="18" s="1"/>
  <c r="AD297" i="18" s="1"/>
  <c r="AD298" i="18" s="1"/>
  <c r="AD299" i="18" s="1"/>
  <c r="AD300" i="18" s="1"/>
  <c r="AD301" i="18" s="1"/>
  <c r="AD271" i="18"/>
  <c r="AD272" i="18" s="1"/>
  <c r="AD273" i="18" s="1"/>
  <c r="AD274" i="18" s="1"/>
  <c r="AD275" i="18" s="1"/>
  <c r="AD276" i="18" s="1"/>
  <c r="AD277" i="18" s="1"/>
  <c r="AD278" i="18" s="1"/>
  <c r="AD279" i="18" s="1"/>
  <c r="AD280" i="18" s="1"/>
  <c r="AD281" i="18" s="1"/>
  <c r="AD282" i="18" s="1"/>
  <c r="AD283" i="18" s="1"/>
  <c r="AD284" i="18" s="1"/>
  <c r="AD285" i="18" s="1"/>
  <c r="AD255" i="18"/>
  <c r="AD256" i="18" s="1"/>
  <c r="AD265" i="18" s="1"/>
  <c r="AD266" i="18" s="1"/>
  <c r="AD267" i="18" s="1"/>
  <c r="AD268" i="18" s="1"/>
  <c r="AD269" i="18" s="1"/>
  <c r="AD239" i="18"/>
  <c r="AD240" i="18" s="1"/>
  <c r="AD247" i="18" s="1"/>
  <c r="AD248" i="18" s="1"/>
  <c r="AD249" i="18" s="1"/>
  <c r="AD250" i="18" s="1"/>
  <c r="AD251" i="18" s="1"/>
  <c r="AD252" i="18" s="1"/>
  <c r="AD253" i="18" s="1"/>
  <c r="AD223" i="18"/>
  <c r="AD224" i="18" s="1"/>
  <c r="AD225" i="18" s="1"/>
  <c r="AD209" i="18"/>
  <c r="AD210" i="18" s="1"/>
  <c r="AD211" i="18" s="1"/>
  <c r="AD212" i="18" s="1"/>
  <c r="AD213" i="18" s="1"/>
  <c r="AD214" i="18" s="1"/>
  <c r="AD215" i="18" s="1"/>
  <c r="AD216" i="18" s="1"/>
  <c r="AD217" i="18" s="1"/>
  <c r="AD218" i="18" s="1"/>
  <c r="AD219" i="18" s="1"/>
  <c r="AD220" i="18" s="1"/>
  <c r="AD221" i="18" s="1"/>
  <c r="AD195" i="18"/>
  <c r="AD196" i="18" s="1"/>
  <c r="AD197" i="18" s="1"/>
  <c r="AD198" i="18" s="1"/>
  <c r="AD199" i="18" s="1"/>
  <c r="AD200" i="18" s="1"/>
  <c r="AD201" i="18" s="1"/>
  <c r="AD202" i="18" s="1"/>
  <c r="AD203" i="18" s="1"/>
  <c r="AD204" i="18" s="1"/>
  <c r="AD205" i="18" s="1"/>
  <c r="AD206" i="18" s="1"/>
  <c r="AD207" i="18" s="1"/>
  <c r="AD179" i="18"/>
  <c r="AD180" i="18" s="1"/>
  <c r="AD181" i="18" s="1"/>
  <c r="AD182" i="18" s="1"/>
  <c r="AD183" i="18" s="1"/>
  <c r="AD184" i="18" s="1"/>
  <c r="AD185" i="18" s="1"/>
  <c r="AD186" i="18" s="1"/>
  <c r="AD187" i="18" s="1"/>
  <c r="AD188" i="18" s="1"/>
  <c r="AD189" i="18" s="1"/>
  <c r="AD190" i="18" s="1"/>
  <c r="AD191" i="18" s="1"/>
  <c r="AD192" i="18" s="1"/>
  <c r="AD193" i="18" s="1"/>
  <c r="AD163" i="18"/>
  <c r="AD164" i="18" s="1"/>
  <c r="AD165" i="18" s="1"/>
  <c r="AD166" i="18" s="1"/>
  <c r="AD167" i="18" s="1"/>
  <c r="AD168" i="18" s="1"/>
  <c r="AD169" i="18" s="1"/>
  <c r="AD170" i="18" s="1"/>
  <c r="AD171" i="18" s="1"/>
  <c r="AD172" i="18" s="1"/>
  <c r="AD173" i="18" s="1"/>
  <c r="AD174" i="18" s="1"/>
  <c r="AD175" i="18" s="1"/>
  <c r="AD176" i="18" s="1"/>
  <c r="AD177" i="18" s="1"/>
  <c r="AD147" i="18"/>
  <c r="AD148" i="18" s="1"/>
  <c r="AD149" i="18" s="1"/>
  <c r="AD150" i="18" s="1"/>
  <c r="AD151" i="18" s="1"/>
  <c r="AD152" i="18" s="1"/>
  <c r="AD153" i="18" s="1"/>
  <c r="AD154" i="18" s="1"/>
  <c r="AD155" i="18" s="1"/>
  <c r="AD156" i="18" s="1"/>
  <c r="AD157" i="18" s="1"/>
  <c r="AD158" i="18" s="1"/>
  <c r="AD159" i="18" s="1"/>
  <c r="AD160" i="18" s="1"/>
  <c r="AD161" i="18" s="1"/>
  <c r="BE161" i="18" s="1"/>
  <c r="AD132" i="18"/>
  <c r="AD133" i="18" s="1"/>
  <c r="AD134" i="18" s="1"/>
  <c r="AD135" i="18" s="1"/>
  <c r="AD136" i="18" s="1"/>
  <c r="AD137" i="18" s="1"/>
  <c r="AD138" i="18" s="1"/>
  <c r="AD139" i="18" s="1"/>
  <c r="AD140" i="18" s="1"/>
  <c r="AD141" i="18" s="1"/>
  <c r="AD142" i="18" s="1"/>
  <c r="AD143" i="18" s="1"/>
  <c r="AD144" i="18" s="1"/>
  <c r="AD145" i="18" s="1"/>
  <c r="AD117" i="18"/>
  <c r="AD118" i="18" s="1"/>
  <c r="AD119" i="18" s="1"/>
  <c r="AD120" i="18" s="1"/>
  <c r="AD121" i="18" s="1"/>
  <c r="AD122" i="18" s="1"/>
  <c r="AD123" i="18" s="1"/>
  <c r="AD124" i="18" s="1"/>
  <c r="AD125" i="18" s="1"/>
  <c r="AD126" i="18" s="1"/>
  <c r="AD127" i="18" s="1"/>
  <c r="AD128" i="18" s="1"/>
  <c r="AD129" i="18" s="1"/>
  <c r="AD107" i="18"/>
  <c r="AD108" i="18" s="1"/>
  <c r="AD109" i="18" s="1"/>
  <c r="AD110" i="18" s="1"/>
  <c r="AD111" i="18" s="1"/>
  <c r="AD112" i="18" s="1"/>
  <c r="AD113" i="18" s="1"/>
  <c r="AD114" i="18" s="1"/>
  <c r="AD115" i="18" s="1"/>
  <c r="AD98" i="18"/>
  <c r="AD99" i="18" s="1"/>
  <c r="AD82" i="18"/>
  <c r="BE82" i="18" s="1"/>
  <c r="AD71" i="18"/>
  <c r="AD72" i="18" s="1"/>
  <c r="AD73" i="18" s="1"/>
  <c r="AD74" i="18" s="1"/>
  <c r="AD75" i="18" s="1"/>
  <c r="AD76" i="18" s="1"/>
  <c r="AD77" i="18" s="1"/>
  <c r="AD78" i="18" s="1"/>
  <c r="AD79" i="18" s="1"/>
  <c r="AD80" i="18" s="1"/>
  <c r="BE80" i="18" s="1"/>
  <c r="AD55" i="18"/>
  <c r="AD56" i="18" s="1"/>
  <c r="AD57" i="18" s="1"/>
  <c r="AD58" i="18" s="1"/>
  <c r="AD59" i="18" s="1"/>
  <c r="AD60" i="18" s="1"/>
  <c r="AD61" i="18" s="1"/>
  <c r="AD42" i="18"/>
  <c r="AD43" i="18" s="1"/>
  <c r="AD44" i="18" s="1"/>
  <c r="AD45" i="18" s="1"/>
  <c r="AD46" i="18" s="1"/>
  <c r="AD47" i="18" s="1"/>
  <c r="AD48" i="18" s="1"/>
  <c r="AD49" i="18" s="1"/>
  <c r="AD50" i="18" s="1"/>
  <c r="AD51" i="18" s="1"/>
  <c r="AD52" i="18" s="1"/>
  <c r="AD53" i="18" s="1"/>
  <c r="BE53" i="18" s="1"/>
  <c r="AD345" i="18"/>
  <c r="AD346" i="18" s="1"/>
  <c r="AD347" i="18" s="1"/>
  <c r="AD348" i="18" s="1"/>
  <c r="AD349" i="18" s="1"/>
  <c r="AD350" i="18" s="1"/>
  <c r="AD351" i="18" s="1"/>
  <c r="AD352" i="18" s="1"/>
  <c r="AD353" i="18" s="1"/>
  <c r="AD354" i="18" s="1"/>
  <c r="AD355" i="18" s="1"/>
  <c r="AD356" i="18" s="1"/>
  <c r="AD357" i="18" s="1"/>
  <c r="AD358" i="18" s="1"/>
  <c r="AD361" i="18"/>
  <c r="AD362" i="18" s="1"/>
  <c r="AD363" i="18" s="1"/>
  <c r="AD364" i="18" s="1"/>
  <c r="AD365" i="18" s="1"/>
  <c r="AD366" i="18" s="1"/>
  <c r="AD367" i="18" s="1"/>
  <c r="AD368" i="18" s="1"/>
  <c r="AD377" i="18"/>
  <c r="AD378" i="18" s="1"/>
  <c r="AD379" i="18" s="1"/>
  <c r="AD380" i="18" s="1"/>
  <c r="AD381" i="18" s="1"/>
  <c r="AD382" i="18" s="1"/>
  <c r="AD383" i="18" s="1"/>
  <c r="AD384" i="18" s="1"/>
  <c r="AD385" i="18" s="1"/>
  <c r="AD386" i="18" s="1"/>
  <c r="AD387" i="18" s="1"/>
  <c r="AD388" i="18" s="1"/>
  <c r="AD390" i="18"/>
  <c r="AD391" i="18" s="1"/>
  <c r="AD392" i="18" s="1"/>
  <c r="AD393" i="18" s="1"/>
  <c r="AD394" i="18" s="1"/>
  <c r="AD395" i="18" s="1"/>
  <c r="AD396" i="18" s="1"/>
  <c r="AD10" i="18"/>
  <c r="AD11" i="18" s="1"/>
  <c r="AD12" i="18" s="1"/>
  <c r="AD13" i="18" s="1"/>
  <c r="AD14" i="18" s="1"/>
  <c r="AD15" i="18" s="1"/>
  <c r="AD16" i="18" s="1"/>
  <c r="AD17" i="18" s="1"/>
  <c r="AD18" i="18" s="1"/>
  <c r="AD19" i="18" s="1"/>
  <c r="AD20" i="18" s="1"/>
  <c r="AD21" i="18" s="1"/>
  <c r="BE21" i="18" s="1"/>
  <c r="AD26" i="18"/>
  <c r="AD27" i="18" s="1"/>
  <c r="AD28" i="18" s="1"/>
  <c r="AD29" i="18" s="1"/>
  <c r="AD30" i="18" s="1"/>
  <c r="AD31" i="18" s="1"/>
  <c r="AD32" i="18" s="1"/>
  <c r="AT107" i="18"/>
  <c r="AT108" i="18" s="1"/>
  <c r="AT109" i="18" s="1"/>
  <c r="AT110" i="18" s="1"/>
  <c r="AT111" i="18" s="1"/>
  <c r="AT112" i="18" s="1"/>
  <c r="AT113" i="18" s="1"/>
  <c r="AT114" i="18" s="1"/>
  <c r="AT115" i="18" s="1"/>
  <c r="L107" i="18"/>
  <c r="L108" i="18" s="1"/>
  <c r="L109" i="18" s="1"/>
  <c r="L110" i="18" s="1"/>
  <c r="L111" i="18" s="1"/>
  <c r="L112" i="18" s="1"/>
  <c r="L113" i="18" s="1"/>
  <c r="L114" i="18" s="1"/>
  <c r="L115" i="18" s="1"/>
  <c r="K107" i="18"/>
  <c r="K108" i="18" s="1"/>
  <c r="K109" i="18" s="1"/>
  <c r="K110" i="18" s="1"/>
  <c r="K111" i="18" s="1"/>
  <c r="K112" i="18" s="1"/>
  <c r="K113" i="18" s="1"/>
  <c r="K114" i="18" s="1"/>
  <c r="K115" i="18" s="1"/>
  <c r="J107" i="18"/>
  <c r="J108" i="18" s="1"/>
  <c r="J109" i="18" s="1"/>
  <c r="J110" i="18" s="1"/>
  <c r="J111" i="18" s="1"/>
  <c r="J112" i="18" s="1"/>
  <c r="J113" i="18" s="1"/>
  <c r="J114" i="18" s="1"/>
  <c r="J115" i="18" s="1"/>
  <c r="I107" i="18"/>
  <c r="I108" i="18" s="1"/>
  <c r="I109" i="18" s="1"/>
  <c r="I110" i="18" s="1"/>
  <c r="I111" i="18" s="1"/>
  <c r="I112" i="18" s="1"/>
  <c r="I113" i="18" s="1"/>
  <c r="I114" i="18" s="1"/>
  <c r="I115" i="18" s="1"/>
  <c r="BE106" i="18"/>
  <c r="L98" i="18"/>
  <c r="L99" i="18" s="1"/>
  <c r="L100" i="18" s="1"/>
  <c r="K98" i="18"/>
  <c r="K99" i="18" s="1"/>
  <c r="K100" i="18" s="1"/>
  <c r="J98" i="18"/>
  <c r="J99" i="18" s="1"/>
  <c r="J100" i="18" s="1"/>
  <c r="I98" i="18"/>
  <c r="I99" i="18" s="1"/>
  <c r="I100" i="18" s="1"/>
  <c r="BE97" i="18"/>
  <c r="AT82" i="18"/>
  <c r="AT83" i="18" s="1"/>
  <c r="AT84" i="18" s="1"/>
  <c r="AT85" i="18" s="1"/>
  <c r="AT86" i="18" s="1"/>
  <c r="AT87" i="18" s="1"/>
  <c r="AT88" i="18" s="1"/>
  <c r="AT89" i="18" s="1"/>
  <c r="AT90" i="18" s="1"/>
  <c r="AT91" i="18" s="1"/>
  <c r="AT92" i="18" s="1"/>
  <c r="AT93" i="18" s="1"/>
  <c r="AT94" i="18" s="1"/>
  <c r="AT95" i="18" s="1"/>
  <c r="AT96" i="18" s="1"/>
  <c r="L82" i="18"/>
  <c r="L83" i="18" s="1"/>
  <c r="L84" i="18" s="1"/>
  <c r="L85" i="18" s="1"/>
  <c r="L86" i="18" s="1"/>
  <c r="L87" i="18" s="1"/>
  <c r="L88" i="18" s="1"/>
  <c r="L89" i="18" s="1"/>
  <c r="L90" i="18" s="1"/>
  <c r="L91" i="18" s="1"/>
  <c r="L92" i="18" s="1"/>
  <c r="L93" i="18" s="1"/>
  <c r="L94" i="18" s="1"/>
  <c r="L95" i="18" s="1"/>
  <c r="L96" i="18" s="1"/>
  <c r="K82" i="18"/>
  <c r="K83" i="18" s="1"/>
  <c r="K84" i="18" s="1"/>
  <c r="K85" i="18" s="1"/>
  <c r="K86" i="18" s="1"/>
  <c r="K87" i="18" s="1"/>
  <c r="K88" i="18" s="1"/>
  <c r="K89" i="18" s="1"/>
  <c r="K90" i="18" s="1"/>
  <c r="K91" i="18" s="1"/>
  <c r="K92" i="18" s="1"/>
  <c r="K93" i="18" s="1"/>
  <c r="K94" i="18" s="1"/>
  <c r="K95" i="18" s="1"/>
  <c r="K96" i="18" s="1"/>
  <c r="J82" i="18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I82" i="18"/>
  <c r="I83" i="18" s="1"/>
  <c r="I84" i="18" s="1"/>
  <c r="I85" i="18" s="1"/>
  <c r="I86" i="18" s="1"/>
  <c r="I87" i="18" s="1"/>
  <c r="I88" i="18" s="1"/>
  <c r="I89" i="18" s="1"/>
  <c r="I90" i="18" s="1"/>
  <c r="I91" i="18" s="1"/>
  <c r="I92" i="18" s="1"/>
  <c r="I93" i="18" s="1"/>
  <c r="I94" i="18" s="1"/>
  <c r="I95" i="18" s="1"/>
  <c r="I96" i="18" s="1"/>
  <c r="BE81" i="18"/>
  <c r="I319" i="18"/>
  <c r="I209" i="18"/>
  <c r="AR35" i="20" l="1"/>
  <c r="AR36" i="20" s="1"/>
  <c r="AR37" i="20" s="1"/>
  <c r="AR38" i="20" s="1"/>
  <c r="AR39" i="20" s="1"/>
  <c r="AR40" i="20" s="1"/>
  <c r="AR41" i="20" s="1"/>
  <c r="AR42" i="20" s="1"/>
  <c r="AR43" i="20" s="1"/>
  <c r="AR44" i="20" s="1"/>
  <c r="AR45" i="20" s="1"/>
  <c r="AR46" i="20" s="1"/>
  <c r="AR47" i="20" s="1"/>
  <c r="AR48" i="20" s="1"/>
  <c r="AR49" i="20" s="1"/>
  <c r="AR50" i="20" s="1"/>
  <c r="AR51" i="20" s="1"/>
  <c r="AR52" i="20" s="1"/>
  <c r="AR53" i="20" s="1"/>
  <c r="AR54" i="20" s="1"/>
  <c r="AR55" i="20" s="1"/>
  <c r="AR56" i="20" s="1"/>
  <c r="AR57" i="20" s="1"/>
  <c r="AR58" i="20" s="1"/>
  <c r="AR59" i="20" s="1"/>
  <c r="AR60" i="20" s="1"/>
  <c r="AR61" i="20" s="1"/>
  <c r="AR62" i="20" s="1"/>
  <c r="AR63" i="20" s="1"/>
  <c r="M34" i="20"/>
  <c r="M35" i="20" s="1"/>
  <c r="M36" i="20" s="1"/>
  <c r="M37" i="20" s="1"/>
  <c r="M38" i="20" s="1"/>
  <c r="M39" i="20" s="1"/>
  <c r="M40" i="20" s="1"/>
  <c r="M41" i="20" s="1"/>
  <c r="M42" i="20" s="1"/>
  <c r="M43" i="20" s="1"/>
  <c r="M44" i="20" s="1"/>
  <c r="M45" i="20" s="1"/>
  <c r="M46" i="20" s="1"/>
  <c r="M47" i="20" s="1"/>
  <c r="M48" i="20" s="1"/>
  <c r="M49" i="20" s="1"/>
  <c r="M50" i="20" s="1"/>
  <c r="M51" i="20" s="1"/>
  <c r="M52" i="20" s="1"/>
  <c r="M53" i="20" s="1"/>
  <c r="M54" i="20" s="1"/>
  <c r="M55" i="20" s="1"/>
  <c r="M56" i="20" s="1"/>
  <c r="M57" i="20" s="1"/>
  <c r="M58" i="20" s="1"/>
  <c r="M59" i="20" s="1"/>
  <c r="M60" i="20" s="1"/>
  <c r="M61" i="20" s="1"/>
  <c r="M62" i="20" s="1"/>
  <c r="AD359" i="18"/>
  <c r="BE359" i="18" s="1"/>
  <c r="BE358" i="18"/>
  <c r="F192" i="20"/>
  <c r="F193" i="20" s="1"/>
  <c r="F203" i="20" s="1"/>
  <c r="F204" i="20" s="1"/>
  <c r="F215" i="20" s="1"/>
  <c r="F216" i="20" s="1"/>
  <c r="F231" i="20" s="1"/>
  <c r="F232" i="20" s="1"/>
  <c r="F243" i="20" s="1"/>
  <c r="F244" i="20" s="1"/>
  <c r="F254" i="20" s="1"/>
  <c r="F255" i="20" s="1"/>
  <c r="F264" i="20" s="1"/>
  <c r="F265" i="20" s="1"/>
  <c r="F275" i="20" s="1"/>
  <c r="F276" i="20" s="1"/>
  <c r="F291" i="20" s="1"/>
  <c r="F292" i="20" s="1"/>
  <c r="F307" i="20" s="1"/>
  <c r="F308" i="20" s="1"/>
  <c r="F323" i="20" s="1"/>
  <c r="F335" i="20" s="1"/>
  <c r="F349" i="20" s="1"/>
  <c r="F350" i="20" s="1"/>
  <c r="F362" i="20" s="1"/>
  <c r="F363" i="20" s="1"/>
  <c r="F374" i="20" s="1"/>
  <c r="F375" i="20" s="1"/>
  <c r="F389" i="20" s="1"/>
  <c r="F390" i="20" s="1"/>
  <c r="AJ5" i="18"/>
  <c r="AT101" i="18"/>
  <c r="AT102" i="18" s="1"/>
  <c r="AT103" i="18" s="1"/>
  <c r="AT104" i="18" s="1"/>
  <c r="AT105" i="18" s="1"/>
  <c r="L101" i="18"/>
  <c r="L102" i="18" s="1"/>
  <c r="L103" i="18" s="1"/>
  <c r="L104" i="18" s="1"/>
  <c r="L105" i="18" s="1"/>
  <c r="AD100" i="18"/>
  <c r="AD101" i="18" s="1"/>
  <c r="AD102" i="18" s="1"/>
  <c r="AD103" i="18" s="1"/>
  <c r="AD104" i="18" s="1"/>
  <c r="I101" i="18"/>
  <c r="I102" i="18" s="1"/>
  <c r="I103" i="18" s="1"/>
  <c r="I104" i="18" s="1"/>
  <c r="I105" i="18" s="1"/>
  <c r="J101" i="18"/>
  <c r="J102" i="18" s="1"/>
  <c r="J103" i="18" s="1"/>
  <c r="J104" i="18" s="1"/>
  <c r="J105" i="18" s="1"/>
  <c r="K101" i="18"/>
  <c r="K102" i="18" s="1"/>
  <c r="K103" i="18" s="1"/>
  <c r="K104" i="18" s="1"/>
  <c r="K105" i="18" s="1"/>
  <c r="AD292" i="18"/>
  <c r="AD293" i="18" s="1"/>
  <c r="BE293" i="18" s="1"/>
  <c r="Z360" i="18"/>
  <c r="Z361" i="18" s="1"/>
  <c r="Z362" i="18" s="1"/>
  <c r="Z363" i="18" s="1"/>
  <c r="Z364" i="18" s="1"/>
  <c r="Z365" i="18" s="1"/>
  <c r="Z366" i="18" s="1"/>
  <c r="Z367" i="18" s="1"/>
  <c r="Z368" i="18" s="1"/>
  <c r="Z369" i="18" s="1"/>
  <c r="Z370" i="18" s="1"/>
  <c r="Z371" i="18" s="1"/>
  <c r="Z372" i="18" s="1"/>
  <c r="Z373" i="18" s="1"/>
  <c r="Z374" i="18" s="1"/>
  <c r="Z375" i="18" s="1"/>
  <c r="Z376" i="18" s="1"/>
  <c r="Z377" i="18" s="1"/>
  <c r="Z378" i="18" s="1"/>
  <c r="Z379" i="18" s="1"/>
  <c r="Z380" i="18" s="1"/>
  <c r="Z381" i="18" s="1"/>
  <c r="Z382" i="18" s="1"/>
  <c r="Z383" i="18" s="1"/>
  <c r="Z384" i="18" s="1"/>
  <c r="Z385" i="18" s="1"/>
  <c r="Z386" i="18" s="1"/>
  <c r="Z387" i="18" s="1"/>
  <c r="Z388" i="18" s="1"/>
  <c r="AD257" i="18"/>
  <c r="AD258" i="18" s="1"/>
  <c r="AD259" i="18" s="1"/>
  <c r="AD306" i="18"/>
  <c r="AD307" i="18" s="1"/>
  <c r="BE307" i="18" s="1"/>
  <c r="L354" i="20"/>
  <c r="K354" i="20"/>
  <c r="AT354" i="20"/>
  <c r="J354" i="20"/>
  <c r="I354" i="20"/>
  <c r="L248" i="20"/>
  <c r="L249" i="20" s="1"/>
  <c r="L250" i="20" s="1"/>
  <c r="L251" i="20" s="1"/>
  <c r="L252" i="20" s="1"/>
  <c r="L253" i="20" s="1"/>
  <c r="K248" i="20"/>
  <c r="K249" i="20" s="1"/>
  <c r="K250" i="20" s="1"/>
  <c r="K251" i="20" s="1"/>
  <c r="K252" i="20" s="1"/>
  <c r="K253" i="20" s="1"/>
  <c r="AT248" i="20"/>
  <c r="AT249" i="20" s="1"/>
  <c r="AT250" i="20" s="1"/>
  <c r="AT251" i="20" s="1"/>
  <c r="AT252" i="20" s="1"/>
  <c r="AT253" i="20" s="1"/>
  <c r="J248" i="20"/>
  <c r="J249" i="20" s="1"/>
  <c r="J250" i="20" s="1"/>
  <c r="J251" i="20" s="1"/>
  <c r="J252" i="20" s="1"/>
  <c r="J253" i="20" s="1"/>
  <c r="I248" i="20"/>
  <c r="I249" i="20" s="1"/>
  <c r="I250" i="20" s="1"/>
  <c r="I251" i="20" s="1"/>
  <c r="I252" i="20" s="1"/>
  <c r="I253" i="20" s="1"/>
  <c r="L182" i="20"/>
  <c r="L183" i="20" s="1"/>
  <c r="K182" i="20"/>
  <c r="K183" i="20" s="1"/>
  <c r="K170" i="20"/>
  <c r="AT182" i="20"/>
  <c r="AT183" i="20" s="1"/>
  <c r="J182" i="20"/>
  <c r="J183" i="20" s="1"/>
  <c r="I182" i="20"/>
  <c r="I183" i="20" s="1"/>
  <c r="AT170" i="20"/>
  <c r="J170" i="20"/>
  <c r="L170" i="20"/>
  <c r="I170" i="20"/>
  <c r="L128" i="20"/>
  <c r="L129" i="20" s="1"/>
  <c r="L130" i="20" s="1"/>
  <c r="L131" i="20" s="1"/>
  <c r="L132" i="20" s="1"/>
  <c r="L133" i="20" s="1"/>
  <c r="K128" i="20"/>
  <c r="K129" i="20" s="1"/>
  <c r="K130" i="20" s="1"/>
  <c r="K131" i="20" s="1"/>
  <c r="K132" i="20" s="1"/>
  <c r="K133" i="20" s="1"/>
  <c r="AT128" i="20"/>
  <c r="AT129" i="20" s="1"/>
  <c r="AT130" i="20" s="1"/>
  <c r="AT131" i="20" s="1"/>
  <c r="AT132" i="20" s="1"/>
  <c r="AT133" i="20" s="1"/>
  <c r="J128" i="20"/>
  <c r="J129" i="20" s="1"/>
  <c r="J130" i="20" s="1"/>
  <c r="J131" i="20" s="1"/>
  <c r="J132" i="20" s="1"/>
  <c r="J133" i="20" s="1"/>
  <c r="I128" i="20"/>
  <c r="I129" i="20" s="1"/>
  <c r="I130" i="20" s="1"/>
  <c r="I131" i="20" s="1"/>
  <c r="I132" i="20" s="1"/>
  <c r="I133" i="20" s="1"/>
  <c r="L98" i="20"/>
  <c r="L99" i="20" s="1"/>
  <c r="L100" i="20" s="1"/>
  <c r="L101" i="20" s="1"/>
  <c r="K98" i="20"/>
  <c r="K99" i="20" s="1"/>
  <c r="K100" i="20" s="1"/>
  <c r="K101" i="20" s="1"/>
  <c r="AT98" i="20"/>
  <c r="AT99" i="20" s="1"/>
  <c r="AT100" i="20" s="1"/>
  <c r="AT101" i="20" s="1"/>
  <c r="J98" i="20"/>
  <c r="J99" i="20" s="1"/>
  <c r="J100" i="20" s="1"/>
  <c r="J101" i="20" s="1"/>
  <c r="I98" i="20"/>
  <c r="I99" i="20" s="1"/>
  <c r="I100" i="20" s="1"/>
  <c r="I101" i="20" s="1"/>
  <c r="AT40" i="20"/>
  <c r="AT41" i="20" s="1"/>
  <c r="AT42" i="20" s="1"/>
  <c r="J44" i="20"/>
  <c r="J45" i="20" s="1"/>
  <c r="J46" i="20" s="1"/>
  <c r="J47" i="20" s="1"/>
  <c r="J48" i="20" s="1"/>
  <c r="J49" i="20" s="1"/>
  <c r="J50" i="20" s="1"/>
  <c r="K44" i="20"/>
  <c r="K45" i="20" s="1"/>
  <c r="K46" i="20" s="1"/>
  <c r="K47" i="20" s="1"/>
  <c r="K48" i="20" s="1"/>
  <c r="K49" i="20" s="1"/>
  <c r="K50" i="20" s="1"/>
  <c r="L44" i="20"/>
  <c r="L45" i="20" s="1"/>
  <c r="L46" i="20" s="1"/>
  <c r="L47" i="20" s="1"/>
  <c r="L48" i="20" s="1"/>
  <c r="L49" i="20" s="1"/>
  <c r="L50" i="20" s="1"/>
  <c r="I44" i="20"/>
  <c r="I45" i="20" s="1"/>
  <c r="I46" i="20" s="1"/>
  <c r="I47" i="20" s="1"/>
  <c r="I48" i="20" s="1"/>
  <c r="I49" i="20" s="1"/>
  <c r="I50" i="20" s="1"/>
  <c r="AD205" i="20"/>
  <c r="BE205" i="20" s="1"/>
  <c r="AT19" i="20"/>
  <c r="AT20" i="20" s="1"/>
  <c r="AT21" i="20" s="1"/>
  <c r="AT22" i="20" s="1"/>
  <c r="AT23" i="20" s="1"/>
  <c r="J20" i="20"/>
  <c r="J21" i="20" s="1"/>
  <c r="J22" i="20" s="1"/>
  <c r="J23" i="20" s="1"/>
  <c r="I20" i="20"/>
  <c r="I21" i="20" s="1"/>
  <c r="I22" i="20" s="1"/>
  <c r="I23" i="20" s="1"/>
  <c r="Z17" i="20"/>
  <c r="Z18" i="20" s="1"/>
  <c r="K20" i="20"/>
  <c r="K21" i="20" s="1"/>
  <c r="K22" i="20" s="1"/>
  <c r="K23" i="20" s="1"/>
  <c r="M20" i="20"/>
  <c r="M21" i="20" s="1"/>
  <c r="M22" i="20" s="1"/>
  <c r="M23" i="20" s="1"/>
  <c r="L20" i="20"/>
  <c r="L21" i="20" s="1"/>
  <c r="L22" i="20" s="1"/>
  <c r="L23" i="20" s="1"/>
  <c r="AD408" i="20"/>
  <c r="BE407" i="20"/>
  <c r="I409" i="20"/>
  <c r="I410" i="20" s="1"/>
  <c r="I411" i="20" s="1"/>
  <c r="I412" i="20"/>
  <c r="AT412" i="20"/>
  <c r="AT409" i="20"/>
  <c r="AT410" i="20" s="1"/>
  <c r="AT411" i="20" s="1"/>
  <c r="J412" i="20"/>
  <c r="J409" i="20"/>
  <c r="J410" i="20" s="1"/>
  <c r="J411" i="20" s="1"/>
  <c r="K412" i="20"/>
  <c r="K409" i="20"/>
  <c r="K410" i="20" s="1"/>
  <c r="K411" i="20" s="1"/>
  <c r="L409" i="20"/>
  <c r="L410" i="20" s="1"/>
  <c r="L411" i="20" s="1"/>
  <c r="L412" i="20"/>
  <c r="BE406" i="20"/>
  <c r="I396" i="20"/>
  <c r="I397" i="20" s="1"/>
  <c r="I398" i="20" s="1"/>
  <c r="I399" i="20" s="1"/>
  <c r="I400" i="20" s="1"/>
  <c r="I401" i="20" s="1"/>
  <c r="I402" i="20" s="1"/>
  <c r="I403" i="20" s="1"/>
  <c r="I404" i="20" s="1"/>
  <c r="I393" i="20"/>
  <c r="I394" i="20" s="1"/>
  <c r="I395" i="20" s="1"/>
  <c r="AT393" i="20"/>
  <c r="AT394" i="20" s="1"/>
  <c r="AT395" i="20" s="1"/>
  <c r="AT396" i="20"/>
  <c r="AT397" i="20" s="1"/>
  <c r="AT398" i="20" s="1"/>
  <c r="AT399" i="20" s="1"/>
  <c r="AT400" i="20" s="1"/>
  <c r="AT401" i="20" s="1"/>
  <c r="AT402" i="20" s="1"/>
  <c r="AT403" i="20" s="1"/>
  <c r="AT404" i="20" s="1"/>
  <c r="J393" i="20"/>
  <c r="J394" i="20" s="1"/>
  <c r="J395" i="20" s="1"/>
  <c r="J396" i="20"/>
  <c r="J397" i="20" s="1"/>
  <c r="J398" i="20" s="1"/>
  <c r="J399" i="20" s="1"/>
  <c r="J400" i="20" s="1"/>
  <c r="J401" i="20" s="1"/>
  <c r="J402" i="20" s="1"/>
  <c r="J403" i="20" s="1"/>
  <c r="J404" i="20" s="1"/>
  <c r="K396" i="20"/>
  <c r="K397" i="20" s="1"/>
  <c r="K398" i="20" s="1"/>
  <c r="K399" i="20" s="1"/>
  <c r="K400" i="20" s="1"/>
  <c r="K401" i="20" s="1"/>
  <c r="K402" i="20" s="1"/>
  <c r="K403" i="20" s="1"/>
  <c r="K404" i="20" s="1"/>
  <c r="K393" i="20"/>
  <c r="K394" i="20" s="1"/>
  <c r="K395" i="20" s="1"/>
  <c r="L393" i="20"/>
  <c r="L394" i="20" s="1"/>
  <c r="L395" i="20" s="1"/>
  <c r="L396" i="20"/>
  <c r="L397" i="20" s="1"/>
  <c r="L398" i="20" s="1"/>
  <c r="L399" i="20" s="1"/>
  <c r="L400" i="20" s="1"/>
  <c r="L401" i="20" s="1"/>
  <c r="L402" i="20" s="1"/>
  <c r="L403" i="20" s="1"/>
  <c r="L404" i="20" s="1"/>
  <c r="AD391" i="20"/>
  <c r="AT381" i="20"/>
  <c r="AT382" i="20" s="1"/>
  <c r="AT383" i="20" s="1"/>
  <c r="AT384" i="20" s="1"/>
  <c r="AT385" i="20" s="1"/>
  <c r="AT386" i="20" s="1"/>
  <c r="AT387" i="20" s="1"/>
  <c r="AT388" i="20" s="1"/>
  <c r="AT378" i="20"/>
  <c r="AT379" i="20" s="1"/>
  <c r="AT380" i="20" s="1"/>
  <c r="I381" i="20"/>
  <c r="I382" i="20" s="1"/>
  <c r="I383" i="20" s="1"/>
  <c r="I384" i="20" s="1"/>
  <c r="I385" i="20" s="1"/>
  <c r="I386" i="20" s="1"/>
  <c r="I387" i="20" s="1"/>
  <c r="I388" i="20" s="1"/>
  <c r="I378" i="20"/>
  <c r="I379" i="20" s="1"/>
  <c r="I380" i="20" s="1"/>
  <c r="K381" i="20"/>
  <c r="K382" i="20" s="1"/>
  <c r="K383" i="20" s="1"/>
  <c r="K384" i="20" s="1"/>
  <c r="K385" i="20" s="1"/>
  <c r="K386" i="20" s="1"/>
  <c r="K387" i="20" s="1"/>
  <c r="K388" i="20" s="1"/>
  <c r="K378" i="20"/>
  <c r="K379" i="20" s="1"/>
  <c r="K380" i="20" s="1"/>
  <c r="J381" i="20"/>
  <c r="J382" i="20" s="1"/>
  <c r="J383" i="20" s="1"/>
  <c r="J384" i="20" s="1"/>
  <c r="J385" i="20" s="1"/>
  <c r="J386" i="20" s="1"/>
  <c r="J387" i="20" s="1"/>
  <c r="J388" i="20" s="1"/>
  <c r="J378" i="20"/>
  <c r="J379" i="20" s="1"/>
  <c r="J380" i="20" s="1"/>
  <c r="L378" i="20"/>
  <c r="L379" i="20" s="1"/>
  <c r="L380" i="20" s="1"/>
  <c r="L381" i="20"/>
  <c r="L382" i="20" s="1"/>
  <c r="L383" i="20" s="1"/>
  <c r="L384" i="20" s="1"/>
  <c r="L385" i="20" s="1"/>
  <c r="L386" i="20" s="1"/>
  <c r="L387" i="20" s="1"/>
  <c r="L388" i="20" s="1"/>
  <c r="AD376" i="20"/>
  <c r="BE255" i="20"/>
  <c r="AD127" i="20"/>
  <c r="BE335" i="20"/>
  <c r="BE244" i="20"/>
  <c r="BE276" i="20"/>
  <c r="BE292" i="20"/>
  <c r="BE308" i="20"/>
  <c r="BE363" i="20"/>
  <c r="AD53" i="20"/>
  <c r="AD54" i="20" s="1"/>
  <c r="AT294" i="20"/>
  <c r="AT295" i="20" s="1"/>
  <c r="AT296" i="20" s="1"/>
  <c r="AT297" i="20" s="1"/>
  <c r="AT298" i="20" s="1"/>
  <c r="AT299" i="20" s="1"/>
  <c r="AT300" i="20" s="1"/>
  <c r="AT301" i="20" s="1"/>
  <c r="J338" i="20"/>
  <c r="J339" i="20" s="1"/>
  <c r="J340" i="20" s="1"/>
  <c r="L284" i="20"/>
  <c r="L285" i="20" s="1"/>
  <c r="L286" i="20" s="1"/>
  <c r="L287" i="20" s="1"/>
  <c r="L288" i="20" s="1"/>
  <c r="L289" i="20" s="1"/>
  <c r="L290" i="20" s="1"/>
  <c r="L278" i="20"/>
  <c r="L279" i="20" s="1"/>
  <c r="L280" i="20" s="1"/>
  <c r="L281" i="20" s="1"/>
  <c r="L282" i="20" s="1"/>
  <c r="L283" i="20" s="1"/>
  <c r="BE351" i="20"/>
  <c r="AD352" i="20"/>
  <c r="BE352" i="20" s="1"/>
  <c r="AD111" i="20"/>
  <c r="AD112" i="20" s="1"/>
  <c r="BE112" i="20" s="1"/>
  <c r="AD157" i="20"/>
  <c r="BE157" i="20" s="1"/>
  <c r="AD266" i="20"/>
  <c r="BE166" i="20"/>
  <c r="K338" i="20"/>
  <c r="K339" i="20" s="1"/>
  <c r="K340" i="20" s="1"/>
  <c r="BE350" i="20"/>
  <c r="BE68" i="20"/>
  <c r="BE83" i="20"/>
  <c r="K302" i="20"/>
  <c r="K303" i="20" s="1"/>
  <c r="K304" i="20" s="1"/>
  <c r="K305" i="20" s="1"/>
  <c r="K306" i="20" s="1"/>
  <c r="J284" i="20"/>
  <c r="J285" i="20" s="1"/>
  <c r="J286" i="20" s="1"/>
  <c r="J287" i="20" s="1"/>
  <c r="J288" i="20" s="1"/>
  <c r="J289" i="20" s="1"/>
  <c r="J290" i="20" s="1"/>
  <c r="AD26" i="20"/>
  <c r="AD34" i="20" s="1"/>
  <c r="BE25" i="20"/>
  <c r="J117" i="20"/>
  <c r="J118" i="20" s="1"/>
  <c r="J119" i="20"/>
  <c r="J120" i="20" s="1"/>
  <c r="J121" i="20" s="1"/>
  <c r="J122" i="20" s="1"/>
  <c r="J123" i="20" s="1"/>
  <c r="J124" i="20" s="1"/>
  <c r="K119" i="20"/>
  <c r="K120" i="20" s="1"/>
  <c r="K121" i="20" s="1"/>
  <c r="K122" i="20" s="1"/>
  <c r="K123" i="20" s="1"/>
  <c r="K124" i="20" s="1"/>
  <c r="K117" i="20"/>
  <c r="K118" i="20" s="1"/>
  <c r="AD33" i="20"/>
  <c r="B125" i="20"/>
  <c r="I119" i="20"/>
  <c r="I120" i="20" s="1"/>
  <c r="I121" i="20" s="1"/>
  <c r="I122" i="20" s="1"/>
  <c r="I123" i="20" s="1"/>
  <c r="I124" i="20" s="1"/>
  <c r="I117" i="20"/>
  <c r="I118" i="20" s="1"/>
  <c r="AD11" i="20"/>
  <c r="BE10" i="20"/>
  <c r="L119" i="20"/>
  <c r="L120" i="20" s="1"/>
  <c r="L121" i="20" s="1"/>
  <c r="L122" i="20" s="1"/>
  <c r="L123" i="20" s="1"/>
  <c r="L124" i="20" s="1"/>
  <c r="L117" i="20"/>
  <c r="L118" i="20" s="1"/>
  <c r="AS35" i="20"/>
  <c r="AS25" i="20"/>
  <c r="AS26" i="20" s="1"/>
  <c r="AS27" i="20" s="1"/>
  <c r="AS28" i="20" s="1"/>
  <c r="AS29" i="20" s="1"/>
  <c r="AS30" i="20" s="1"/>
  <c r="AS31" i="20" s="1"/>
  <c r="AS32" i="20" s="1"/>
  <c r="AS33" i="20" s="1"/>
  <c r="AS34" i="20" s="1"/>
  <c r="BE69" i="20"/>
  <c r="AD70" i="20"/>
  <c r="BE94" i="20"/>
  <c r="AD95" i="20"/>
  <c r="AS10" i="20"/>
  <c r="AS11" i="20" s="1"/>
  <c r="AS12" i="20" s="1"/>
  <c r="AS13" i="20" s="1"/>
  <c r="AS14" i="20" s="1"/>
  <c r="AS15" i="20" s="1"/>
  <c r="AS16" i="20" s="1"/>
  <c r="AT197" i="20"/>
  <c r="AT198" i="20"/>
  <c r="AT199" i="20" s="1"/>
  <c r="AT200" i="20" s="1"/>
  <c r="AT201" i="20" s="1"/>
  <c r="AT202" i="20" s="1"/>
  <c r="AD37" i="20"/>
  <c r="AD85" i="20"/>
  <c r="BE167" i="20"/>
  <c r="AD168" i="20"/>
  <c r="BE142" i="20"/>
  <c r="AD143" i="20"/>
  <c r="BE194" i="20"/>
  <c r="AD195" i="20"/>
  <c r="BE177" i="20"/>
  <c r="AD178" i="20"/>
  <c r="BE216" i="20"/>
  <c r="AD217" i="20"/>
  <c r="BE232" i="20"/>
  <c r="AD233" i="20"/>
  <c r="BE256" i="20"/>
  <c r="AD257" i="20"/>
  <c r="J328" i="20"/>
  <c r="J329" i="20" s="1"/>
  <c r="J330" i="20"/>
  <c r="J331" i="20" s="1"/>
  <c r="J332" i="20" s="1"/>
  <c r="J333" i="20" s="1"/>
  <c r="BE245" i="20"/>
  <c r="AD246" i="20"/>
  <c r="L341" i="20"/>
  <c r="L342" i="20" s="1"/>
  <c r="L343" i="20" s="1"/>
  <c r="L344" i="20" s="1"/>
  <c r="L345" i="20" s="1"/>
  <c r="L346" i="20" s="1"/>
  <c r="L347" i="20" s="1"/>
  <c r="L348" i="20" s="1"/>
  <c r="L338" i="20"/>
  <c r="L339" i="20" s="1"/>
  <c r="L340" i="20" s="1"/>
  <c r="AT284" i="20"/>
  <c r="AT285" i="20" s="1"/>
  <c r="AT286" i="20" s="1"/>
  <c r="AT287" i="20" s="1"/>
  <c r="AT288" i="20" s="1"/>
  <c r="AT289" i="20" s="1"/>
  <c r="AT290" i="20" s="1"/>
  <c r="AT278" i="20"/>
  <c r="AT279" i="20" s="1"/>
  <c r="AT280" i="20" s="1"/>
  <c r="AT281" i="20" s="1"/>
  <c r="AT282" i="20" s="1"/>
  <c r="AT283" i="20" s="1"/>
  <c r="I302" i="20"/>
  <c r="I303" i="20" s="1"/>
  <c r="I304" i="20" s="1"/>
  <c r="I305" i="20" s="1"/>
  <c r="I306" i="20" s="1"/>
  <c r="I294" i="20"/>
  <c r="I295" i="20" s="1"/>
  <c r="I296" i="20" s="1"/>
  <c r="I297" i="20" s="1"/>
  <c r="I298" i="20" s="1"/>
  <c r="I299" i="20" s="1"/>
  <c r="I300" i="20" s="1"/>
  <c r="I301" i="20" s="1"/>
  <c r="I284" i="20"/>
  <c r="I285" i="20" s="1"/>
  <c r="I286" i="20" s="1"/>
  <c r="I287" i="20" s="1"/>
  <c r="I288" i="20" s="1"/>
  <c r="I289" i="20" s="1"/>
  <c r="I290" i="20" s="1"/>
  <c r="I278" i="20"/>
  <c r="I279" i="20" s="1"/>
  <c r="I280" i="20" s="1"/>
  <c r="I281" i="20" s="1"/>
  <c r="I282" i="20" s="1"/>
  <c r="I283" i="20" s="1"/>
  <c r="AT328" i="20"/>
  <c r="AT329" i="20" s="1"/>
  <c r="L328" i="20"/>
  <c r="L329" i="20" s="1"/>
  <c r="L330" i="20"/>
  <c r="L331" i="20" s="1"/>
  <c r="L332" i="20" s="1"/>
  <c r="L333" i="20" s="1"/>
  <c r="I328" i="20"/>
  <c r="I329" i="20" s="1"/>
  <c r="I330" i="20"/>
  <c r="I331" i="20" s="1"/>
  <c r="I332" i="20" s="1"/>
  <c r="I333" i="20" s="1"/>
  <c r="BE336" i="20"/>
  <c r="AD337" i="20"/>
  <c r="AD278" i="20"/>
  <c r="BE277" i="20"/>
  <c r="AD284" i="20"/>
  <c r="K284" i="20"/>
  <c r="K285" i="20" s="1"/>
  <c r="K286" i="20" s="1"/>
  <c r="K287" i="20" s="1"/>
  <c r="K288" i="20" s="1"/>
  <c r="K289" i="20" s="1"/>
  <c r="K290" i="20" s="1"/>
  <c r="L294" i="20"/>
  <c r="L295" i="20" s="1"/>
  <c r="L296" i="20" s="1"/>
  <c r="L297" i="20" s="1"/>
  <c r="L298" i="20" s="1"/>
  <c r="L299" i="20" s="1"/>
  <c r="L300" i="20" s="1"/>
  <c r="L301" i="20" s="1"/>
  <c r="L302" i="20"/>
  <c r="L303" i="20" s="1"/>
  <c r="L304" i="20" s="1"/>
  <c r="L305" i="20" s="1"/>
  <c r="L306" i="20" s="1"/>
  <c r="J302" i="20"/>
  <c r="J303" i="20" s="1"/>
  <c r="J304" i="20" s="1"/>
  <c r="J305" i="20" s="1"/>
  <c r="J306" i="20" s="1"/>
  <c r="BE293" i="20"/>
  <c r="AD302" i="20"/>
  <c r="AD294" i="20"/>
  <c r="BE310" i="20"/>
  <c r="AD311" i="20"/>
  <c r="K328" i="20"/>
  <c r="K329" i="20" s="1"/>
  <c r="K330" i="20"/>
  <c r="K331" i="20" s="1"/>
  <c r="K332" i="20" s="1"/>
  <c r="K333" i="20" s="1"/>
  <c r="BE309" i="20"/>
  <c r="I338" i="20"/>
  <c r="I339" i="20" s="1"/>
  <c r="I340" i="20" s="1"/>
  <c r="BE364" i="20"/>
  <c r="AD365" i="20"/>
  <c r="AT341" i="20"/>
  <c r="AT342" i="20" s="1"/>
  <c r="AT343" i="20" s="1"/>
  <c r="AT344" i="20" s="1"/>
  <c r="AT345" i="20" s="1"/>
  <c r="AT346" i="20" s="1"/>
  <c r="AT347" i="20" s="1"/>
  <c r="AT348" i="20" s="1"/>
  <c r="AT338" i="20"/>
  <c r="AT339" i="20" s="1"/>
  <c r="AT340" i="20" s="1"/>
  <c r="AD324" i="20"/>
  <c r="AT371" i="20"/>
  <c r="AT372" i="20" s="1"/>
  <c r="AT373" i="20" s="1"/>
  <c r="AD241" i="18"/>
  <c r="AD242" i="18" s="1"/>
  <c r="AD243" i="18" s="1"/>
  <c r="BE225" i="18"/>
  <c r="AD226" i="18"/>
  <c r="BE32" i="18"/>
  <c r="AD33" i="18"/>
  <c r="BE33" i="18" s="1"/>
  <c r="BE20" i="18"/>
  <c r="AD22" i="18"/>
  <c r="AD23" i="18" s="1"/>
  <c r="AD24" i="18" s="1"/>
  <c r="M391" i="18"/>
  <c r="M392" i="18" s="1"/>
  <c r="M393" i="18" s="1"/>
  <c r="M394" i="18" s="1"/>
  <c r="M395" i="18" s="1"/>
  <c r="M396" i="18" s="1"/>
  <c r="M397" i="18" s="1"/>
  <c r="M398" i="18" s="1"/>
  <c r="M399" i="18" s="1"/>
  <c r="M400" i="18" s="1"/>
  <c r="M10" i="18" s="1"/>
  <c r="M11" i="18" s="1"/>
  <c r="M12" i="18" s="1"/>
  <c r="M13" i="18" s="1"/>
  <c r="M14" i="18" s="1"/>
  <c r="M15" i="18" s="1"/>
  <c r="M16" i="18" s="1"/>
  <c r="M17" i="18" s="1"/>
  <c r="M18" i="18" s="1"/>
  <c r="BE137" i="18"/>
  <c r="BE339" i="18"/>
  <c r="BE169" i="18"/>
  <c r="BE385" i="18"/>
  <c r="BE168" i="18"/>
  <c r="BE136" i="18"/>
  <c r="BE384" i="18"/>
  <c r="BE338" i="18"/>
  <c r="BE167" i="18"/>
  <c r="BE135" i="18"/>
  <c r="BE383" i="18"/>
  <c r="BE337" i="18"/>
  <c r="BE166" i="18"/>
  <c r="BE382" i="18"/>
  <c r="BE336" i="18"/>
  <c r="BE165" i="18"/>
  <c r="BE381" i="18"/>
  <c r="BE335" i="18"/>
  <c r="BE164" i="18"/>
  <c r="BE395" i="18"/>
  <c r="BE380" i="18"/>
  <c r="BE342" i="18"/>
  <c r="BE155" i="18"/>
  <c r="BE394" i="18"/>
  <c r="BE379" i="18"/>
  <c r="BE341" i="18"/>
  <c r="BE170" i="18"/>
  <c r="BE154" i="18"/>
  <c r="BE393" i="18"/>
  <c r="BE378" i="18"/>
  <c r="BE340" i="18"/>
  <c r="BE107" i="18"/>
  <c r="AD369" i="18"/>
  <c r="AD370" i="18" s="1"/>
  <c r="AD371" i="18" s="1"/>
  <c r="AD372" i="18" s="1"/>
  <c r="AD373" i="18" s="1"/>
  <c r="AD374" i="18" s="1"/>
  <c r="AD375" i="18" s="1"/>
  <c r="AD83" i="18"/>
  <c r="AD84" i="18" s="1"/>
  <c r="AD85" i="18" s="1"/>
  <c r="AD86" i="18" s="1"/>
  <c r="AD87" i="18" s="1"/>
  <c r="AD88" i="18" s="1"/>
  <c r="AD89" i="18" s="1"/>
  <c r="AD90" i="18" s="1"/>
  <c r="AD91" i="18" s="1"/>
  <c r="AD92" i="18" s="1"/>
  <c r="AD93" i="18" s="1"/>
  <c r="AD94" i="18" s="1"/>
  <c r="AD95" i="18" s="1"/>
  <c r="AD96" i="18" s="1"/>
  <c r="AD62" i="18"/>
  <c r="AD64" i="18"/>
  <c r="AD65" i="18" s="1"/>
  <c r="AD66" i="18" s="1"/>
  <c r="AD67" i="18" s="1"/>
  <c r="AD68" i="18" s="1"/>
  <c r="AD69" i="18" s="1"/>
  <c r="AD397" i="18"/>
  <c r="AD398" i="18" s="1"/>
  <c r="AD399" i="18" s="1"/>
  <c r="AD400" i="18" s="1"/>
  <c r="BE98" i="18"/>
  <c r="AR67" i="20" l="1"/>
  <c r="AR68" i="20" s="1"/>
  <c r="AR69" i="20" s="1"/>
  <c r="AR70" i="20" s="1"/>
  <c r="AR71" i="20" s="1"/>
  <c r="AR72" i="20" s="1"/>
  <c r="AR73" i="20" s="1"/>
  <c r="AR74" i="20" s="1"/>
  <c r="AR75" i="20" s="1"/>
  <c r="AR76" i="20" s="1"/>
  <c r="AR77" i="20" s="1"/>
  <c r="AR78" i="20" s="1"/>
  <c r="AR79" i="20" s="1"/>
  <c r="AR80" i="20" s="1"/>
  <c r="AR81" i="20" s="1"/>
  <c r="AR82" i="20" s="1"/>
  <c r="AR83" i="20" s="1"/>
  <c r="AR84" i="20" s="1"/>
  <c r="AR85" i="20" s="1"/>
  <c r="AR86" i="20" s="1"/>
  <c r="AR87" i="20" s="1"/>
  <c r="AR88" i="20" s="1"/>
  <c r="AR89" i="20" s="1"/>
  <c r="AR90" i="20" s="1"/>
  <c r="AR91" i="20" s="1"/>
  <c r="AR92" i="20" s="1"/>
  <c r="AR93" i="20" s="1"/>
  <c r="AR94" i="20" s="1"/>
  <c r="AR95" i="20" s="1"/>
  <c r="AR96" i="20" s="1"/>
  <c r="AR97" i="20" s="1"/>
  <c r="AR98" i="20" s="1"/>
  <c r="AR99" i="20" s="1"/>
  <c r="AR100" i="20" s="1"/>
  <c r="AR101" i="20" s="1"/>
  <c r="AR102" i="20" s="1"/>
  <c r="AR103" i="20" s="1"/>
  <c r="AR104" i="20" s="1"/>
  <c r="AR105" i="20" s="1"/>
  <c r="AR106" i="20" s="1"/>
  <c r="AR107" i="20" s="1"/>
  <c r="AR108" i="20" s="1"/>
  <c r="AR109" i="20" s="1"/>
  <c r="AR110" i="20" s="1"/>
  <c r="AR111" i="20" s="1"/>
  <c r="AR112" i="20" s="1"/>
  <c r="AR113" i="20" s="1"/>
  <c r="AR114" i="20" s="1"/>
  <c r="AR115" i="20" s="1"/>
  <c r="AR116" i="20" s="1"/>
  <c r="AR117" i="20" s="1"/>
  <c r="AR118" i="20" s="1"/>
  <c r="AR119" i="20" s="1"/>
  <c r="AR120" i="20" s="1"/>
  <c r="AR121" i="20" s="1"/>
  <c r="AR122" i="20" s="1"/>
  <c r="AR123" i="20" s="1"/>
  <c r="AR124" i="20" s="1"/>
  <c r="AR125" i="20" s="1"/>
  <c r="AR126" i="20" s="1"/>
  <c r="AR127" i="20" s="1"/>
  <c r="AR128" i="20" s="1"/>
  <c r="AR129" i="20" s="1"/>
  <c r="AR130" i="20" s="1"/>
  <c r="AR131" i="20" s="1"/>
  <c r="AR132" i="20" s="1"/>
  <c r="AR133" i="20" s="1"/>
  <c r="AR134" i="20" s="1"/>
  <c r="AR135" i="20" s="1"/>
  <c r="AR136" i="20" s="1"/>
  <c r="AR137" i="20" s="1"/>
  <c r="AR138" i="20" s="1"/>
  <c r="AR139" i="20" s="1"/>
  <c r="AR140" i="20" s="1"/>
  <c r="AR141" i="20" s="1"/>
  <c r="AR142" i="20" s="1"/>
  <c r="AR143" i="20" s="1"/>
  <c r="AR144" i="20" s="1"/>
  <c r="AR145" i="20" s="1"/>
  <c r="AR146" i="20" s="1"/>
  <c r="AR147" i="20" s="1"/>
  <c r="AR148" i="20" s="1"/>
  <c r="AR149" i="20" s="1"/>
  <c r="AR150" i="20" s="1"/>
  <c r="AR151" i="20" s="1"/>
  <c r="AR152" i="20" s="1"/>
  <c r="AR153" i="20" s="1"/>
  <c r="AR154" i="20" s="1"/>
  <c r="AR155" i="20" s="1"/>
  <c r="AR156" i="20" s="1"/>
  <c r="AR157" i="20" s="1"/>
  <c r="AR158" i="20" s="1"/>
  <c r="AR159" i="20" s="1"/>
  <c r="AR160" i="20" s="1"/>
  <c r="AR161" i="20" s="1"/>
  <c r="AR162" i="20" s="1"/>
  <c r="AR163" i="20" s="1"/>
  <c r="AR164" i="20" s="1"/>
  <c r="AR64" i="20"/>
  <c r="AR65" i="20" s="1"/>
  <c r="AR66" i="20" s="1"/>
  <c r="BE104" i="18"/>
  <c r="AD105" i="18"/>
  <c r="BE105" i="18" s="1"/>
  <c r="BE257" i="18"/>
  <c r="BE306" i="18"/>
  <c r="AD308" i="18"/>
  <c r="BE308" i="18" s="1"/>
  <c r="F405" i="20"/>
  <c r="F406" i="20" s="1"/>
  <c r="B141" i="20"/>
  <c r="B155" i="20" s="1"/>
  <c r="B165" i="20" s="1"/>
  <c r="B176" i="20" s="1"/>
  <c r="B192" i="20" s="1"/>
  <c r="B203" i="20" s="1"/>
  <c r="B215" i="20" s="1"/>
  <c r="B231" i="20" s="1"/>
  <c r="B243" i="20" s="1"/>
  <c r="B254" i="20" s="1"/>
  <c r="B264" i="20" s="1"/>
  <c r="B275" i="20" s="1"/>
  <c r="B291" i="20" s="1"/>
  <c r="B307" i="20" s="1"/>
  <c r="B322" i="20" s="1"/>
  <c r="B334" i="20" s="1"/>
  <c r="B349" i="20" s="1"/>
  <c r="B362" i="20" s="1"/>
  <c r="B374" i="20" s="1"/>
  <c r="B389" i="20" s="1"/>
  <c r="B405" i="20" s="1"/>
  <c r="BE103" i="18"/>
  <c r="BE292" i="18"/>
  <c r="BE258" i="18"/>
  <c r="Z389" i="18"/>
  <c r="Z390" i="18" s="1"/>
  <c r="Z391" i="18" s="1"/>
  <c r="Z392" i="18" s="1"/>
  <c r="Z393" i="18" s="1"/>
  <c r="Z394" i="18" s="1"/>
  <c r="Z395" i="18" s="1"/>
  <c r="Z396" i="18" s="1"/>
  <c r="Z397" i="18" s="1"/>
  <c r="Z398" i="18" s="1"/>
  <c r="Z399" i="18" s="1"/>
  <c r="Z400" i="18" s="1"/>
  <c r="Z10" i="18" s="1"/>
  <c r="Z11" i="18" s="1"/>
  <c r="Z12" i="18" s="1"/>
  <c r="Z13" i="18" s="1"/>
  <c r="Z14" i="18" s="1"/>
  <c r="Z15" i="18" s="1"/>
  <c r="Z16" i="18" s="1"/>
  <c r="Z17" i="18" s="1"/>
  <c r="Z18" i="18" s="1"/>
  <c r="Z19" i="18" s="1"/>
  <c r="Z20" i="18" s="1"/>
  <c r="Z21" i="18" s="1"/>
  <c r="Z22" i="18" s="1"/>
  <c r="Z23" i="18" s="1"/>
  <c r="Z24" i="18" s="1"/>
  <c r="Z25" i="18" s="1"/>
  <c r="Z26" i="18" s="1"/>
  <c r="Z27" i="18" s="1"/>
  <c r="Z28" i="18" s="1"/>
  <c r="Z29" i="18" s="1"/>
  <c r="Z30" i="18" s="1"/>
  <c r="Z31" i="18" s="1"/>
  <c r="Z32" i="18" s="1"/>
  <c r="Z33" i="18" s="1"/>
  <c r="Z34" i="18" s="1"/>
  <c r="Z35" i="18" s="1"/>
  <c r="Z36" i="18" s="1"/>
  <c r="Z37" i="18" s="1"/>
  <c r="Z38" i="18" s="1"/>
  <c r="Z39" i="18" s="1"/>
  <c r="Z40" i="18" s="1"/>
  <c r="Z41" i="18" s="1"/>
  <c r="Z42" i="18" s="1"/>
  <c r="Z43" i="18" s="1"/>
  <c r="Z44" i="18" s="1"/>
  <c r="Z45" i="18" s="1"/>
  <c r="Z46" i="18" s="1"/>
  <c r="Z47" i="18" s="1"/>
  <c r="Z48" i="18" s="1"/>
  <c r="Z49" i="18" s="1"/>
  <c r="Z50" i="18" s="1"/>
  <c r="Z51" i="18" s="1"/>
  <c r="Z52" i="18" s="1"/>
  <c r="Z53" i="18" s="1"/>
  <c r="M68" i="20"/>
  <c r="M69" i="20" s="1"/>
  <c r="M70" i="20" s="1"/>
  <c r="M71" i="20" s="1"/>
  <c r="M72" i="20" s="1"/>
  <c r="M73" i="20" s="1"/>
  <c r="M74" i="20" s="1"/>
  <c r="M75" i="20" s="1"/>
  <c r="M76" i="20" s="1"/>
  <c r="M77" i="20" s="1"/>
  <c r="M78" i="20" s="1"/>
  <c r="M79" i="20" s="1"/>
  <c r="M80" i="20" s="1"/>
  <c r="M81" i="20" s="1"/>
  <c r="M63" i="20"/>
  <c r="M64" i="20" s="1"/>
  <c r="M65" i="20" s="1"/>
  <c r="M66" i="20" s="1"/>
  <c r="BE53" i="20"/>
  <c r="BE127" i="20"/>
  <c r="AD128" i="20"/>
  <c r="AD158" i="20"/>
  <c r="BE158" i="20" s="1"/>
  <c r="AD206" i="20"/>
  <c r="AD207" i="20" s="1"/>
  <c r="AD134" i="20"/>
  <c r="BE134" i="20" s="1"/>
  <c r="Z19" i="20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AS17" i="20"/>
  <c r="AS18" i="20" s="1"/>
  <c r="AD412" i="20"/>
  <c r="BE408" i="20"/>
  <c r="AD409" i="20"/>
  <c r="AD392" i="20"/>
  <c r="BE391" i="20"/>
  <c r="AD377" i="20"/>
  <c r="BE376" i="20"/>
  <c r="BE111" i="20"/>
  <c r="AD353" i="20"/>
  <c r="AD113" i="20"/>
  <c r="AD114" i="20" s="1"/>
  <c r="AD267" i="20"/>
  <c r="BE266" i="20"/>
  <c r="AD218" i="20"/>
  <c r="BE217" i="20"/>
  <c r="AD312" i="20"/>
  <c r="BE311" i="20"/>
  <c r="AD196" i="20"/>
  <c r="BE195" i="20"/>
  <c r="BE33" i="20"/>
  <c r="AD295" i="20"/>
  <c r="BE294" i="20"/>
  <c r="AD179" i="20"/>
  <c r="BE178" i="20"/>
  <c r="AD144" i="20"/>
  <c r="BE143" i="20"/>
  <c r="AD38" i="20"/>
  <c r="BE37" i="20"/>
  <c r="AD96" i="20"/>
  <c r="BE95" i="20"/>
  <c r="AD258" i="20"/>
  <c r="BE257" i="20"/>
  <c r="AD169" i="20"/>
  <c r="AD170" i="20" s="1"/>
  <c r="BE170" i="20" s="1"/>
  <c r="BE168" i="20"/>
  <c r="BE284" i="20"/>
  <c r="AD285" i="20"/>
  <c r="AD234" i="20"/>
  <c r="BE233" i="20"/>
  <c r="BE85" i="20"/>
  <c r="AD86" i="20"/>
  <c r="AD366" i="20"/>
  <c r="BE365" i="20"/>
  <c r="BE302" i="20"/>
  <c r="AD303" i="20"/>
  <c r="BE278" i="20"/>
  <c r="AD279" i="20"/>
  <c r="AD247" i="20"/>
  <c r="AD248" i="20" s="1"/>
  <c r="BE246" i="20"/>
  <c r="AD325" i="20"/>
  <c r="BE324" i="20"/>
  <c r="AD12" i="20"/>
  <c r="BE11" i="20"/>
  <c r="AD55" i="20"/>
  <c r="BE54" i="20"/>
  <c r="AS51" i="20"/>
  <c r="AS36" i="20"/>
  <c r="AD338" i="20"/>
  <c r="BE337" i="20"/>
  <c r="AD341" i="20"/>
  <c r="AD71" i="20"/>
  <c r="BE70" i="20"/>
  <c r="AD27" i="20"/>
  <c r="BE26" i="20"/>
  <c r="BE242" i="18"/>
  <c r="BE241" i="18"/>
  <c r="BE259" i="18"/>
  <c r="AD260" i="18"/>
  <c r="BE243" i="18"/>
  <c r="AD244" i="18"/>
  <c r="AD227" i="18"/>
  <c r="BE226" i="18"/>
  <c r="AD34" i="18"/>
  <c r="AD35" i="18" s="1"/>
  <c r="AD36" i="18" s="1"/>
  <c r="AD37" i="18" s="1"/>
  <c r="AD38" i="18" s="1"/>
  <c r="AD39" i="18" s="1"/>
  <c r="AD40" i="18" s="1"/>
  <c r="M19" i="18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AD63" i="18"/>
  <c r="BE63" i="18" s="1"/>
  <c r="BE62" i="18"/>
  <c r="BE108" i="18"/>
  <c r="BE99" i="18"/>
  <c r="BE83" i="18"/>
  <c r="AR165" i="20" l="1"/>
  <c r="AR166" i="20" s="1"/>
  <c r="AR167" i="20" s="1"/>
  <c r="AR168" i="20" s="1"/>
  <c r="AR169" i="20" s="1"/>
  <c r="AR170" i="20" s="1"/>
  <c r="AR171" i="20" s="1"/>
  <c r="AR172" i="20" s="1"/>
  <c r="AR173" i="20" s="1"/>
  <c r="AR174" i="20" s="1"/>
  <c r="AR175" i="20" s="1"/>
  <c r="AR176" i="20" s="1"/>
  <c r="AR177" i="20" s="1"/>
  <c r="AR178" i="20" s="1"/>
  <c r="AR179" i="20" s="1"/>
  <c r="AR180" i="20" s="1"/>
  <c r="AR181" i="20" s="1"/>
  <c r="AR182" i="20" s="1"/>
  <c r="AR183" i="20" s="1"/>
  <c r="AR184" i="20" s="1"/>
  <c r="AR185" i="20" s="1"/>
  <c r="AR186" i="20" s="1"/>
  <c r="AR187" i="20" s="1"/>
  <c r="AR188" i="20" s="1"/>
  <c r="AR189" i="20" s="1"/>
  <c r="AR190" i="20" s="1"/>
  <c r="AR191" i="20" s="1"/>
  <c r="AR192" i="20" s="1"/>
  <c r="AR193" i="20" s="1"/>
  <c r="AR194" i="20" s="1"/>
  <c r="AR195" i="20" s="1"/>
  <c r="AR196" i="20" s="1"/>
  <c r="AR197" i="20" s="1"/>
  <c r="AR198" i="20" s="1"/>
  <c r="AR199" i="20" s="1"/>
  <c r="AR200" i="20" s="1"/>
  <c r="AR201" i="20" s="1"/>
  <c r="AR202" i="20" s="1"/>
  <c r="AR203" i="20" s="1"/>
  <c r="AR204" i="20" s="1"/>
  <c r="AR205" i="20" s="1"/>
  <c r="AR206" i="20" s="1"/>
  <c r="AR207" i="20" s="1"/>
  <c r="AR208" i="20" s="1"/>
  <c r="AR209" i="20" s="1"/>
  <c r="AR210" i="20" s="1"/>
  <c r="AR211" i="20" s="1"/>
  <c r="AR212" i="20" s="1"/>
  <c r="AR213" i="20" s="1"/>
  <c r="Z34" i="20"/>
  <c r="Z35" i="20" s="1"/>
  <c r="Z36" i="20" s="1"/>
  <c r="Z37" i="20" s="1"/>
  <c r="Z38" i="20" s="1"/>
  <c r="Z39" i="20" s="1"/>
  <c r="M82" i="20"/>
  <c r="M83" i="20" s="1"/>
  <c r="M84" i="20" s="1"/>
  <c r="M85" i="20" s="1"/>
  <c r="M86" i="20" s="1"/>
  <c r="M87" i="20" s="1"/>
  <c r="M88" i="20" s="1"/>
  <c r="M89" i="20" s="1"/>
  <c r="M90" i="20" s="1"/>
  <c r="M91" i="20" s="1"/>
  <c r="M92" i="20" s="1"/>
  <c r="M94" i="20" s="1"/>
  <c r="M95" i="20" s="1"/>
  <c r="M96" i="20" s="1"/>
  <c r="M97" i="20" s="1"/>
  <c r="Z54" i="18"/>
  <c r="Z55" i="18" s="1"/>
  <c r="Z56" i="18" s="1"/>
  <c r="Z57" i="18" s="1"/>
  <c r="Z58" i="18" s="1"/>
  <c r="Z59" i="18" s="1"/>
  <c r="Z60" i="18" s="1"/>
  <c r="Z61" i="18" s="1"/>
  <c r="Z62" i="18" s="1"/>
  <c r="Z63" i="18" s="1"/>
  <c r="Z64" i="18" s="1"/>
  <c r="Z65" i="18" s="1"/>
  <c r="Z66" i="18" s="1"/>
  <c r="Z67" i="18" s="1"/>
  <c r="Z68" i="18" s="1"/>
  <c r="Z69" i="18" s="1"/>
  <c r="Z70" i="18" s="1"/>
  <c r="Z71" i="18" s="1"/>
  <c r="Z72" i="18" s="1"/>
  <c r="Z73" i="18" s="1"/>
  <c r="Z74" i="18" s="1"/>
  <c r="Z75" i="18" s="1"/>
  <c r="Z76" i="18" s="1"/>
  <c r="Z77" i="18" s="1"/>
  <c r="Z78" i="18" s="1"/>
  <c r="Z79" i="18" s="1"/>
  <c r="BE353" i="20"/>
  <c r="AD354" i="20"/>
  <c r="BE354" i="20" s="1"/>
  <c r="AD249" i="20"/>
  <c r="BE248" i="20"/>
  <c r="BE206" i="20"/>
  <c r="AD159" i="20"/>
  <c r="BE159" i="20" s="1"/>
  <c r="AD129" i="20"/>
  <c r="BE128" i="20"/>
  <c r="BE113" i="20"/>
  <c r="AD135" i="20"/>
  <c r="AD136" i="20" s="1"/>
  <c r="AD137" i="20" s="1"/>
  <c r="AS19" i="20"/>
  <c r="AS20" i="20" s="1"/>
  <c r="AS21" i="20" s="1"/>
  <c r="AS22" i="20" s="1"/>
  <c r="AS23" i="20" s="1"/>
  <c r="BE409" i="20"/>
  <c r="AD410" i="20"/>
  <c r="BE412" i="20"/>
  <c r="AD393" i="20"/>
  <c r="AD396" i="20"/>
  <c r="BE392" i="20"/>
  <c r="AD381" i="20"/>
  <c r="BE377" i="20"/>
  <c r="AD378" i="20"/>
  <c r="AD355" i="20"/>
  <c r="AD356" i="20" s="1"/>
  <c r="AD268" i="20"/>
  <c r="BE267" i="20"/>
  <c r="BE341" i="20"/>
  <c r="AD342" i="20"/>
  <c r="BE258" i="20"/>
  <c r="AD259" i="20"/>
  <c r="BE12" i="20"/>
  <c r="AD13" i="20"/>
  <c r="BE312" i="20"/>
  <c r="AD313" i="20"/>
  <c r="BE234" i="20"/>
  <c r="AD235" i="20"/>
  <c r="BE71" i="20"/>
  <c r="AD72" i="20"/>
  <c r="AD304" i="20"/>
  <c r="BE303" i="20"/>
  <c r="BE96" i="20"/>
  <c r="AD97" i="20"/>
  <c r="AD98" i="20" s="1"/>
  <c r="AD296" i="20"/>
  <c r="BE295" i="20"/>
  <c r="AD28" i="20"/>
  <c r="BE27" i="20"/>
  <c r="BE207" i="20"/>
  <c r="AD208" i="20"/>
  <c r="BE196" i="20"/>
  <c r="AD197" i="20"/>
  <c r="AD198" i="20" s="1"/>
  <c r="AD199" i="20" s="1"/>
  <c r="AD200" i="20" s="1"/>
  <c r="AD201" i="20" s="1"/>
  <c r="AD202" i="20" s="1"/>
  <c r="AD180" i="20"/>
  <c r="BE179" i="20"/>
  <c r="AS67" i="20"/>
  <c r="AS52" i="20"/>
  <c r="AS53" i="20" s="1"/>
  <c r="AS54" i="20" s="1"/>
  <c r="AS55" i="20" s="1"/>
  <c r="AS56" i="20" s="1"/>
  <c r="AS57" i="20" s="1"/>
  <c r="AS58" i="20" s="1"/>
  <c r="AS59" i="20" s="1"/>
  <c r="AS60" i="20" s="1"/>
  <c r="AS61" i="20" s="1"/>
  <c r="AS62" i="20" s="1"/>
  <c r="AS63" i="20" s="1"/>
  <c r="AS64" i="20" s="1"/>
  <c r="AS65" i="20" s="1"/>
  <c r="AS66" i="20" s="1"/>
  <c r="BE325" i="20"/>
  <c r="AD326" i="20"/>
  <c r="AD87" i="20"/>
  <c r="BE86" i="20"/>
  <c r="BE247" i="20"/>
  <c r="AD145" i="20"/>
  <c r="BE144" i="20"/>
  <c r="AD280" i="20"/>
  <c r="BE279" i="20"/>
  <c r="BE338" i="20"/>
  <c r="AD339" i="20"/>
  <c r="AS37" i="20"/>
  <c r="AS38" i="20" s="1"/>
  <c r="AS39" i="20" s="1"/>
  <c r="AS48" i="20"/>
  <c r="AS49" i="20" s="1"/>
  <c r="AS50" i="20" s="1"/>
  <c r="AD286" i="20"/>
  <c r="BE285" i="20"/>
  <c r="BE114" i="20"/>
  <c r="AD115" i="20"/>
  <c r="BE55" i="20"/>
  <c r="AD56" i="20"/>
  <c r="BE366" i="20"/>
  <c r="AD367" i="20"/>
  <c r="BE169" i="20"/>
  <c r="AD171" i="20"/>
  <c r="BE38" i="20"/>
  <c r="AD39" i="20"/>
  <c r="AD40" i="20" s="1"/>
  <c r="BE218" i="20"/>
  <c r="AD219" i="20"/>
  <c r="AD261" i="18"/>
  <c r="BE260" i="18"/>
  <c r="AD245" i="18"/>
  <c r="BE244" i="18"/>
  <c r="AD228" i="18"/>
  <c r="BE227" i="18"/>
  <c r="M32" i="18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BE109" i="18"/>
  <c r="BE84" i="18"/>
  <c r="Z43" i="20" l="1"/>
  <c r="Z44" i="20" s="1"/>
  <c r="Z45" i="20" s="1"/>
  <c r="Z46" i="20" s="1"/>
  <c r="Z47" i="20" s="1"/>
  <c r="Z48" i="20" s="1"/>
  <c r="Z49" i="20" s="1"/>
  <c r="Z50" i="20" s="1"/>
  <c r="Z51" i="20" s="1"/>
  <c r="Z52" i="20" s="1"/>
  <c r="Z53" i="20" s="1"/>
  <c r="Z54" i="20" s="1"/>
  <c r="Z55" i="20" s="1"/>
  <c r="Z56" i="20" s="1"/>
  <c r="Z57" i="20" s="1"/>
  <c r="Z58" i="20" s="1"/>
  <c r="Z59" i="20" s="1"/>
  <c r="Z60" i="20" s="1"/>
  <c r="Z61" i="20" s="1"/>
  <c r="Z62" i="20" s="1"/>
  <c r="Z63" i="20" s="1"/>
  <c r="Z40" i="20"/>
  <c r="Z41" i="20" s="1"/>
  <c r="Z42" i="20" s="1"/>
  <c r="BE249" i="20"/>
  <c r="AD250" i="20"/>
  <c r="AD251" i="20" s="1"/>
  <c r="AD252" i="20" s="1"/>
  <c r="AD253" i="20" s="1"/>
  <c r="AR215" i="20"/>
  <c r="AR216" i="20" s="1"/>
  <c r="AR217" i="20" s="1"/>
  <c r="AR218" i="20" s="1"/>
  <c r="AR219" i="20" s="1"/>
  <c r="AR220" i="20" s="1"/>
  <c r="AR221" i="20" s="1"/>
  <c r="AR222" i="20" s="1"/>
  <c r="AR223" i="20" s="1"/>
  <c r="AR224" i="20" s="1"/>
  <c r="AR225" i="20" s="1"/>
  <c r="AR226" i="20" s="1"/>
  <c r="AR227" i="20" s="1"/>
  <c r="AR228" i="20" s="1"/>
  <c r="AR229" i="20" s="1"/>
  <c r="AR230" i="20" s="1"/>
  <c r="AR231" i="20" s="1"/>
  <c r="AR232" i="20" s="1"/>
  <c r="AR233" i="20" s="1"/>
  <c r="AR234" i="20" s="1"/>
  <c r="AR235" i="20" s="1"/>
  <c r="AR236" i="20" s="1"/>
  <c r="AR237" i="20" s="1"/>
  <c r="AR238" i="20" s="1"/>
  <c r="AR239" i="20" s="1"/>
  <c r="AR240" i="20" s="1"/>
  <c r="AR241" i="20" s="1"/>
  <c r="AR242" i="20" s="1"/>
  <c r="AR243" i="20" s="1"/>
  <c r="AR244" i="20" s="1"/>
  <c r="AR245" i="20" s="1"/>
  <c r="AR246" i="20" s="1"/>
  <c r="AR247" i="20" s="1"/>
  <c r="AR248" i="20" s="1"/>
  <c r="AR249" i="20" s="1"/>
  <c r="AR214" i="20"/>
  <c r="M98" i="20"/>
  <c r="M99" i="20" s="1"/>
  <c r="M100" i="20" s="1"/>
  <c r="M101" i="20" s="1"/>
  <c r="M102" i="20"/>
  <c r="M103" i="20" s="1"/>
  <c r="M104" i="20" s="1"/>
  <c r="M105" i="20" s="1"/>
  <c r="M106" i="20" s="1"/>
  <c r="M107" i="20" s="1"/>
  <c r="M108" i="20" s="1"/>
  <c r="M109" i="20" s="1"/>
  <c r="M110" i="20" s="1"/>
  <c r="M111" i="20" s="1"/>
  <c r="M112" i="20" s="1"/>
  <c r="M113" i="20" s="1"/>
  <c r="M114" i="20" s="1"/>
  <c r="M115" i="20" s="1"/>
  <c r="M116" i="20" s="1"/>
  <c r="M117" i="20" s="1"/>
  <c r="M118" i="20" s="1"/>
  <c r="M119" i="20" s="1"/>
  <c r="M120" i="20" s="1"/>
  <c r="M121" i="20" s="1"/>
  <c r="M122" i="20" s="1"/>
  <c r="M123" i="20" s="1"/>
  <c r="M124" i="20" s="1"/>
  <c r="M125" i="20" s="1"/>
  <c r="M126" i="20" s="1"/>
  <c r="M127" i="20" s="1"/>
  <c r="M134" i="20" s="1"/>
  <c r="M135" i="20" s="1"/>
  <c r="M136" i="20" s="1"/>
  <c r="M137" i="20" s="1"/>
  <c r="M138" i="20" s="1"/>
  <c r="M139" i="20" s="1"/>
  <c r="M140" i="20" s="1"/>
  <c r="M141" i="20" s="1"/>
  <c r="M142" i="20" s="1"/>
  <c r="M143" i="20" s="1"/>
  <c r="M144" i="20" s="1"/>
  <c r="M145" i="20" s="1"/>
  <c r="M146" i="20" s="1"/>
  <c r="M147" i="20" s="1"/>
  <c r="M148" i="20" s="1"/>
  <c r="M149" i="20" s="1"/>
  <c r="M150" i="20" s="1"/>
  <c r="M151" i="20" s="1"/>
  <c r="M152" i="20" s="1"/>
  <c r="M153" i="20" s="1"/>
  <c r="M154" i="20" s="1"/>
  <c r="M156" i="20" s="1"/>
  <c r="M157" i="20" s="1"/>
  <c r="M158" i="20" s="1"/>
  <c r="M159" i="20" s="1"/>
  <c r="M160" i="20" s="1"/>
  <c r="M161" i="20" s="1"/>
  <c r="M162" i="20" s="1"/>
  <c r="M163" i="20" s="1"/>
  <c r="M164" i="20" s="1"/>
  <c r="Z67" i="20"/>
  <c r="Z68" i="20" s="1"/>
  <c r="Z69" i="20" s="1"/>
  <c r="Z70" i="20" s="1"/>
  <c r="Z71" i="20" s="1"/>
  <c r="Z72" i="20" s="1"/>
  <c r="Z73" i="20" s="1"/>
  <c r="Z74" i="20" s="1"/>
  <c r="Z75" i="20" s="1"/>
  <c r="Z76" i="20" s="1"/>
  <c r="Z77" i="20" s="1"/>
  <c r="Z78" i="20" s="1"/>
  <c r="Z79" i="20" s="1"/>
  <c r="Z80" i="20" s="1"/>
  <c r="Z81" i="20" s="1"/>
  <c r="Z64" i="20"/>
  <c r="Z65" i="20" s="1"/>
  <c r="Z66" i="20" s="1"/>
  <c r="Z81" i="18"/>
  <c r="Z82" i="18" s="1"/>
  <c r="Z83" i="18" s="1"/>
  <c r="Z84" i="18" s="1"/>
  <c r="Z85" i="18" s="1"/>
  <c r="Z86" i="18" s="1"/>
  <c r="Z87" i="18" s="1"/>
  <c r="Z88" i="18" s="1"/>
  <c r="Z89" i="18" s="1"/>
  <c r="Z90" i="18" s="1"/>
  <c r="Z91" i="18" s="1"/>
  <c r="Z92" i="18" s="1"/>
  <c r="Z93" i="18" s="1"/>
  <c r="Z94" i="18" s="1"/>
  <c r="Z95" i="18" s="1"/>
  <c r="Z96" i="18" s="1"/>
  <c r="Z97" i="18" s="1"/>
  <c r="Z98" i="18" s="1"/>
  <c r="Z99" i="18" s="1"/>
  <c r="Z100" i="18" s="1"/>
  <c r="Z101" i="18" s="1"/>
  <c r="Z102" i="18" s="1"/>
  <c r="Z103" i="18" s="1"/>
  <c r="Z104" i="18" s="1"/>
  <c r="Z105" i="18" s="1"/>
  <c r="Z80" i="18"/>
  <c r="AD160" i="20"/>
  <c r="AD161" i="20" s="1"/>
  <c r="BE135" i="20"/>
  <c r="BE129" i="20"/>
  <c r="AD130" i="20"/>
  <c r="AD99" i="20"/>
  <c r="BE98" i="20"/>
  <c r="BE136" i="20"/>
  <c r="AD41" i="20"/>
  <c r="BE40" i="20"/>
  <c r="AS43" i="20"/>
  <c r="AS44" i="20" s="1"/>
  <c r="AS45" i="20" s="1"/>
  <c r="AS46" i="20" s="1"/>
  <c r="AS47" i="20" s="1"/>
  <c r="AS40" i="20"/>
  <c r="AS41" i="20" s="1"/>
  <c r="AS42" i="20" s="1"/>
  <c r="BE410" i="20"/>
  <c r="AD411" i="20"/>
  <c r="BE411" i="20" s="1"/>
  <c r="BE393" i="20"/>
  <c r="AD394" i="20"/>
  <c r="BE396" i="20"/>
  <c r="AD397" i="20"/>
  <c r="BE378" i="20"/>
  <c r="AD379" i="20"/>
  <c r="BE381" i="20"/>
  <c r="AD382" i="20"/>
  <c r="BE355" i="20"/>
  <c r="AD269" i="20"/>
  <c r="BE268" i="20"/>
  <c r="AD138" i="20"/>
  <c r="BE137" i="20"/>
  <c r="BE72" i="20"/>
  <c r="AD73" i="20"/>
  <c r="BE87" i="20"/>
  <c r="AD88" i="20"/>
  <c r="BE28" i="20"/>
  <c r="AD29" i="20"/>
  <c r="AD220" i="20"/>
  <c r="BE219" i="20"/>
  <c r="BE367" i="20"/>
  <c r="AD368" i="20"/>
  <c r="BE235" i="20"/>
  <c r="AD236" i="20"/>
  <c r="BE259" i="20"/>
  <c r="AD260" i="20"/>
  <c r="BE171" i="20"/>
  <c r="AD172" i="20"/>
  <c r="BE339" i="20"/>
  <c r="AD340" i="20"/>
  <c r="BE340" i="20" s="1"/>
  <c r="BE326" i="20"/>
  <c r="AD327" i="20"/>
  <c r="BE197" i="20"/>
  <c r="BE97" i="20"/>
  <c r="AD102" i="20"/>
  <c r="AD357" i="20"/>
  <c r="BE356" i="20"/>
  <c r="AD343" i="20"/>
  <c r="BE342" i="20"/>
  <c r="AS68" i="20"/>
  <c r="AS69" i="20" s="1"/>
  <c r="AS70" i="20" s="1"/>
  <c r="AS71" i="20" s="1"/>
  <c r="AS72" i="20" s="1"/>
  <c r="AS73" i="20" s="1"/>
  <c r="AS74" i="20" s="1"/>
  <c r="AS75" i="20" s="1"/>
  <c r="AS76" i="20" s="1"/>
  <c r="AS77" i="20" s="1"/>
  <c r="AS78" i="20" s="1"/>
  <c r="AS79" i="20" s="1"/>
  <c r="AS80" i="20" s="1"/>
  <c r="AS81" i="20" s="1"/>
  <c r="AS82" i="20"/>
  <c r="BE304" i="20"/>
  <c r="AD305" i="20"/>
  <c r="BE13" i="20"/>
  <c r="AD14" i="20"/>
  <c r="BE296" i="20"/>
  <c r="AD297" i="20"/>
  <c r="AD57" i="20"/>
  <c r="BE56" i="20"/>
  <c r="BE145" i="20"/>
  <c r="AD146" i="20"/>
  <c r="AD281" i="20"/>
  <c r="BE280" i="20"/>
  <c r="BE286" i="20"/>
  <c r="AD287" i="20"/>
  <c r="BE180" i="20"/>
  <c r="AD181" i="20"/>
  <c r="AD182" i="20" s="1"/>
  <c r="AD43" i="20"/>
  <c r="BE39" i="20"/>
  <c r="BE115" i="20"/>
  <c r="AD116" i="20"/>
  <c r="BE208" i="20"/>
  <c r="AD209" i="20"/>
  <c r="AD314" i="20"/>
  <c r="BE313" i="20"/>
  <c r="BE261" i="18"/>
  <c r="AD262" i="18"/>
  <c r="AD246" i="18"/>
  <c r="BE246" i="18" s="1"/>
  <c r="BE245" i="18"/>
  <c r="AD229" i="18"/>
  <c r="BE228" i="18"/>
  <c r="M54" i="18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BE110" i="18"/>
  <c r="BE100" i="18"/>
  <c r="BE85" i="18"/>
  <c r="M165" i="20" l="1"/>
  <c r="M166" i="20" s="1"/>
  <c r="M167" i="20" s="1"/>
  <c r="M168" i="20" s="1"/>
  <c r="M169" i="20" s="1"/>
  <c r="M128" i="20"/>
  <c r="M129" i="20" s="1"/>
  <c r="M130" i="20" s="1"/>
  <c r="M131" i="20" s="1"/>
  <c r="M132" i="20" s="1"/>
  <c r="M133" i="20" s="1"/>
  <c r="AR250" i="20"/>
  <c r="AR251" i="20" s="1"/>
  <c r="AR252" i="20" s="1"/>
  <c r="AR253" i="20" s="1"/>
  <c r="AR254" i="20" s="1"/>
  <c r="AR255" i="20" s="1"/>
  <c r="AR256" i="20" s="1"/>
  <c r="AR257" i="20" s="1"/>
  <c r="AR258" i="20" s="1"/>
  <c r="AR259" i="20" s="1"/>
  <c r="AR260" i="20" s="1"/>
  <c r="AR261" i="20" s="1"/>
  <c r="AR262" i="20" s="1"/>
  <c r="AR263" i="20" s="1"/>
  <c r="AR264" i="20" s="1"/>
  <c r="AR265" i="20" s="1"/>
  <c r="AR266" i="20" s="1"/>
  <c r="AR267" i="20" s="1"/>
  <c r="AR268" i="20" s="1"/>
  <c r="AR269" i="20" s="1"/>
  <c r="AR270" i="20" s="1"/>
  <c r="AR271" i="20" s="1"/>
  <c r="AR272" i="20" s="1"/>
  <c r="AR273" i="20" s="1"/>
  <c r="AR274" i="20" s="1"/>
  <c r="AR275" i="20" s="1"/>
  <c r="AR276" i="20" s="1"/>
  <c r="AR277" i="20" s="1"/>
  <c r="AR278" i="20" s="1"/>
  <c r="AR279" i="20" s="1"/>
  <c r="AR280" i="20" s="1"/>
  <c r="AR281" i="20" s="1"/>
  <c r="AR282" i="20" s="1"/>
  <c r="AR283" i="20" s="1"/>
  <c r="AR284" i="20" s="1"/>
  <c r="AR285" i="20" s="1"/>
  <c r="AR286" i="20" s="1"/>
  <c r="AR287" i="20" s="1"/>
  <c r="AR288" i="20" s="1"/>
  <c r="AR289" i="20" s="1"/>
  <c r="AR290" i="20" s="1"/>
  <c r="AR291" i="20" s="1"/>
  <c r="AR292" i="20" s="1"/>
  <c r="AR293" i="20" s="1"/>
  <c r="AR294" i="20" s="1"/>
  <c r="AR295" i="20" s="1"/>
  <c r="AR296" i="20" s="1"/>
  <c r="AR297" i="20" s="1"/>
  <c r="AR298" i="20" s="1"/>
  <c r="AR299" i="20" s="1"/>
  <c r="AR300" i="20" s="1"/>
  <c r="AR301" i="20" s="1"/>
  <c r="AR302" i="20" s="1"/>
  <c r="AR303" i="20" s="1"/>
  <c r="AR304" i="20" s="1"/>
  <c r="AR305" i="20" s="1"/>
  <c r="AR306" i="20" s="1"/>
  <c r="AR307" i="20" s="1"/>
  <c r="AR308" i="20" s="1"/>
  <c r="AR309" i="20" s="1"/>
  <c r="AR310" i="20" s="1"/>
  <c r="AR311" i="20" s="1"/>
  <c r="AR312" i="20" s="1"/>
  <c r="AR313" i="20" s="1"/>
  <c r="AR314" i="20" s="1"/>
  <c r="AR315" i="20" s="1"/>
  <c r="AR316" i="20" s="1"/>
  <c r="AR317" i="20" s="1"/>
  <c r="AR318" i="20" s="1"/>
  <c r="AR319" i="20" s="1"/>
  <c r="AR320" i="20" s="1"/>
  <c r="AR322" i="20" s="1"/>
  <c r="AR323" i="20" s="1"/>
  <c r="AR324" i="20" s="1"/>
  <c r="AR325" i="20" s="1"/>
  <c r="AR326" i="20" s="1"/>
  <c r="AR327" i="20" s="1"/>
  <c r="AR328" i="20" s="1"/>
  <c r="AR329" i="20" s="1"/>
  <c r="AR330" i="20" s="1"/>
  <c r="AR331" i="20" s="1"/>
  <c r="AR332" i="20" s="1"/>
  <c r="Z82" i="20"/>
  <c r="Z83" i="20" s="1"/>
  <c r="Z84" i="20" s="1"/>
  <c r="Z85" i="20" s="1"/>
  <c r="Z86" i="20" s="1"/>
  <c r="Z87" i="20" s="1"/>
  <c r="Z88" i="20" s="1"/>
  <c r="Z89" i="20" s="1"/>
  <c r="Z90" i="20" s="1"/>
  <c r="Z91" i="20" s="1"/>
  <c r="Z92" i="20" s="1"/>
  <c r="Z93" i="20" s="1"/>
  <c r="Z94" i="20" s="1"/>
  <c r="Z95" i="20" s="1"/>
  <c r="Z96" i="20" s="1"/>
  <c r="Z97" i="20" s="1"/>
  <c r="Z98" i="20" s="1"/>
  <c r="Z99" i="20" s="1"/>
  <c r="Z100" i="20" s="1"/>
  <c r="Z101" i="20" s="1"/>
  <c r="Z102" i="20" s="1"/>
  <c r="Z103" i="20" s="1"/>
  <c r="Z104" i="20" s="1"/>
  <c r="Z105" i="20" s="1"/>
  <c r="Z106" i="20" s="1"/>
  <c r="Z107" i="20" s="1"/>
  <c r="Z108" i="20" s="1"/>
  <c r="Z109" i="20" s="1"/>
  <c r="Z110" i="20" s="1"/>
  <c r="Z111" i="20" s="1"/>
  <c r="Z112" i="20" s="1"/>
  <c r="Z113" i="20" s="1"/>
  <c r="Z114" i="20" s="1"/>
  <c r="Z115" i="20" s="1"/>
  <c r="Z116" i="20" s="1"/>
  <c r="Z117" i="20" s="1"/>
  <c r="Z118" i="20" s="1"/>
  <c r="Z119" i="20" s="1"/>
  <c r="Z120" i="20" s="1"/>
  <c r="Z121" i="20" s="1"/>
  <c r="Z122" i="20" s="1"/>
  <c r="Z123" i="20" s="1"/>
  <c r="Z124" i="20" s="1"/>
  <c r="Z125" i="20" s="1"/>
  <c r="Z126" i="20" s="1"/>
  <c r="Z127" i="20" s="1"/>
  <c r="Z128" i="20" s="1"/>
  <c r="Z129" i="20" s="1"/>
  <c r="Z130" i="20" s="1"/>
  <c r="Z131" i="20" s="1"/>
  <c r="Z132" i="20" s="1"/>
  <c r="Z133" i="20" s="1"/>
  <c r="Z134" i="20" s="1"/>
  <c r="Z135" i="20" s="1"/>
  <c r="Z136" i="20" s="1"/>
  <c r="Z137" i="20" s="1"/>
  <c r="Z138" i="20" s="1"/>
  <c r="Z139" i="20" s="1"/>
  <c r="Z140" i="20" s="1"/>
  <c r="Z141" i="20" s="1"/>
  <c r="Z142" i="20" s="1"/>
  <c r="Z143" i="20" s="1"/>
  <c r="Z144" i="20" s="1"/>
  <c r="Z145" i="20" s="1"/>
  <c r="Z146" i="20" s="1"/>
  <c r="Z147" i="20" s="1"/>
  <c r="Z148" i="20" s="1"/>
  <c r="Z149" i="20" s="1"/>
  <c r="Z150" i="20" s="1"/>
  <c r="Z151" i="20" s="1"/>
  <c r="Z152" i="20" s="1"/>
  <c r="Z153" i="20" s="1"/>
  <c r="Z154" i="20" s="1"/>
  <c r="Z155" i="20" s="1"/>
  <c r="Z156" i="20" s="1"/>
  <c r="Z157" i="20" s="1"/>
  <c r="Z158" i="20" s="1"/>
  <c r="Z159" i="20" s="1"/>
  <c r="Z160" i="20" s="1"/>
  <c r="Z161" i="20" s="1"/>
  <c r="Z162" i="20" s="1"/>
  <c r="Z163" i="20" s="1"/>
  <c r="Z164" i="20" s="1"/>
  <c r="Z106" i="18"/>
  <c r="Z107" i="18" s="1"/>
  <c r="Z108" i="18" s="1"/>
  <c r="Z109" i="18" s="1"/>
  <c r="Z110" i="18" s="1"/>
  <c r="Z111" i="18" s="1"/>
  <c r="Z112" i="18" s="1"/>
  <c r="Z113" i="18" s="1"/>
  <c r="Z114" i="18" s="1"/>
  <c r="Z115" i="18" s="1"/>
  <c r="Z116" i="18" s="1"/>
  <c r="Z117" i="18" s="1"/>
  <c r="Z118" i="18" s="1"/>
  <c r="Z119" i="18" s="1"/>
  <c r="Z120" i="18" s="1"/>
  <c r="Z121" i="18" s="1"/>
  <c r="Z122" i="18" s="1"/>
  <c r="Z123" i="18" s="1"/>
  <c r="Z124" i="18" s="1"/>
  <c r="Z125" i="18" s="1"/>
  <c r="Z126" i="18" s="1"/>
  <c r="Z127" i="18" s="1"/>
  <c r="Z128" i="18" s="1"/>
  <c r="Z129" i="18" s="1"/>
  <c r="Z130" i="18" s="1"/>
  <c r="Z131" i="18" s="1"/>
  <c r="Z132" i="18" s="1"/>
  <c r="Z133" i="18" s="1"/>
  <c r="Z134" i="18" s="1"/>
  <c r="Z135" i="18" s="1"/>
  <c r="Z136" i="18" s="1"/>
  <c r="Z137" i="18" s="1"/>
  <c r="Z138" i="18" s="1"/>
  <c r="Z139" i="18" s="1"/>
  <c r="Z140" i="18" s="1"/>
  <c r="Z141" i="18" s="1"/>
  <c r="Z142" i="18" s="1"/>
  <c r="Z143" i="18" s="1"/>
  <c r="Z144" i="18" s="1"/>
  <c r="Z145" i="18" s="1"/>
  <c r="Z146" i="18" s="1"/>
  <c r="Z147" i="18" s="1"/>
  <c r="Z148" i="18" s="1"/>
  <c r="Z149" i="18" s="1"/>
  <c r="Z150" i="18" s="1"/>
  <c r="Z151" i="18" s="1"/>
  <c r="Z152" i="18" s="1"/>
  <c r="Z153" i="18" s="1"/>
  <c r="Z154" i="18" s="1"/>
  <c r="Z155" i="18" s="1"/>
  <c r="Z156" i="18" s="1"/>
  <c r="Z157" i="18" s="1"/>
  <c r="Z158" i="18" s="1"/>
  <c r="Z159" i="18" s="1"/>
  <c r="Z160" i="18" s="1"/>
  <c r="M81" i="18"/>
  <c r="M82" i="18" s="1"/>
  <c r="M83" i="18" s="1"/>
  <c r="M84" i="18" s="1"/>
  <c r="M85" i="18" s="1"/>
  <c r="M86" i="18" s="1"/>
  <c r="M87" i="18" s="1"/>
  <c r="M88" i="18" s="1"/>
  <c r="M89" i="18" s="1"/>
  <c r="M90" i="18" s="1"/>
  <c r="M91" i="18" s="1"/>
  <c r="M92" i="18" s="1"/>
  <c r="M93" i="18" s="1"/>
  <c r="M94" i="18" s="1"/>
  <c r="M95" i="18" s="1"/>
  <c r="M96" i="18" s="1"/>
  <c r="M97" i="18" s="1"/>
  <c r="M98" i="18" s="1"/>
  <c r="M99" i="18" s="1"/>
  <c r="BE160" i="20"/>
  <c r="AD183" i="20"/>
  <c r="BE183" i="20" s="1"/>
  <c r="BE182" i="20"/>
  <c r="BE130" i="20"/>
  <c r="AD131" i="20"/>
  <c r="BE99" i="20"/>
  <c r="AD100" i="20"/>
  <c r="AD42" i="20"/>
  <c r="BE42" i="20" s="1"/>
  <c r="BE41" i="20"/>
  <c r="BE394" i="20"/>
  <c r="AD395" i="20"/>
  <c r="BE395" i="20" s="1"/>
  <c r="BE397" i="20"/>
  <c r="AD398" i="20"/>
  <c r="AD383" i="20"/>
  <c r="AD384" i="20" s="1"/>
  <c r="BE382" i="20"/>
  <c r="AD380" i="20"/>
  <c r="BE380" i="20" s="1"/>
  <c r="BE379" i="20"/>
  <c r="BE269" i="20"/>
  <c r="AD270" i="20"/>
  <c r="AD162" i="20"/>
  <c r="BE161" i="20"/>
  <c r="BE116" i="20"/>
  <c r="AD117" i="20"/>
  <c r="AD119" i="20"/>
  <c r="AD298" i="20"/>
  <c r="BE297" i="20"/>
  <c r="AS83" i="20"/>
  <c r="AS84" i="20" s="1"/>
  <c r="AS85" i="20" s="1"/>
  <c r="AS86" i="20" s="1"/>
  <c r="AS87" i="20" s="1"/>
  <c r="AS88" i="20" s="1"/>
  <c r="AS89" i="20" s="1"/>
  <c r="AS90" i="20" s="1"/>
  <c r="AS91" i="20" s="1"/>
  <c r="AS92" i="20" s="1"/>
  <c r="AS93" i="20"/>
  <c r="AD261" i="20"/>
  <c r="BE260" i="20"/>
  <c r="AD30" i="20"/>
  <c r="BE29" i="20"/>
  <c r="AD147" i="20"/>
  <c r="BE146" i="20"/>
  <c r="AD330" i="20"/>
  <c r="AD328" i="20"/>
  <c r="BE327" i="20"/>
  <c r="BE236" i="20"/>
  <c r="AD237" i="20"/>
  <c r="BE88" i="20"/>
  <c r="AD89" i="20"/>
  <c r="BE281" i="20"/>
  <c r="AD282" i="20"/>
  <c r="BE314" i="20"/>
  <c r="AD315" i="20"/>
  <c r="AD44" i="20"/>
  <c r="BE43" i="20"/>
  <c r="AD210" i="20"/>
  <c r="BE209" i="20"/>
  <c r="AD15" i="20"/>
  <c r="BE14" i="20"/>
  <c r="AD369" i="20"/>
  <c r="BE368" i="20"/>
  <c r="AD74" i="20"/>
  <c r="BE73" i="20"/>
  <c r="BE181" i="20"/>
  <c r="AD184" i="20"/>
  <c r="AD358" i="20"/>
  <c r="BE357" i="20"/>
  <c r="BE343" i="20"/>
  <c r="AD344" i="20"/>
  <c r="BE287" i="20"/>
  <c r="AD288" i="20"/>
  <c r="BE305" i="20"/>
  <c r="AD306" i="20"/>
  <c r="BE306" i="20" s="1"/>
  <c r="AD103" i="20"/>
  <c r="BE102" i="20"/>
  <c r="AD173" i="20"/>
  <c r="BE172" i="20"/>
  <c r="AD58" i="20"/>
  <c r="BE57" i="20"/>
  <c r="AD221" i="20"/>
  <c r="BE220" i="20"/>
  <c r="BE138" i="20"/>
  <c r="AD139" i="20"/>
  <c r="AD263" i="18"/>
  <c r="BE262" i="18"/>
  <c r="AD230" i="18"/>
  <c r="BE229" i="18"/>
  <c r="BE111" i="18"/>
  <c r="BE101" i="18"/>
  <c r="BE86" i="18"/>
  <c r="M171" i="20" l="1"/>
  <c r="M172" i="20" s="1"/>
  <c r="M173" i="20" s="1"/>
  <c r="M174" i="20" s="1"/>
  <c r="M175" i="20" s="1"/>
  <c r="M176" i="20" s="1"/>
  <c r="M177" i="20" s="1"/>
  <c r="M178" i="20" s="1"/>
  <c r="M179" i="20" s="1"/>
  <c r="M180" i="20" s="1"/>
  <c r="M181" i="20" s="1"/>
  <c r="M170" i="20"/>
  <c r="Z165" i="20"/>
  <c r="Z166" i="20" s="1"/>
  <c r="Z167" i="20" s="1"/>
  <c r="Z168" i="20" s="1"/>
  <c r="Z169" i="20" s="1"/>
  <c r="Z170" i="20" s="1"/>
  <c r="Z171" i="20" s="1"/>
  <c r="Z172" i="20" s="1"/>
  <c r="Z173" i="20" s="1"/>
  <c r="Z174" i="20" s="1"/>
  <c r="Z175" i="20" s="1"/>
  <c r="Z176" i="20" s="1"/>
  <c r="Z177" i="20" s="1"/>
  <c r="Z178" i="20" s="1"/>
  <c r="Z179" i="20" s="1"/>
  <c r="Z180" i="20" s="1"/>
  <c r="Z181" i="20" s="1"/>
  <c r="Z182" i="20" s="1"/>
  <c r="Z183" i="20" s="1"/>
  <c r="Z184" i="20" s="1"/>
  <c r="Z185" i="20" s="1"/>
  <c r="Z186" i="20" s="1"/>
  <c r="Z187" i="20" s="1"/>
  <c r="Z188" i="20" s="1"/>
  <c r="Z189" i="20" s="1"/>
  <c r="Z190" i="20" s="1"/>
  <c r="Z191" i="20" s="1"/>
  <c r="Z192" i="20" s="1"/>
  <c r="Z193" i="20" s="1"/>
  <c r="Z194" i="20" s="1"/>
  <c r="Z195" i="20" s="1"/>
  <c r="Z196" i="20" s="1"/>
  <c r="Z197" i="20" s="1"/>
  <c r="Z198" i="20" s="1"/>
  <c r="Z199" i="20" s="1"/>
  <c r="Z200" i="20" s="1"/>
  <c r="Z201" i="20" s="1"/>
  <c r="Z202" i="20" s="1"/>
  <c r="Z203" i="20" s="1"/>
  <c r="Z204" i="20" s="1"/>
  <c r="Z205" i="20" s="1"/>
  <c r="Z206" i="20" s="1"/>
  <c r="Z207" i="20" s="1"/>
  <c r="Z208" i="20" s="1"/>
  <c r="Z209" i="20" s="1"/>
  <c r="Z210" i="20" s="1"/>
  <c r="Z211" i="20" s="1"/>
  <c r="Z212" i="20" s="1"/>
  <c r="Z213" i="20" s="1"/>
  <c r="AR334" i="20"/>
  <c r="AR335" i="20" s="1"/>
  <c r="AR336" i="20" s="1"/>
  <c r="AR337" i="20" s="1"/>
  <c r="AR338" i="20" s="1"/>
  <c r="AR339" i="20" s="1"/>
  <c r="AR340" i="20" s="1"/>
  <c r="AR341" i="20" s="1"/>
  <c r="AR342" i="20" s="1"/>
  <c r="AR343" i="20" s="1"/>
  <c r="AR344" i="20" s="1"/>
  <c r="AR345" i="20" s="1"/>
  <c r="AR346" i="20" s="1"/>
  <c r="AR347" i="20" s="1"/>
  <c r="AR333" i="20"/>
  <c r="M204" i="20"/>
  <c r="M205" i="20" s="1"/>
  <c r="M206" i="20" s="1"/>
  <c r="M207" i="20" s="1"/>
  <c r="M208" i="20" s="1"/>
  <c r="M209" i="20" s="1"/>
  <c r="M210" i="20" s="1"/>
  <c r="M211" i="20" s="1"/>
  <c r="M212" i="20" s="1"/>
  <c r="M213" i="20" s="1"/>
  <c r="M215" i="20" s="1"/>
  <c r="M216" i="20" s="1"/>
  <c r="M217" i="20" s="1"/>
  <c r="M218" i="20" s="1"/>
  <c r="M219" i="20" s="1"/>
  <c r="M220" i="20" s="1"/>
  <c r="M221" i="20" s="1"/>
  <c r="M222" i="20" s="1"/>
  <c r="M223" i="20" s="1"/>
  <c r="M224" i="20" s="1"/>
  <c r="M225" i="20" s="1"/>
  <c r="M226" i="20" s="1"/>
  <c r="M227" i="20" s="1"/>
  <c r="M228" i="20" s="1"/>
  <c r="M229" i="20" s="1"/>
  <c r="M230" i="20" s="1"/>
  <c r="M231" i="20" s="1"/>
  <c r="M232" i="20" s="1"/>
  <c r="M233" i="20" s="1"/>
  <c r="M234" i="20" s="1"/>
  <c r="M235" i="20" s="1"/>
  <c r="M236" i="20" s="1"/>
  <c r="M237" i="20" s="1"/>
  <c r="M238" i="20" s="1"/>
  <c r="M239" i="20" s="1"/>
  <c r="M240" i="20" s="1"/>
  <c r="M241" i="20" s="1"/>
  <c r="M242" i="20" s="1"/>
  <c r="M243" i="20" s="1"/>
  <c r="M244" i="20" s="1"/>
  <c r="M245" i="20" s="1"/>
  <c r="M246" i="20" s="1"/>
  <c r="M247" i="20" s="1"/>
  <c r="M248" i="20" s="1"/>
  <c r="M249" i="20" s="1"/>
  <c r="AD385" i="20"/>
  <c r="BE384" i="20"/>
  <c r="Z162" i="18"/>
  <c r="Z163" i="18" s="1"/>
  <c r="Z164" i="18" s="1"/>
  <c r="Z165" i="18" s="1"/>
  <c r="Z166" i="18" s="1"/>
  <c r="Z167" i="18" s="1"/>
  <c r="Z168" i="18" s="1"/>
  <c r="Z169" i="18" s="1"/>
  <c r="Z170" i="18" s="1"/>
  <c r="Z171" i="18" s="1"/>
  <c r="Z172" i="18" s="1"/>
  <c r="Z173" i="18" s="1"/>
  <c r="Z174" i="18" s="1"/>
  <c r="Z175" i="18" s="1"/>
  <c r="Z176" i="18" s="1"/>
  <c r="Z177" i="18" s="1"/>
  <c r="Z178" i="18" s="1"/>
  <c r="Z179" i="18" s="1"/>
  <c r="Z180" i="18" s="1"/>
  <c r="Z181" i="18" s="1"/>
  <c r="Z182" i="18" s="1"/>
  <c r="Z183" i="18" s="1"/>
  <c r="Z184" i="18" s="1"/>
  <c r="Z185" i="18" s="1"/>
  <c r="Z186" i="18" s="1"/>
  <c r="Z187" i="18" s="1"/>
  <c r="Z188" i="18" s="1"/>
  <c r="Z189" i="18" s="1"/>
  <c r="Z190" i="18" s="1"/>
  <c r="Z191" i="18" s="1"/>
  <c r="Z192" i="18" s="1"/>
  <c r="Z193" i="18" s="1"/>
  <c r="Z194" i="18" s="1"/>
  <c r="Z195" i="18" s="1"/>
  <c r="Z196" i="18" s="1"/>
  <c r="Z197" i="18" s="1"/>
  <c r="Z198" i="18" s="1"/>
  <c r="Z199" i="18" s="1"/>
  <c r="Z200" i="18" s="1"/>
  <c r="Z201" i="18" s="1"/>
  <c r="Z202" i="18" s="1"/>
  <c r="Z203" i="18" s="1"/>
  <c r="Z204" i="18" s="1"/>
  <c r="Z205" i="18" s="1"/>
  <c r="Z206" i="18" s="1"/>
  <c r="Z207" i="18" s="1"/>
  <c r="Z208" i="18" s="1"/>
  <c r="Z209" i="18" s="1"/>
  <c r="Z210" i="18" s="1"/>
  <c r="Z211" i="18" s="1"/>
  <c r="Z212" i="18" s="1"/>
  <c r="Z213" i="18" s="1"/>
  <c r="Z214" i="18" s="1"/>
  <c r="Z215" i="18" s="1"/>
  <c r="Z216" i="18" s="1"/>
  <c r="Z217" i="18" s="1"/>
  <c r="Z218" i="18" s="1"/>
  <c r="Z219" i="18" s="1"/>
  <c r="Z220" i="18" s="1"/>
  <c r="Z221" i="18" s="1"/>
  <c r="Z222" i="18" s="1"/>
  <c r="Z223" i="18" s="1"/>
  <c r="Z224" i="18" s="1"/>
  <c r="Z225" i="18" s="1"/>
  <c r="Z226" i="18" s="1"/>
  <c r="Z227" i="18" s="1"/>
  <c r="Z228" i="18" s="1"/>
  <c r="Z229" i="18" s="1"/>
  <c r="Z230" i="18" s="1"/>
  <c r="Z231" i="18" s="1"/>
  <c r="Z232" i="18" s="1"/>
  <c r="Z233" i="18" s="1"/>
  <c r="Z234" i="18" s="1"/>
  <c r="Z235" i="18" s="1"/>
  <c r="Z236" i="18" s="1"/>
  <c r="Z237" i="18" s="1"/>
  <c r="Z238" i="18" s="1"/>
  <c r="Z239" i="18" s="1"/>
  <c r="Z240" i="18" s="1"/>
  <c r="Z241" i="18" s="1"/>
  <c r="Z242" i="18" s="1"/>
  <c r="Z243" i="18" s="1"/>
  <c r="Z244" i="18" s="1"/>
  <c r="Z245" i="18" s="1"/>
  <c r="Z246" i="18" s="1"/>
  <c r="Z247" i="18" s="1"/>
  <c r="Z248" i="18" s="1"/>
  <c r="Z249" i="18" s="1"/>
  <c r="Z250" i="18" s="1"/>
  <c r="Z251" i="18" s="1"/>
  <c r="Z252" i="18" s="1"/>
  <c r="Z253" i="18" s="1"/>
  <c r="Z254" i="18" s="1"/>
  <c r="Z255" i="18" s="1"/>
  <c r="Z256" i="18" s="1"/>
  <c r="Z257" i="18" s="1"/>
  <c r="Z258" i="18" s="1"/>
  <c r="Z259" i="18" s="1"/>
  <c r="Z260" i="18" s="1"/>
  <c r="Z261" i="18" s="1"/>
  <c r="Z262" i="18" s="1"/>
  <c r="Z263" i="18" s="1"/>
  <c r="Z264" i="18" s="1"/>
  <c r="Z265" i="18" s="1"/>
  <c r="Z266" i="18" s="1"/>
  <c r="Z267" i="18" s="1"/>
  <c r="Z268" i="18" s="1"/>
  <c r="Z269" i="18" s="1"/>
  <c r="Z270" i="18" s="1"/>
  <c r="Z271" i="18" s="1"/>
  <c r="Z272" i="18" s="1"/>
  <c r="Z273" i="18" s="1"/>
  <c r="Z274" i="18" s="1"/>
  <c r="Z275" i="18" s="1"/>
  <c r="Z276" i="18" s="1"/>
  <c r="Z277" i="18" s="1"/>
  <c r="Z278" i="18" s="1"/>
  <c r="Z279" i="18" s="1"/>
  <c r="Z280" i="18" s="1"/>
  <c r="Z281" i="18" s="1"/>
  <c r="Z282" i="18" s="1"/>
  <c r="Z283" i="18" s="1"/>
  <c r="Z284" i="18" s="1"/>
  <c r="Z285" i="18" s="1"/>
  <c r="Z286" i="18" s="1"/>
  <c r="Z287" i="18" s="1"/>
  <c r="Z288" i="18" s="1"/>
  <c r="Z289" i="18" s="1"/>
  <c r="Z290" i="18" s="1"/>
  <c r="Z291" i="18" s="1"/>
  <c r="Z292" i="18" s="1"/>
  <c r="Z293" i="18" s="1"/>
  <c r="Z294" i="18" s="1"/>
  <c r="Z295" i="18" s="1"/>
  <c r="Z296" i="18" s="1"/>
  <c r="Z297" i="18" s="1"/>
  <c r="Z298" i="18" s="1"/>
  <c r="Z299" i="18" s="1"/>
  <c r="Z300" i="18" s="1"/>
  <c r="Z301" i="18" s="1"/>
  <c r="Z302" i="18" s="1"/>
  <c r="Z303" i="18" s="1"/>
  <c r="Z304" i="18" s="1"/>
  <c r="Z305" i="18" s="1"/>
  <c r="Z306" i="18" s="1"/>
  <c r="Z307" i="18" s="1"/>
  <c r="Z308" i="18" s="1"/>
  <c r="Z309" i="18" s="1"/>
  <c r="Z310" i="18" s="1"/>
  <c r="Z311" i="18" s="1"/>
  <c r="Z312" i="18" s="1"/>
  <c r="Z313" i="18" s="1"/>
  <c r="Z314" i="18" s="1"/>
  <c r="Z315" i="18" s="1"/>
  <c r="Z316" i="18" s="1"/>
  <c r="Z317" i="18" s="1"/>
  <c r="Z318" i="18" s="1"/>
  <c r="Z319" i="18" s="1"/>
  <c r="Z320" i="18" s="1"/>
  <c r="Z321" i="18" s="1"/>
  <c r="Z322" i="18" s="1"/>
  <c r="Z323" i="18" s="1"/>
  <c r="Z324" i="18" s="1"/>
  <c r="Z325" i="18" s="1"/>
  <c r="Z326" i="18" s="1"/>
  <c r="Z327" i="18" s="1"/>
  <c r="Z328" i="18" s="1"/>
  <c r="Z329" i="18" s="1"/>
  <c r="Z330" i="18" s="1"/>
  <c r="Z331" i="18" s="1"/>
  <c r="Z332" i="18" s="1"/>
  <c r="Z333" i="18" s="1"/>
  <c r="Z334" i="18" s="1"/>
  <c r="Z335" i="18" s="1"/>
  <c r="Z336" i="18" s="1"/>
  <c r="Z337" i="18" s="1"/>
  <c r="Z338" i="18" s="1"/>
  <c r="Z339" i="18" s="1"/>
  <c r="Z340" i="18" s="1"/>
  <c r="Z341" i="18" s="1"/>
  <c r="Z342" i="18" s="1"/>
  <c r="Z343" i="18" s="1"/>
  <c r="Z161" i="18"/>
  <c r="M100" i="18"/>
  <c r="M101" i="18" s="1"/>
  <c r="M102" i="18" s="1"/>
  <c r="M103" i="18" s="1"/>
  <c r="M104" i="18" s="1"/>
  <c r="M105" i="18" s="1"/>
  <c r="AD132" i="20"/>
  <c r="BE131" i="20"/>
  <c r="BE100" i="20"/>
  <c r="AD101" i="20"/>
  <c r="BE101" i="20" s="1"/>
  <c r="BE398" i="20"/>
  <c r="AD399" i="20"/>
  <c r="AD400" i="20" s="1"/>
  <c r="BE383" i="20"/>
  <c r="BE270" i="20"/>
  <c r="AD271" i="20"/>
  <c r="BE89" i="20"/>
  <c r="AD90" i="20"/>
  <c r="BE103" i="20"/>
  <c r="AD104" i="20"/>
  <c r="BE210" i="20"/>
  <c r="AD211" i="20"/>
  <c r="BE298" i="20"/>
  <c r="AD299" i="20"/>
  <c r="BE358" i="20"/>
  <c r="AD359" i="20"/>
  <c r="BE315" i="20"/>
  <c r="AD316" i="20"/>
  <c r="BE30" i="20"/>
  <c r="AD31" i="20"/>
  <c r="AD118" i="20"/>
  <c r="BE118" i="20" s="1"/>
  <c r="BE117" i="20"/>
  <c r="BE344" i="20"/>
  <c r="AD345" i="20"/>
  <c r="BE237" i="20"/>
  <c r="AD238" i="20"/>
  <c r="BE221" i="20"/>
  <c r="AD222" i="20"/>
  <c r="BE74" i="20"/>
  <c r="AD75" i="20"/>
  <c r="BE119" i="20"/>
  <c r="AD120" i="20"/>
  <c r="BE369" i="20"/>
  <c r="AD370" i="20"/>
  <c r="AD329" i="20"/>
  <c r="BE329" i="20" s="1"/>
  <c r="BE328" i="20"/>
  <c r="BE147" i="20"/>
  <c r="AD148" i="20"/>
  <c r="BE288" i="20"/>
  <c r="AD289" i="20"/>
  <c r="BE58" i="20"/>
  <c r="AD59" i="20"/>
  <c r="BE184" i="20"/>
  <c r="AD185" i="20"/>
  <c r="BE282" i="20"/>
  <c r="AD283" i="20"/>
  <c r="BE283" i="20" s="1"/>
  <c r="BE330" i="20"/>
  <c r="AD331" i="20"/>
  <c r="BE261" i="20"/>
  <c r="AD262" i="20"/>
  <c r="BE139" i="20"/>
  <c r="AD140" i="20"/>
  <c r="BE140" i="20" s="1"/>
  <c r="AD45" i="20"/>
  <c r="BE44" i="20"/>
  <c r="BE173" i="20"/>
  <c r="AD174" i="20"/>
  <c r="BE15" i="20"/>
  <c r="AD16" i="20"/>
  <c r="AD17" i="20" s="1"/>
  <c r="AS192" i="20"/>
  <c r="AS94" i="20"/>
  <c r="AS95" i="20" s="1"/>
  <c r="AS96" i="20" s="1"/>
  <c r="AS97" i="20" s="1"/>
  <c r="AS109" i="20"/>
  <c r="BE162" i="20"/>
  <c r="AD163" i="20"/>
  <c r="BE263" i="18"/>
  <c r="AD264" i="18"/>
  <c r="BE264" i="18" s="1"/>
  <c r="AD231" i="18"/>
  <c r="BE230" i="18"/>
  <c r="BE112" i="18"/>
  <c r="BE102" i="18"/>
  <c r="BE87" i="18"/>
  <c r="M184" i="20" l="1"/>
  <c r="M185" i="20" s="1"/>
  <c r="M186" i="20" s="1"/>
  <c r="M187" i="20" s="1"/>
  <c r="M188" i="20" s="1"/>
  <c r="M189" i="20" s="1"/>
  <c r="M190" i="20" s="1"/>
  <c r="M191" i="20" s="1"/>
  <c r="M192" i="20" s="1"/>
  <c r="M193" i="20" s="1"/>
  <c r="M194" i="20" s="1"/>
  <c r="M195" i="20" s="1"/>
  <c r="M196" i="20" s="1"/>
  <c r="M197" i="20" s="1"/>
  <c r="M198" i="20" s="1"/>
  <c r="M199" i="20" s="1"/>
  <c r="M200" i="20" s="1"/>
  <c r="M201" i="20" s="1"/>
  <c r="M202" i="20" s="1"/>
  <c r="M182" i="20"/>
  <c r="M183" i="20" s="1"/>
  <c r="AD401" i="20"/>
  <c r="BE400" i="20"/>
  <c r="M250" i="20"/>
  <c r="M251" i="20" s="1"/>
  <c r="M252" i="20" s="1"/>
  <c r="M253" i="20" s="1"/>
  <c r="M254" i="20" s="1"/>
  <c r="M255" i="20" s="1"/>
  <c r="M256" i="20" s="1"/>
  <c r="M257" i="20" s="1"/>
  <c r="M258" i="20" s="1"/>
  <c r="M259" i="20" s="1"/>
  <c r="M260" i="20" s="1"/>
  <c r="M261" i="20" s="1"/>
  <c r="M262" i="20" s="1"/>
  <c r="M263" i="20" s="1"/>
  <c r="M264" i="20" s="1"/>
  <c r="M265" i="20" s="1"/>
  <c r="M266" i="20" s="1"/>
  <c r="M267" i="20" s="1"/>
  <c r="M268" i="20" s="1"/>
  <c r="M269" i="20" s="1"/>
  <c r="M270" i="20" s="1"/>
  <c r="M271" i="20" s="1"/>
  <c r="M272" i="20" s="1"/>
  <c r="M273" i="20" s="1"/>
  <c r="M274" i="20" s="1"/>
  <c r="M275" i="20" s="1"/>
  <c r="M276" i="20" s="1"/>
  <c r="M277" i="20" s="1"/>
  <c r="M278" i="20" s="1"/>
  <c r="M279" i="20" s="1"/>
  <c r="M280" i="20" s="1"/>
  <c r="M281" i="20" s="1"/>
  <c r="M282" i="20" s="1"/>
  <c r="M283" i="20" s="1"/>
  <c r="M284" i="20" s="1"/>
  <c r="M285" i="20" s="1"/>
  <c r="M286" i="20" s="1"/>
  <c r="M287" i="20" s="1"/>
  <c r="M288" i="20" s="1"/>
  <c r="M289" i="20" s="1"/>
  <c r="M290" i="20" s="1"/>
  <c r="M291" i="20" s="1"/>
  <c r="M292" i="20" s="1"/>
  <c r="M293" i="20" s="1"/>
  <c r="M294" i="20" s="1"/>
  <c r="M295" i="20" s="1"/>
  <c r="M296" i="20" s="1"/>
  <c r="M297" i="20" s="1"/>
  <c r="M298" i="20" s="1"/>
  <c r="M299" i="20" s="1"/>
  <c r="M300" i="20" s="1"/>
  <c r="M301" i="20" s="1"/>
  <c r="M302" i="20" s="1"/>
  <c r="M303" i="20" s="1"/>
  <c r="M304" i="20" s="1"/>
  <c r="M305" i="20" s="1"/>
  <c r="M306" i="20" s="1"/>
  <c r="M307" i="20" s="1"/>
  <c r="M308" i="20" s="1"/>
  <c r="M309" i="20" s="1"/>
  <c r="M310" i="20" s="1"/>
  <c r="M311" i="20" s="1"/>
  <c r="M312" i="20" s="1"/>
  <c r="M313" i="20" s="1"/>
  <c r="M314" i="20" s="1"/>
  <c r="M315" i="20" s="1"/>
  <c r="M316" i="20" s="1"/>
  <c r="M317" i="20" s="1"/>
  <c r="M318" i="20" s="1"/>
  <c r="M319" i="20" s="1"/>
  <c r="M320" i="20" s="1"/>
  <c r="M322" i="20" s="1"/>
  <c r="M323" i="20" s="1"/>
  <c r="M324" i="20" s="1"/>
  <c r="M325" i="20" s="1"/>
  <c r="M326" i="20" s="1"/>
  <c r="M327" i="20" s="1"/>
  <c r="M328" i="20" s="1"/>
  <c r="M329" i="20" s="1"/>
  <c r="M330" i="20" s="1"/>
  <c r="M331" i="20" s="1"/>
  <c r="M332" i="20" s="1"/>
  <c r="M214" i="20"/>
  <c r="AR349" i="20"/>
  <c r="AR350" i="20" s="1"/>
  <c r="AR351" i="20" s="1"/>
  <c r="AR352" i="20" s="1"/>
  <c r="AR353" i="20" s="1"/>
  <c r="AR354" i="20" s="1"/>
  <c r="AR355" i="20" s="1"/>
  <c r="AR356" i="20" s="1"/>
  <c r="AR357" i="20" s="1"/>
  <c r="AR358" i="20" s="1"/>
  <c r="AR359" i="20" s="1"/>
  <c r="AR360" i="20" s="1"/>
  <c r="AR361" i="20" s="1"/>
  <c r="AR362" i="20" s="1"/>
  <c r="AR363" i="20" s="1"/>
  <c r="AR364" i="20" s="1"/>
  <c r="AR365" i="20" s="1"/>
  <c r="AR366" i="20" s="1"/>
  <c r="AR367" i="20" s="1"/>
  <c r="AR368" i="20" s="1"/>
  <c r="AR369" i="20" s="1"/>
  <c r="AR370" i="20" s="1"/>
  <c r="AR371" i="20" s="1"/>
  <c r="AR372" i="20" s="1"/>
  <c r="AR373" i="20" s="1"/>
  <c r="AR374" i="20" s="1"/>
  <c r="AR375" i="20" s="1"/>
  <c r="AR376" i="20" s="1"/>
  <c r="AR377" i="20" s="1"/>
  <c r="AR378" i="20" s="1"/>
  <c r="AR379" i="20" s="1"/>
  <c r="AR380" i="20" s="1"/>
  <c r="AR381" i="20" s="1"/>
  <c r="AR382" i="20" s="1"/>
  <c r="AR383" i="20" s="1"/>
  <c r="AR348" i="20"/>
  <c r="Z215" i="20"/>
  <c r="Z216" i="20" s="1"/>
  <c r="Z217" i="20" s="1"/>
  <c r="Z218" i="20" s="1"/>
  <c r="Z219" i="20" s="1"/>
  <c r="Z220" i="20" s="1"/>
  <c r="Z221" i="20" s="1"/>
  <c r="Z222" i="20" s="1"/>
  <c r="Z223" i="20" s="1"/>
  <c r="Z224" i="20" s="1"/>
  <c r="Z225" i="20" s="1"/>
  <c r="Z226" i="20" s="1"/>
  <c r="Z227" i="20" s="1"/>
  <c r="Z228" i="20" s="1"/>
  <c r="Z229" i="20" s="1"/>
  <c r="Z230" i="20" s="1"/>
  <c r="Z231" i="20" s="1"/>
  <c r="Z232" i="20" s="1"/>
  <c r="Z233" i="20" s="1"/>
  <c r="Z234" i="20" s="1"/>
  <c r="Z235" i="20" s="1"/>
  <c r="Z236" i="20" s="1"/>
  <c r="Z237" i="20" s="1"/>
  <c r="Z238" i="20" s="1"/>
  <c r="Z239" i="20" s="1"/>
  <c r="Z240" i="20" s="1"/>
  <c r="Z241" i="20" s="1"/>
  <c r="Z242" i="20" s="1"/>
  <c r="Z243" i="20" s="1"/>
  <c r="Z244" i="20" s="1"/>
  <c r="Z245" i="20" s="1"/>
  <c r="Z246" i="20" s="1"/>
  <c r="Z247" i="20" s="1"/>
  <c r="Z248" i="20" s="1"/>
  <c r="Z249" i="20" s="1"/>
  <c r="Z214" i="20"/>
  <c r="BE385" i="20"/>
  <c r="AD386" i="20"/>
  <c r="M106" i="18"/>
  <c r="M107" i="18" s="1"/>
  <c r="M108" i="18" s="1"/>
  <c r="M109" i="18" s="1"/>
  <c r="M110" i="18" s="1"/>
  <c r="M111" i="18" s="1"/>
  <c r="M112" i="18" s="1"/>
  <c r="M113" i="18" s="1"/>
  <c r="M114" i="18" s="1"/>
  <c r="M115" i="18" s="1"/>
  <c r="M116" i="18" s="1"/>
  <c r="M117" i="18" s="1"/>
  <c r="M118" i="18" s="1"/>
  <c r="M119" i="18" s="1"/>
  <c r="M120" i="18" s="1"/>
  <c r="M121" i="18" s="1"/>
  <c r="M122" i="18" s="1"/>
  <c r="M123" i="18" s="1"/>
  <c r="M124" i="18" s="1"/>
  <c r="M125" i="18" s="1"/>
  <c r="M126" i="18" s="1"/>
  <c r="M127" i="18" s="1"/>
  <c r="M128" i="18" s="1"/>
  <c r="M129" i="18" s="1"/>
  <c r="M130" i="18" s="1"/>
  <c r="M131" i="18" s="1"/>
  <c r="M132" i="18" s="1"/>
  <c r="M133" i="18" s="1"/>
  <c r="M134" i="18" s="1"/>
  <c r="M135" i="18" s="1"/>
  <c r="M136" i="18" s="1"/>
  <c r="M137" i="18" s="1"/>
  <c r="M138" i="18" s="1"/>
  <c r="M139" i="18" s="1"/>
  <c r="M140" i="18" s="1"/>
  <c r="M141" i="18" s="1"/>
  <c r="M142" i="18" s="1"/>
  <c r="M143" i="18" s="1"/>
  <c r="M144" i="18" s="1"/>
  <c r="M145" i="18" s="1"/>
  <c r="M146" i="18" s="1"/>
  <c r="M147" i="18" s="1"/>
  <c r="M148" i="18" s="1"/>
  <c r="M149" i="18" s="1"/>
  <c r="M150" i="18" s="1"/>
  <c r="M151" i="18" s="1"/>
  <c r="M152" i="18" s="1"/>
  <c r="M153" i="18" s="1"/>
  <c r="M154" i="18" s="1"/>
  <c r="M155" i="18" s="1"/>
  <c r="M156" i="18" s="1"/>
  <c r="M157" i="18" s="1"/>
  <c r="M158" i="18" s="1"/>
  <c r="M159" i="18" s="1"/>
  <c r="M160" i="18" s="1"/>
  <c r="M162" i="18" s="1"/>
  <c r="M163" i="18" s="1"/>
  <c r="M164" i="18" s="1"/>
  <c r="M165" i="18" s="1"/>
  <c r="M166" i="18" s="1"/>
  <c r="M167" i="18" s="1"/>
  <c r="M168" i="18" s="1"/>
  <c r="M169" i="18" s="1"/>
  <c r="M170" i="18" s="1"/>
  <c r="M171" i="18" s="1"/>
  <c r="M172" i="18" s="1"/>
  <c r="M173" i="18" s="1"/>
  <c r="M174" i="18" s="1"/>
  <c r="M175" i="18" s="1"/>
  <c r="M176" i="18" s="1"/>
  <c r="M177" i="18" s="1"/>
  <c r="M178" i="18" s="1"/>
  <c r="M179" i="18" s="1"/>
  <c r="M180" i="18" s="1"/>
  <c r="M181" i="18" s="1"/>
  <c r="M182" i="18" s="1"/>
  <c r="M183" i="18" s="1"/>
  <c r="M184" i="18" s="1"/>
  <c r="M185" i="18" s="1"/>
  <c r="M186" i="18" s="1"/>
  <c r="M187" i="18" s="1"/>
  <c r="M188" i="18" s="1"/>
  <c r="M189" i="18" s="1"/>
  <c r="M190" i="18" s="1"/>
  <c r="M191" i="18" s="1"/>
  <c r="M192" i="18" s="1"/>
  <c r="M193" i="18" s="1"/>
  <c r="M194" i="18" s="1"/>
  <c r="M195" i="18" s="1"/>
  <c r="M196" i="18" s="1"/>
  <c r="M197" i="18" s="1"/>
  <c r="M198" i="18" s="1"/>
  <c r="M199" i="18" s="1"/>
  <c r="M200" i="18" s="1"/>
  <c r="M201" i="18" s="1"/>
  <c r="M202" i="18" s="1"/>
  <c r="M203" i="18" s="1"/>
  <c r="M204" i="18" s="1"/>
  <c r="M205" i="18" s="1"/>
  <c r="M206" i="18" s="1"/>
  <c r="M207" i="18" s="1"/>
  <c r="M208" i="18" s="1"/>
  <c r="M209" i="18" s="1"/>
  <c r="M210" i="18" s="1"/>
  <c r="M211" i="18" s="1"/>
  <c r="M212" i="18" s="1"/>
  <c r="M213" i="18" s="1"/>
  <c r="M214" i="18" s="1"/>
  <c r="M215" i="18" s="1"/>
  <c r="M216" i="18" s="1"/>
  <c r="M217" i="18" s="1"/>
  <c r="M218" i="18" s="1"/>
  <c r="M219" i="18" s="1"/>
  <c r="M220" i="18" s="1"/>
  <c r="M221" i="18" s="1"/>
  <c r="M222" i="18" s="1"/>
  <c r="M223" i="18" s="1"/>
  <c r="M224" i="18" s="1"/>
  <c r="M225" i="18" s="1"/>
  <c r="M226" i="18" s="1"/>
  <c r="M227" i="18" s="1"/>
  <c r="M228" i="18" s="1"/>
  <c r="M229" i="18" s="1"/>
  <c r="M230" i="18" s="1"/>
  <c r="M231" i="18" s="1"/>
  <c r="M232" i="18" s="1"/>
  <c r="M233" i="18" s="1"/>
  <c r="M234" i="18" s="1"/>
  <c r="M235" i="18" s="1"/>
  <c r="M236" i="18" s="1"/>
  <c r="M237" i="18" s="1"/>
  <c r="M238" i="18" s="1"/>
  <c r="M239" i="18" s="1"/>
  <c r="M240" i="18" s="1"/>
  <c r="M241" i="18" s="1"/>
  <c r="M242" i="18" s="1"/>
  <c r="M243" i="18" s="1"/>
  <c r="M244" i="18" s="1"/>
  <c r="M245" i="18" s="1"/>
  <c r="M246" i="18" s="1"/>
  <c r="M247" i="18" s="1"/>
  <c r="M248" i="18" s="1"/>
  <c r="M249" i="18" s="1"/>
  <c r="M250" i="18" s="1"/>
  <c r="M251" i="18" s="1"/>
  <c r="M252" i="18" s="1"/>
  <c r="M253" i="18" s="1"/>
  <c r="M254" i="18" s="1"/>
  <c r="M255" i="18" s="1"/>
  <c r="M256" i="18" s="1"/>
  <c r="M257" i="18" s="1"/>
  <c r="M258" i="18" s="1"/>
  <c r="M259" i="18" s="1"/>
  <c r="M260" i="18" s="1"/>
  <c r="M261" i="18" s="1"/>
  <c r="M262" i="18" s="1"/>
  <c r="M263" i="18" s="1"/>
  <c r="M264" i="18" s="1"/>
  <c r="M265" i="18" s="1"/>
  <c r="M266" i="18" s="1"/>
  <c r="M267" i="18" s="1"/>
  <c r="M268" i="18" s="1"/>
  <c r="M269" i="18" s="1"/>
  <c r="M270" i="18" s="1"/>
  <c r="M271" i="18" s="1"/>
  <c r="M272" i="18" s="1"/>
  <c r="M273" i="18" s="1"/>
  <c r="M274" i="18" s="1"/>
  <c r="M275" i="18" s="1"/>
  <c r="M276" i="18" s="1"/>
  <c r="M277" i="18" s="1"/>
  <c r="M278" i="18" s="1"/>
  <c r="M279" i="18" s="1"/>
  <c r="M280" i="18" s="1"/>
  <c r="M281" i="18" s="1"/>
  <c r="M282" i="18" s="1"/>
  <c r="M283" i="18" s="1"/>
  <c r="M284" i="18" s="1"/>
  <c r="M285" i="18" s="1"/>
  <c r="M286" i="18" s="1"/>
  <c r="M287" i="18" s="1"/>
  <c r="M288" i="18" s="1"/>
  <c r="M289" i="18" s="1"/>
  <c r="M290" i="18" s="1"/>
  <c r="M291" i="18" s="1"/>
  <c r="M292" i="18" s="1"/>
  <c r="M293" i="18" s="1"/>
  <c r="M294" i="18" s="1"/>
  <c r="M295" i="18" s="1"/>
  <c r="M296" i="18" s="1"/>
  <c r="M297" i="18" s="1"/>
  <c r="M298" i="18" s="1"/>
  <c r="M299" i="18" s="1"/>
  <c r="M300" i="18" s="1"/>
  <c r="M301" i="18" s="1"/>
  <c r="M302" i="18" s="1"/>
  <c r="M303" i="18" s="1"/>
  <c r="M304" i="18" s="1"/>
  <c r="M305" i="18" s="1"/>
  <c r="M306" i="18" s="1"/>
  <c r="M307" i="18" s="1"/>
  <c r="M308" i="18" s="1"/>
  <c r="M309" i="18" s="1"/>
  <c r="M310" i="18" s="1"/>
  <c r="M311" i="18" s="1"/>
  <c r="M312" i="18" s="1"/>
  <c r="M313" i="18" s="1"/>
  <c r="M314" i="18" s="1"/>
  <c r="M315" i="18" s="1"/>
  <c r="M316" i="18" s="1"/>
  <c r="M317" i="18" s="1"/>
  <c r="M318" i="18" s="1"/>
  <c r="M319" i="18" s="1"/>
  <c r="M320" i="18" s="1"/>
  <c r="M321" i="18" s="1"/>
  <c r="M322" i="18" s="1"/>
  <c r="M323" i="18" s="1"/>
  <c r="M324" i="18" s="1"/>
  <c r="M325" i="18" s="1"/>
  <c r="M326" i="18" s="1"/>
  <c r="M327" i="18" s="1"/>
  <c r="M328" i="18" s="1"/>
  <c r="M329" i="18" s="1"/>
  <c r="M330" i="18" s="1"/>
  <c r="AD133" i="20"/>
  <c r="BE133" i="20" s="1"/>
  <c r="BE132" i="20"/>
  <c r="AS102" i="20"/>
  <c r="AS103" i="20" s="1"/>
  <c r="AS104" i="20" s="1"/>
  <c r="AS105" i="20" s="1"/>
  <c r="AS106" i="20" s="1"/>
  <c r="AS107" i="20" s="1"/>
  <c r="AS108" i="20" s="1"/>
  <c r="AS98" i="20"/>
  <c r="AS99" i="20" s="1"/>
  <c r="AS100" i="20" s="1"/>
  <c r="AS101" i="20" s="1"/>
  <c r="AD18" i="20"/>
  <c r="BE18" i="20" s="1"/>
  <c r="BE17" i="20"/>
  <c r="BE399" i="20"/>
  <c r="BE271" i="20"/>
  <c r="AD272" i="20"/>
  <c r="AD164" i="20"/>
  <c r="BE163" i="20"/>
  <c r="AD263" i="20"/>
  <c r="BE262" i="20"/>
  <c r="AD60" i="20"/>
  <c r="BE59" i="20"/>
  <c r="AD371" i="20"/>
  <c r="BE370" i="20"/>
  <c r="BE238" i="20"/>
  <c r="AD239" i="20"/>
  <c r="BE31" i="20"/>
  <c r="AD32" i="20"/>
  <c r="BE32" i="20" s="1"/>
  <c r="BE211" i="20"/>
  <c r="AD212" i="20"/>
  <c r="BE185" i="20"/>
  <c r="AD186" i="20"/>
  <c r="AS141" i="20"/>
  <c r="AS142" i="20" s="1"/>
  <c r="AS143" i="20" s="1"/>
  <c r="AS144" i="20" s="1"/>
  <c r="AS145" i="20" s="1"/>
  <c r="AS146" i="20" s="1"/>
  <c r="AS147" i="20" s="1"/>
  <c r="AS148" i="20" s="1"/>
  <c r="AS149" i="20" s="1"/>
  <c r="AS150" i="20" s="1"/>
  <c r="AS151" i="20" s="1"/>
  <c r="AS152" i="20" s="1"/>
  <c r="AS153" i="20" s="1"/>
  <c r="AS154" i="20" s="1"/>
  <c r="AS155" i="20"/>
  <c r="AS156" i="20" s="1"/>
  <c r="AS157" i="20" s="1"/>
  <c r="AS158" i="20" s="1"/>
  <c r="AS159" i="20" s="1"/>
  <c r="AS160" i="20" s="1"/>
  <c r="AS161" i="20" s="1"/>
  <c r="AS162" i="20" s="1"/>
  <c r="AS163" i="20" s="1"/>
  <c r="AS164" i="20" s="1"/>
  <c r="AS165" i="20"/>
  <c r="AS166" i="20" s="1"/>
  <c r="AS167" i="20" s="1"/>
  <c r="AS168" i="20" s="1"/>
  <c r="AS169" i="20" s="1"/>
  <c r="AS110" i="20"/>
  <c r="AS111" i="20" s="1"/>
  <c r="AS112" i="20" s="1"/>
  <c r="AS113" i="20" s="1"/>
  <c r="AS114" i="20" s="1"/>
  <c r="AS115" i="20" s="1"/>
  <c r="AS116" i="20" s="1"/>
  <c r="AS117" i="20" s="1"/>
  <c r="AS118" i="20" s="1"/>
  <c r="AS119" i="20" s="1"/>
  <c r="AS120" i="20" s="1"/>
  <c r="AS121" i="20" s="1"/>
  <c r="AS122" i="20" s="1"/>
  <c r="AS123" i="20" s="1"/>
  <c r="AS124" i="20" s="1"/>
  <c r="AS125" i="20"/>
  <c r="BE34" i="20"/>
  <c r="BE331" i="20"/>
  <c r="AD332" i="20"/>
  <c r="AD333" i="20" s="1"/>
  <c r="BE333" i="20" s="1"/>
  <c r="AD290" i="20"/>
  <c r="BE290" i="20" s="1"/>
  <c r="BE289" i="20"/>
  <c r="AD121" i="20"/>
  <c r="BE120" i="20"/>
  <c r="BE316" i="20"/>
  <c r="AD317" i="20"/>
  <c r="AD105" i="20"/>
  <c r="BE104" i="20"/>
  <c r="BE174" i="20"/>
  <c r="AD175" i="20"/>
  <c r="BE175" i="20" s="1"/>
  <c r="AD223" i="20"/>
  <c r="BE222" i="20"/>
  <c r="AD300" i="20"/>
  <c r="BE299" i="20"/>
  <c r="AS203" i="20"/>
  <c r="AS193" i="20"/>
  <c r="AS194" i="20" s="1"/>
  <c r="AS195" i="20" s="1"/>
  <c r="AS196" i="20" s="1"/>
  <c r="BE16" i="20"/>
  <c r="AD46" i="20"/>
  <c r="BE45" i="20"/>
  <c r="BE250" i="20"/>
  <c r="BE198" i="20"/>
  <c r="BE148" i="20"/>
  <c r="AD149" i="20"/>
  <c r="BE75" i="20"/>
  <c r="AD76" i="20"/>
  <c r="AD346" i="20"/>
  <c r="BE345" i="20"/>
  <c r="AD360" i="20"/>
  <c r="BE359" i="20"/>
  <c r="BE90" i="20"/>
  <c r="AD91" i="20"/>
  <c r="AD232" i="18"/>
  <c r="BE231" i="18"/>
  <c r="BE113" i="18"/>
  <c r="BE88" i="18"/>
  <c r="AD402" i="20" l="1"/>
  <c r="BE401" i="20"/>
  <c r="Z250" i="20"/>
  <c r="Z251" i="20" s="1"/>
  <c r="Z252" i="20" s="1"/>
  <c r="Z253" i="20" s="1"/>
  <c r="Z254" i="20" s="1"/>
  <c r="Z255" i="20" s="1"/>
  <c r="Z256" i="20" s="1"/>
  <c r="Z257" i="20" s="1"/>
  <c r="Z258" i="20" s="1"/>
  <c r="Z259" i="20" s="1"/>
  <c r="Z260" i="20" s="1"/>
  <c r="Z261" i="20" s="1"/>
  <c r="Z262" i="20" s="1"/>
  <c r="Z263" i="20" s="1"/>
  <c r="Z264" i="20" s="1"/>
  <c r="Z265" i="20" s="1"/>
  <c r="Z266" i="20" s="1"/>
  <c r="Z267" i="20" s="1"/>
  <c r="Z268" i="20" s="1"/>
  <c r="Z269" i="20" s="1"/>
  <c r="Z270" i="20" s="1"/>
  <c r="Z271" i="20" s="1"/>
  <c r="Z272" i="20" s="1"/>
  <c r="Z273" i="20" s="1"/>
  <c r="Z274" i="20" s="1"/>
  <c r="Z275" i="20" s="1"/>
  <c r="Z276" i="20" s="1"/>
  <c r="Z277" i="20" s="1"/>
  <c r="Z278" i="20" s="1"/>
  <c r="Z279" i="20" s="1"/>
  <c r="Z280" i="20" s="1"/>
  <c r="Z281" i="20" s="1"/>
  <c r="Z282" i="20" s="1"/>
  <c r="Z283" i="20" s="1"/>
  <c r="Z284" i="20" s="1"/>
  <c r="Z285" i="20" s="1"/>
  <c r="Z286" i="20" s="1"/>
  <c r="Z287" i="20" s="1"/>
  <c r="Z288" i="20" s="1"/>
  <c r="Z289" i="20" s="1"/>
  <c r="Z290" i="20" s="1"/>
  <c r="Z291" i="20" s="1"/>
  <c r="Z292" i="20" s="1"/>
  <c r="Z293" i="20" s="1"/>
  <c r="Z294" i="20" s="1"/>
  <c r="Z295" i="20" s="1"/>
  <c r="Z296" i="20" s="1"/>
  <c r="Z297" i="20" s="1"/>
  <c r="Z298" i="20" s="1"/>
  <c r="Z299" i="20" s="1"/>
  <c r="Z300" i="20" s="1"/>
  <c r="Z301" i="20" s="1"/>
  <c r="Z302" i="20" s="1"/>
  <c r="Z303" i="20" s="1"/>
  <c r="Z304" i="20" s="1"/>
  <c r="Z305" i="20" s="1"/>
  <c r="Z306" i="20" s="1"/>
  <c r="Z307" i="20" s="1"/>
  <c r="Z308" i="20" s="1"/>
  <c r="Z309" i="20" s="1"/>
  <c r="Z310" i="20" s="1"/>
  <c r="Z311" i="20" s="1"/>
  <c r="Z312" i="20" s="1"/>
  <c r="Z313" i="20" s="1"/>
  <c r="Z314" i="20" s="1"/>
  <c r="Z315" i="20" s="1"/>
  <c r="Z316" i="20" s="1"/>
  <c r="Z317" i="20" s="1"/>
  <c r="Z318" i="20" s="1"/>
  <c r="Z319" i="20" s="1"/>
  <c r="Z320" i="20" s="1"/>
  <c r="Z322" i="20" s="1"/>
  <c r="Z323" i="20" s="1"/>
  <c r="Z324" i="20" s="1"/>
  <c r="Z325" i="20" s="1"/>
  <c r="Z326" i="20" s="1"/>
  <c r="Z327" i="20" s="1"/>
  <c r="Z328" i="20" s="1"/>
  <c r="Z329" i="20" s="1"/>
  <c r="Z330" i="20" s="1"/>
  <c r="Z331" i="20" s="1"/>
  <c r="Z332" i="20" s="1"/>
  <c r="AR389" i="20"/>
  <c r="AR390" i="20" s="1"/>
  <c r="AR391" i="20" s="1"/>
  <c r="AR392" i="20" s="1"/>
  <c r="AR393" i="20" s="1"/>
  <c r="AR394" i="20" s="1"/>
  <c r="AR395" i="20" s="1"/>
  <c r="AR396" i="20" s="1"/>
  <c r="AR397" i="20" s="1"/>
  <c r="AR398" i="20" s="1"/>
  <c r="AR399" i="20" s="1"/>
  <c r="AR384" i="20"/>
  <c r="AR385" i="20" s="1"/>
  <c r="AR386" i="20" s="1"/>
  <c r="AR387" i="20" s="1"/>
  <c r="AR388" i="20" s="1"/>
  <c r="M334" i="20"/>
  <c r="M335" i="20" s="1"/>
  <c r="M336" i="20" s="1"/>
  <c r="M337" i="20" s="1"/>
  <c r="M338" i="20" s="1"/>
  <c r="M339" i="20" s="1"/>
  <c r="M340" i="20" s="1"/>
  <c r="M341" i="20" s="1"/>
  <c r="M342" i="20" s="1"/>
  <c r="M343" i="20" s="1"/>
  <c r="M344" i="20" s="1"/>
  <c r="M345" i="20" s="1"/>
  <c r="M346" i="20" s="1"/>
  <c r="M347" i="20" s="1"/>
  <c r="M333" i="20"/>
  <c r="BE386" i="20"/>
  <c r="AD387" i="20"/>
  <c r="M161" i="18"/>
  <c r="AS171" i="20"/>
  <c r="AS172" i="20" s="1"/>
  <c r="AS173" i="20" s="1"/>
  <c r="AS174" i="20" s="1"/>
  <c r="AS175" i="20" s="1"/>
  <c r="AS170" i="20"/>
  <c r="AD273" i="20"/>
  <c r="BE272" i="20"/>
  <c r="AD318" i="20"/>
  <c r="BE317" i="20"/>
  <c r="BE223" i="20"/>
  <c r="AD224" i="20"/>
  <c r="BE76" i="20"/>
  <c r="AD77" i="20"/>
  <c r="AS176" i="20"/>
  <c r="AS177" i="20" s="1"/>
  <c r="AS178" i="20" s="1"/>
  <c r="AS179" i="20" s="1"/>
  <c r="AS180" i="20" s="1"/>
  <c r="AS181" i="20" s="1"/>
  <c r="AS126" i="20"/>
  <c r="AS127" i="20" s="1"/>
  <c r="BE60" i="20"/>
  <c r="AD61" i="20"/>
  <c r="AD372" i="20"/>
  <c r="BE371" i="20"/>
  <c r="AD47" i="20"/>
  <c r="BE46" i="20"/>
  <c r="AD347" i="20"/>
  <c r="AD348" i="20" s="1"/>
  <c r="BE348" i="20" s="1"/>
  <c r="BE346" i="20"/>
  <c r="BE212" i="20"/>
  <c r="AD213" i="20"/>
  <c r="AD214" i="20" s="1"/>
  <c r="BE214" i="20" s="1"/>
  <c r="AD92" i="20"/>
  <c r="BE91" i="20"/>
  <c r="AD19" i="20"/>
  <c r="BE199" i="20"/>
  <c r="AS198" i="20"/>
  <c r="AS199" i="20" s="1"/>
  <c r="AS200" i="20" s="1"/>
  <c r="AS201" i="20" s="1"/>
  <c r="AS202" i="20" s="1"/>
  <c r="AS197" i="20"/>
  <c r="BE263" i="20"/>
  <c r="BE332" i="20"/>
  <c r="BE300" i="20"/>
  <c r="AD301" i="20"/>
  <c r="BE301" i="20" s="1"/>
  <c r="BE186" i="20"/>
  <c r="AD187" i="20"/>
  <c r="BE149" i="20"/>
  <c r="AD150" i="20"/>
  <c r="BE121" i="20"/>
  <c r="AD122" i="20"/>
  <c r="BE360" i="20"/>
  <c r="AD361" i="20"/>
  <c r="BE361" i="20" s="1"/>
  <c r="AS215" i="20"/>
  <c r="AS204" i="20"/>
  <c r="AS205" i="20" s="1"/>
  <c r="AS206" i="20" s="1"/>
  <c r="AS207" i="20" s="1"/>
  <c r="AS208" i="20" s="1"/>
  <c r="AS209" i="20" s="1"/>
  <c r="AS210" i="20" s="1"/>
  <c r="AS211" i="20" s="1"/>
  <c r="AS212" i="20" s="1"/>
  <c r="AS213" i="20" s="1"/>
  <c r="AS214" i="20" s="1"/>
  <c r="BE105" i="20"/>
  <c r="AD106" i="20"/>
  <c r="AD240" i="20"/>
  <c r="BE239" i="20"/>
  <c r="BE164" i="20"/>
  <c r="AD233" i="18"/>
  <c r="AD234" i="18" s="1"/>
  <c r="AD235" i="18" s="1"/>
  <c r="AD236" i="18" s="1"/>
  <c r="AD237" i="18" s="1"/>
  <c r="BE232" i="18"/>
  <c r="BE114" i="18"/>
  <c r="BE89" i="18"/>
  <c r="AR400" i="20" l="1"/>
  <c r="AR401" i="20" s="1"/>
  <c r="AR402" i="20" s="1"/>
  <c r="AR403" i="20" s="1"/>
  <c r="AR404" i="20" s="1"/>
  <c r="AR405" i="20" s="1"/>
  <c r="AR406" i="20" s="1"/>
  <c r="AR407" i="20" s="1"/>
  <c r="AR408" i="20" s="1"/>
  <c r="AR409" i="20" s="1"/>
  <c r="AR410" i="20" s="1"/>
  <c r="AR411" i="20" s="1"/>
  <c r="AR412" i="20" s="1"/>
  <c r="AD403" i="20"/>
  <c r="BE402" i="20"/>
  <c r="Z334" i="20"/>
  <c r="Z335" i="20" s="1"/>
  <c r="Z336" i="20" s="1"/>
  <c r="Z337" i="20" s="1"/>
  <c r="Z338" i="20" s="1"/>
  <c r="Z339" i="20" s="1"/>
  <c r="Z340" i="20" s="1"/>
  <c r="Z341" i="20" s="1"/>
  <c r="Z342" i="20" s="1"/>
  <c r="Z343" i="20" s="1"/>
  <c r="Z344" i="20" s="1"/>
  <c r="Z345" i="20" s="1"/>
  <c r="Z346" i="20" s="1"/>
  <c r="Z347" i="20" s="1"/>
  <c r="Z333" i="20"/>
  <c r="AD388" i="20"/>
  <c r="BE388" i="20" s="1"/>
  <c r="BE387" i="20"/>
  <c r="M348" i="20"/>
  <c r="M349" i="20"/>
  <c r="M350" i="20" s="1"/>
  <c r="M351" i="20" s="1"/>
  <c r="M352" i="20" s="1"/>
  <c r="M353" i="20" s="1"/>
  <c r="M354" i="20" s="1"/>
  <c r="M355" i="20" s="1"/>
  <c r="M356" i="20" s="1"/>
  <c r="M357" i="20" s="1"/>
  <c r="M358" i="20" s="1"/>
  <c r="M359" i="20" s="1"/>
  <c r="M360" i="20" s="1"/>
  <c r="M361" i="20" s="1"/>
  <c r="M362" i="20" s="1"/>
  <c r="M363" i="20" s="1"/>
  <c r="M364" i="20" s="1"/>
  <c r="M365" i="20" s="1"/>
  <c r="M366" i="20" s="1"/>
  <c r="M367" i="20" s="1"/>
  <c r="M368" i="20" s="1"/>
  <c r="M369" i="20" s="1"/>
  <c r="M370" i="20" s="1"/>
  <c r="M371" i="20" s="1"/>
  <c r="M372" i="20" s="1"/>
  <c r="M373" i="20" s="1"/>
  <c r="M374" i="20" s="1"/>
  <c r="M375" i="20" s="1"/>
  <c r="M376" i="20" s="1"/>
  <c r="M377" i="20" s="1"/>
  <c r="M378" i="20" s="1"/>
  <c r="M379" i="20" s="1"/>
  <c r="M380" i="20" s="1"/>
  <c r="M381" i="20" s="1"/>
  <c r="M382" i="20" s="1"/>
  <c r="M383" i="20" s="1"/>
  <c r="AS184" i="20"/>
  <c r="AS185" i="20" s="1"/>
  <c r="AS186" i="20" s="1"/>
  <c r="AS187" i="20" s="1"/>
  <c r="AS188" i="20" s="1"/>
  <c r="AS189" i="20" s="1"/>
  <c r="AS190" i="20" s="1"/>
  <c r="AS191" i="20" s="1"/>
  <c r="AS182" i="20"/>
  <c r="AS183" i="20" s="1"/>
  <c r="AS134" i="20"/>
  <c r="AS135" i="20" s="1"/>
  <c r="AS136" i="20" s="1"/>
  <c r="AS137" i="20" s="1"/>
  <c r="AS138" i="20" s="1"/>
  <c r="AS139" i="20" s="1"/>
  <c r="AS140" i="20" s="1"/>
  <c r="AS128" i="20"/>
  <c r="AS129" i="20" s="1"/>
  <c r="AS130" i="20" s="1"/>
  <c r="AS131" i="20" s="1"/>
  <c r="AS132" i="20" s="1"/>
  <c r="AS133" i="20" s="1"/>
  <c r="BE273" i="20"/>
  <c r="AD274" i="20"/>
  <c r="BE106" i="20"/>
  <c r="AD107" i="20"/>
  <c r="BE92" i="20"/>
  <c r="BE372" i="20"/>
  <c r="AD373" i="20"/>
  <c r="BE187" i="20"/>
  <c r="AD188" i="20"/>
  <c r="BE213" i="20"/>
  <c r="AS231" i="20"/>
  <c r="AS216" i="20"/>
  <c r="AS217" i="20" s="1"/>
  <c r="AS218" i="20" s="1"/>
  <c r="AS219" i="20" s="1"/>
  <c r="AS220" i="20" s="1"/>
  <c r="AS221" i="20" s="1"/>
  <c r="AS222" i="20" s="1"/>
  <c r="AS223" i="20" s="1"/>
  <c r="AS224" i="20" s="1"/>
  <c r="AS225" i="20" s="1"/>
  <c r="AS226" i="20" s="1"/>
  <c r="AS227" i="20" s="1"/>
  <c r="AS228" i="20" s="1"/>
  <c r="AS229" i="20" s="1"/>
  <c r="AS230" i="20" s="1"/>
  <c r="BE251" i="20"/>
  <c r="BE77" i="20"/>
  <c r="AD78" i="20"/>
  <c r="BE224" i="20"/>
  <c r="AD225" i="20"/>
  <c r="BE150" i="20"/>
  <c r="AD151" i="20"/>
  <c r="BE200" i="20"/>
  <c r="AD20" i="20"/>
  <c r="BE19" i="20"/>
  <c r="BE61" i="20"/>
  <c r="AD62" i="20"/>
  <c r="BE347" i="20"/>
  <c r="BE122" i="20"/>
  <c r="AD123" i="20"/>
  <c r="BE240" i="20"/>
  <c r="AD241" i="20"/>
  <c r="BE47" i="20"/>
  <c r="AD48" i="20"/>
  <c r="BE318" i="20"/>
  <c r="AD319" i="20"/>
  <c r="BE115" i="18"/>
  <c r="BE90" i="18"/>
  <c r="AD404" i="20" l="1"/>
  <c r="BE404" i="20" s="1"/>
  <c r="BE403" i="20"/>
  <c r="Z348" i="20"/>
  <c r="Z349" i="20"/>
  <c r="Z350" i="20" s="1"/>
  <c r="Z351" i="20" s="1"/>
  <c r="Z352" i="20" s="1"/>
  <c r="Z353" i="20" s="1"/>
  <c r="Z354" i="20" s="1"/>
  <c r="Z355" i="20" s="1"/>
  <c r="Z356" i="20" s="1"/>
  <c r="Z357" i="20" s="1"/>
  <c r="Z358" i="20" s="1"/>
  <c r="Z359" i="20" s="1"/>
  <c r="Z360" i="20" s="1"/>
  <c r="Z361" i="20" s="1"/>
  <c r="Z362" i="20" s="1"/>
  <c r="Z363" i="20" s="1"/>
  <c r="Z364" i="20" s="1"/>
  <c r="Z365" i="20" s="1"/>
  <c r="Z366" i="20" s="1"/>
  <c r="Z367" i="20" s="1"/>
  <c r="Z368" i="20" s="1"/>
  <c r="Z369" i="20" s="1"/>
  <c r="Z370" i="20" s="1"/>
  <c r="Z371" i="20" s="1"/>
  <c r="Z372" i="20" s="1"/>
  <c r="Z373" i="20" s="1"/>
  <c r="Z374" i="20" s="1"/>
  <c r="Z375" i="20" s="1"/>
  <c r="Z376" i="20" s="1"/>
  <c r="Z377" i="20" s="1"/>
  <c r="Z378" i="20" s="1"/>
  <c r="Z379" i="20" s="1"/>
  <c r="Z380" i="20" s="1"/>
  <c r="Z381" i="20" s="1"/>
  <c r="Z382" i="20" s="1"/>
  <c r="Z383" i="20" s="1"/>
  <c r="M389" i="20"/>
  <c r="M390" i="20" s="1"/>
  <c r="M391" i="20" s="1"/>
  <c r="M392" i="20" s="1"/>
  <c r="M393" i="20" s="1"/>
  <c r="M394" i="20" s="1"/>
  <c r="M395" i="20" s="1"/>
  <c r="M396" i="20" s="1"/>
  <c r="M397" i="20" s="1"/>
  <c r="M398" i="20" s="1"/>
  <c r="M399" i="20" s="1"/>
  <c r="M384" i="20"/>
  <c r="M385" i="20" s="1"/>
  <c r="M386" i="20" s="1"/>
  <c r="M387" i="20" s="1"/>
  <c r="M388" i="20" s="1"/>
  <c r="BE274" i="20"/>
  <c r="AD189" i="20"/>
  <c r="BE188" i="20"/>
  <c r="AD49" i="20"/>
  <c r="BE48" i="20"/>
  <c r="AD152" i="20"/>
  <c r="BE151" i="20"/>
  <c r="BE252" i="20"/>
  <c r="BE373" i="20"/>
  <c r="AD124" i="20"/>
  <c r="BE124" i="20" s="1"/>
  <c r="BE123" i="20"/>
  <c r="AD79" i="20"/>
  <c r="BE78" i="20"/>
  <c r="AD226" i="20"/>
  <c r="BE225" i="20"/>
  <c r="AS243" i="20"/>
  <c r="AS232" i="20"/>
  <c r="AS233" i="20" s="1"/>
  <c r="AS234" i="20" s="1"/>
  <c r="AS235" i="20" s="1"/>
  <c r="AS236" i="20" s="1"/>
  <c r="AS237" i="20" s="1"/>
  <c r="AS238" i="20" s="1"/>
  <c r="AS239" i="20" s="1"/>
  <c r="AS240" i="20" s="1"/>
  <c r="AS241" i="20" s="1"/>
  <c r="AS242" i="20" s="1"/>
  <c r="AD21" i="20"/>
  <c r="BE20" i="20"/>
  <c r="BE201" i="20"/>
  <c r="AD63" i="20"/>
  <c r="AD64" i="20" s="1"/>
  <c r="BE62" i="20"/>
  <c r="AD320" i="20"/>
  <c r="BE319" i="20"/>
  <c r="AD242" i="20"/>
  <c r="BE241" i="20"/>
  <c r="BE107" i="20"/>
  <c r="AD108" i="20"/>
  <c r="BE108" i="20" s="1"/>
  <c r="M331" i="18"/>
  <c r="M332" i="18" s="1"/>
  <c r="M333" i="18" s="1"/>
  <c r="M334" i="18" s="1"/>
  <c r="M335" i="18" s="1"/>
  <c r="M336" i="18" s="1"/>
  <c r="M337" i="18" s="1"/>
  <c r="M338" i="18" s="1"/>
  <c r="M339" i="18" s="1"/>
  <c r="M340" i="18" s="1"/>
  <c r="M341" i="18" s="1"/>
  <c r="M342" i="18" s="1"/>
  <c r="M343" i="18" s="1"/>
  <c r="BE91" i="18"/>
  <c r="M400" i="20" l="1"/>
  <c r="M401" i="20" s="1"/>
  <c r="M402" i="20" s="1"/>
  <c r="M403" i="20" s="1"/>
  <c r="M404" i="20" s="1"/>
  <c r="M405" i="20" s="1"/>
  <c r="M406" i="20" s="1"/>
  <c r="M407" i="20" s="1"/>
  <c r="M408" i="20" s="1"/>
  <c r="M409" i="20" s="1"/>
  <c r="M410" i="20" s="1"/>
  <c r="M411" i="20" s="1"/>
  <c r="M412" i="20" s="1"/>
  <c r="Z384" i="20"/>
  <c r="Z385" i="20" s="1"/>
  <c r="Z386" i="20" s="1"/>
  <c r="Z387" i="20" s="1"/>
  <c r="Z388" i="20" s="1"/>
  <c r="Z389" i="20"/>
  <c r="Z390" i="20" s="1"/>
  <c r="Z391" i="20" s="1"/>
  <c r="Z392" i="20" s="1"/>
  <c r="Z393" i="20" s="1"/>
  <c r="Z394" i="20" s="1"/>
  <c r="Z395" i="20" s="1"/>
  <c r="Z396" i="20" s="1"/>
  <c r="Z397" i="20" s="1"/>
  <c r="Z398" i="20" s="1"/>
  <c r="Z399" i="20" s="1"/>
  <c r="AD65" i="20"/>
  <c r="BE64" i="20"/>
  <c r="BE226" i="20"/>
  <c r="AD227" i="20"/>
  <c r="BE202" i="20"/>
  <c r="BE242" i="20"/>
  <c r="BE79" i="20"/>
  <c r="AD80" i="20"/>
  <c r="BE152" i="20"/>
  <c r="AD153" i="20"/>
  <c r="AD22" i="20"/>
  <c r="BE21" i="20"/>
  <c r="BE320" i="20"/>
  <c r="BE49" i="20"/>
  <c r="AD50" i="20"/>
  <c r="BE50" i="20" s="1"/>
  <c r="AS254" i="20"/>
  <c r="AS244" i="20"/>
  <c r="AS245" i="20" s="1"/>
  <c r="AS246" i="20" s="1"/>
  <c r="AS247" i="20" s="1"/>
  <c r="BE63" i="20"/>
  <c r="BE253" i="20"/>
  <c r="BE189" i="20"/>
  <c r="AD190" i="20"/>
  <c r="BE92" i="18"/>
  <c r="Z400" i="20" l="1"/>
  <c r="Z401" i="20" s="1"/>
  <c r="Z402" i="20" s="1"/>
  <c r="Z403" i="20" s="1"/>
  <c r="Z404" i="20" s="1"/>
  <c r="Z405" i="20" s="1"/>
  <c r="Z406" i="20" s="1"/>
  <c r="Z407" i="20" s="1"/>
  <c r="Z408" i="20" s="1"/>
  <c r="Z409" i="20" s="1"/>
  <c r="Z410" i="20" s="1"/>
  <c r="Z411" i="20" s="1"/>
  <c r="Z412" i="20" s="1"/>
  <c r="BE65" i="20"/>
  <c r="AD66" i="20"/>
  <c r="BE66" i="20" s="1"/>
  <c r="AS248" i="20"/>
  <c r="AS249" i="20" s="1"/>
  <c r="AS250" i="20" s="1"/>
  <c r="AS251" i="20" s="1"/>
  <c r="AS252" i="20" s="1"/>
  <c r="AS253" i="20" s="1"/>
  <c r="AD228" i="20"/>
  <c r="BE227" i="20"/>
  <c r="BE190" i="20"/>
  <c r="AD191" i="20"/>
  <c r="BE191" i="20" s="1"/>
  <c r="BE80" i="20"/>
  <c r="AD81" i="20"/>
  <c r="BE153" i="20"/>
  <c r="AD154" i="20"/>
  <c r="AS264" i="20"/>
  <c r="AS255" i="20"/>
  <c r="AS256" i="20" s="1"/>
  <c r="AS257" i="20" s="1"/>
  <c r="AS258" i="20" s="1"/>
  <c r="AS259" i="20" s="1"/>
  <c r="AS260" i="20" s="1"/>
  <c r="AS261" i="20" s="1"/>
  <c r="AS262" i="20" s="1"/>
  <c r="AS263" i="20" s="1"/>
  <c r="BE22" i="20"/>
  <c r="AD23" i="20"/>
  <c r="BE23" i="20" s="1"/>
  <c r="BE93" i="18"/>
  <c r="BE81" i="20" l="1"/>
  <c r="AS275" i="20"/>
  <c r="AS265" i="20"/>
  <c r="AS266" i="20" s="1"/>
  <c r="AS267" i="20" s="1"/>
  <c r="AS268" i="20" s="1"/>
  <c r="AS269" i="20" s="1"/>
  <c r="AS270" i="20" s="1"/>
  <c r="AS271" i="20" s="1"/>
  <c r="AS272" i="20" s="1"/>
  <c r="AS273" i="20" s="1"/>
  <c r="AS274" i="20" s="1"/>
  <c r="BE154" i="20"/>
  <c r="BE228" i="20"/>
  <c r="AD229" i="20"/>
  <c r="BE94" i="18"/>
  <c r="AS291" i="20" l="1"/>
  <c r="AS276" i="20"/>
  <c r="AS277" i="20" s="1"/>
  <c r="BE229" i="20"/>
  <c r="AD230" i="20"/>
  <c r="BE230" i="20" s="1"/>
  <c r="BE95" i="18"/>
  <c r="BE96" i="18"/>
  <c r="AS284" i="20" l="1"/>
  <c r="AS285" i="20" s="1"/>
  <c r="AS286" i="20" s="1"/>
  <c r="AS287" i="20" s="1"/>
  <c r="AS288" i="20" s="1"/>
  <c r="AS289" i="20" s="1"/>
  <c r="AS290" i="20" s="1"/>
  <c r="AS278" i="20"/>
  <c r="AS279" i="20" s="1"/>
  <c r="AS280" i="20" s="1"/>
  <c r="AS281" i="20" s="1"/>
  <c r="AS282" i="20" s="1"/>
  <c r="AS283" i="20" s="1"/>
  <c r="AS307" i="20"/>
  <c r="AS292" i="20"/>
  <c r="AS293" i="20" s="1"/>
  <c r="AT331" i="18"/>
  <c r="AT332" i="18" s="1"/>
  <c r="AT333" i="18" s="1"/>
  <c r="AT334" i="18" s="1"/>
  <c r="BE331" i="18"/>
  <c r="L331" i="18"/>
  <c r="L332" i="18" s="1"/>
  <c r="L333" i="18" s="1"/>
  <c r="L334" i="18" s="1"/>
  <c r="K331" i="18"/>
  <c r="K332" i="18" s="1"/>
  <c r="K333" i="18" s="1"/>
  <c r="K334" i="18" s="1"/>
  <c r="J331" i="18"/>
  <c r="J332" i="18" s="1"/>
  <c r="J333" i="18" s="1"/>
  <c r="J334" i="18" s="1"/>
  <c r="I331" i="18"/>
  <c r="I332" i="18" s="1"/>
  <c r="I333" i="18" s="1"/>
  <c r="I334" i="18" s="1"/>
  <c r="BE330" i="18"/>
  <c r="AT319" i="18"/>
  <c r="AT320" i="18" s="1"/>
  <c r="AT321" i="18" s="1"/>
  <c r="AT322" i="18" s="1"/>
  <c r="AT323" i="18" s="1"/>
  <c r="AT324" i="18" s="1"/>
  <c r="AT325" i="18" s="1"/>
  <c r="AT326" i="18" s="1"/>
  <c r="AT327" i="18" s="1"/>
  <c r="AT328" i="18" s="1"/>
  <c r="AT329" i="18" s="1"/>
  <c r="BE319" i="18"/>
  <c r="L319" i="18"/>
  <c r="L320" i="18" s="1"/>
  <c r="L321" i="18" s="1"/>
  <c r="L322" i="18" s="1"/>
  <c r="L323" i="18" s="1"/>
  <c r="L324" i="18" s="1"/>
  <c r="L325" i="18" s="1"/>
  <c r="L326" i="18" s="1"/>
  <c r="L327" i="18" s="1"/>
  <c r="L328" i="18" s="1"/>
  <c r="L329" i="18" s="1"/>
  <c r="K319" i="18"/>
  <c r="K320" i="18" s="1"/>
  <c r="K321" i="18" s="1"/>
  <c r="K322" i="18" s="1"/>
  <c r="K323" i="18" s="1"/>
  <c r="K324" i="18" s="1"/>
  <c r="K325" i="18" s="1"/>
  <c r="K326" i="18" s="1"/>
  <c r="K327" i="18" s="1"/>
  <c r="K328" i="18" s="1"/>
  <c r="K329" i="18" s="1"/>
  <c r="J319" i="18"/>
  <c r="J320" i="18" s="1"/>
  <c r="J321" i="18" s="1"/>
  <c r="J322" i="18" s="1"/>
  <c r="J323" i="18" s="1"/>
  <c r="J324" i="18" s="1"/>
  <c r="J325" i="18" s="1"/>
  <c r="J326" i="18" s="1"/>
  <c r="J327" i="18" s="1"/>
  <c r="J328" i="18" s="1"/>
  <c r="J329" i="18" s="1"/>
  <c r="I320" i="18"/>
  <c r="I321" i="18" s="1"/>
  <c r="I322" i="18" s="1"/>
  <c r="I323" i="18" s="1"/>
  <c r="I324" i="18" s="1"/>
  <c r="I325" i="18" s="1"/>
  <c r="I326" i="18" s="1"/>
  <c r="I327" i="18" s="1"/>
  <c r="I328" i="18" s="1"/>
  <c r="I329" i="18" s="1"/>
  <c r="BE318" i="18"/>
  <c r="AT303" i="18"/>
  <c r="AT304" i="18" s="1"/>
  <c r="AT305" i="18" s="1"/>
  <c r="BE303" i="18"/>
  <c r="L303" i="18"/>
  <c r="L304" i="18" s="1"/>
  <c r="L305" i="18" s="1"/>
  <c r="K303" i="18"/>
  <c r="K304" i="18" s="1"/>
  <c r="K305" i="18" s="1"/>
  <c r="J303" i="18"/>
  <c r="J304" i="18" s="1"/>
  <c r="J305" i="18" s="1"/>
  <c r="I303" i="18"/>
  <c r="I304" i="18" s="1"/>
  <c r="I305" i="18" s="1"/>
  <c r="BE302" i="18"/>
  <c r="AT287" i="18"/>
  <c r="AT288" i="18" s="1"/>
  <c r="AT289" i="18" s="1"/>
  <c r="AT290" i="18" s="1"/>
  <c r="AT291" i="18" s="1"/>
  <c r="BE287" i="18"/>
  <c r="L287" i="18"/>
  <c r="L288" i="18" s="1"/>
  <c r="L289" i="18" s="1"/>
  <c r="L290" i="18" s="1"/>
  <c r="L291" i="18" s="1"/>
  <c r="K287" i="18"/>
  <c r="K288" i="18" s="1"/>
  <c r="K289" i="18" s="1"/>
  <c r="K290" i="18" s="1"/>
  <c r="K291" i="18" s="1"/>
  <c r="J287" i="18"/>
  <c r="J288" i="18" s="1"/>
  <c r="J289" i="18" s="1"/>
  <c r="J290" i="18" s="1"/>
  <c r="J291" i="18" s="1"/>
  <c r="I287" i="18"/>
  <c r="I288" i="18" s="1"/>
  <c r="I289" i="18" s="1"/>
  <c r="I290" i="18" s="1"/>
  <c r="I291" i="18" s="1"/>
  <c r="BE286" i="18"/>
  <c r="AS302" i="20" l="1"/>
  <c r="AS303" i="20" s="1"/>
  <c r="AS304" i="20" s="1"/>
  <c r="AS305" i="20" s="1"/>
  <c r="AS306" i="20" s="1"/>
  <c r="AS294" i="20"/>
  <c r="AS295" i="20" s="1"/>
  <c r="AS296" i="20" s="1"/>
  <c r="AS297" i="20" s="1"/>
  <c r="AS298" i="20" s="1"/>
  <c r="AS299" i="20" s="1"/>
  <c r="AS300" i="20" s="1"/>
  <c r="AS301" i="20" s="1"/>
  <c r="AS322" i="20"/>
  <c r="AS308" i="20"/>
  <c r="AS309" i="20" s="1"/>
  <c r="AS310" i="20" s="1"/>
  <c r="AS311" i="20" s="1"/>
  <c r="AS312" i="20" s="1"/>
  <c r="AS313" i="20" s="1"/>
  <c r="AS314" i="20" s="1"/>
  <c r="AS315" i="20" s="1"/>
  <c r="AS316" i="20" s="1"/>
  <c r="AS317" i="20" s="1"/>
  <c r="AS318" i="20" s="1"/>
  <c r="AS319" i="20" s="1"/>
  <c r="AS320" i="20" s="1"/>
  <c r="K309" i="18"/>
  <c r="K310" i="18" s="1"/>
  <c r="K311" i="18" s="1"/>
  <c r="K312" i="18" s="1"/>
  <c r="K313" i="18" s="1"/>
  <c r="K314" i="18" s="1"/>
  <c r="K315" i="18" s="1"/>
  <c r="K316" i="18" s="1"/>
  <c r="K317" i="18" s="1"/>
  <c r="K306" i="18"/>
  <c r="K307" i="18" s="1"/>
  <c r="K308" i="18" s="1"/>
  <c r="I309" i="18"/>
  <c r="I310" i="18" s="1"/>
  <c r="I311" i="18" s="1"/>
  <c r="I312" i="18" s="1"/>
  <c r="I313" i="18" s="1"/>
  <c r="I314" i="18" s="1"/>
  <c r="I315" i="18" s="1"/>
  <c r="I316" i="18" s="1"/>
  <c r="I317" i="18" s="1"/>
  <c r="I306" i="18"/>
  <c r="I307" i="18" s="1"/>
  <c r="I308" i="18" s="1"/>
  <c r="J309" i="18"/>
  <c r="J310" i="18" s="1"/>
  <c r="J311" i="18" s="1"/>
  <c r="J312" i="18" s="1"/>
  <c r="J313" i="18" s="1"/>
  <c r="J314" i="18" s="1"/>
  <c r="J315" i="18" s="1"/>
  <c r="J316" i="18" s="1"/>
  <c r="J317" i="18" s="1"/>
  <c r="J306" i="18"/>
  <c r="J307" i="18" s="1"/>
  <c r="J308" i="18" s="1"/>
  <c r="L309" i="18"/>
  <c r="L310" i="18" s="1"/>
  <c r="L311" i="18" s="1"/>
  <c r="L312" i="18" s="1"/>
  <c r="L313" i="18" s="1"/>
  <c r="L314" i="18" s="1"/>
  <c r="L315" i="18" s="1"/>
  <c r="L316" i="18" s="1"/>
  <c r="L317" i="18" s="1"/>
  <c r="L306" i="18"/>
  <c r="L307" i="18" s="1"/>
  <c r="L308" i="18" s="1"/>
  <c r="AT309" i="18"/>
  <c r="AT310" i="18" s="1"/>
  <c r="AT311" i="18" s="1"/>
  <c r="AT312" i="18" s="1"/>
  <c r="AT313" i="18" s="1"/>
  <c r="AT314" i="18" s="1"/>
  <c r="AT315" i="18" s="1"/>
  <c r="AT316" i="18" s="1"/>
  <c r="AT317" i="18" s="1"/>
  <c r="AT306" i="18"/>
  <c r="AT307" i="18" s="1"/>
  <c r="AT308" i="18" s="1"/>
  <c r="AT294" i="18"/>
  <c r="AT295" i="18" s="1"/>
  <c r="AT296" i="18" s="1"/>
  <c r="AT297" i="18" s="1"/>
  <c r="AT298" i="18" s="1"/>
  <c r="AT299" i="18" s="1"/>
  <c r="AT300" i="18" s="1"/>
  <c r="AT301" i="18" s="1"/>
  <c r="AT292" i="18"/>
  <c r="AT293" i="18" s="1"/>
  <c r="I294" i="18"/>
  <c r="I295" i="18" s="1"/>
  <c r="I296" i="18" s="1"/>
  <c r="I297" i="18" s="1"/>
  <c r="I298" i="18" s="1"/>
  <c r="I299" i="18" s="1"/>
  <c r="I300" i="18" s="1"/>
  <c r="I301" i="18" s="1"/>
  <c r="I292" i="18"/>
  <c r="I293" i="18" s="1"/>
  <c r="J294" i="18"/>
  <c r="J295" i="18" s="1"/>
  <c r="J296" i="18" s="1"/>
  <c r="J297" i="18" s="1"/>
  <c r="J298" i="18" s="1"/>
  <c r="J299" i="18" s="1"/>
  <c r="J300" i="18" s="1"/>
  <c r="J301" i="18" s="1"/>
  <c r="J292" i="18"/>
  <c r="J293" i="18" s="1"/>
  <c r="K294" i="18"/>
  <c r="K295" i="18" s="1"/>
  <c r="K296" i="18" s="1"/>
  <c r="K297" i="18" s="1"/>
  <c r="K298" i="18" s="1"/>
  <c r="K299" i="18" s="1"/>
  <c r="K300" i="18" s="1"/>
  <c r="K301" i="18" s="1"/>
  <c r="K292" i="18"/>
  <c r="K293" i="18" s="1"/>
  <c r="L294" i="18"/>
  <c r="L295" i="18" s="1"/>
  <c r="L296" i="18" s="1"/>
  <c r="L297" i="18" s="1"/>
  <c r="L298" i="18" s="1"/>
  <c r="L299" i="18" s="1"/>
  <c r="L300" i="18" s="1"/>
  <c r="L301" i="18" s="1"/>
  <c r="L292" i="18"/>
  <c r="L293" i="18" s="1"/>
  <c r="AT339" i="18"/>
  <c r="AT340" i="18" s="1"/>
  <c r="AT341" i="18" s="1"/>
  <c r="AT342" i="18" s="1"/>
  <c r="AT343" i="18" s="1"/>
  <c r="AT335" i="18"/>
  <c r="AT336" i="18" s="1"/>
  <c r="AT337" i="18" s="1"/>
  <c r="AT338" i="18" s="1"/>
  <c r="I335" i="18"/>
  <c r="I336" i="18" s="1"/>
  <c r="I337" i="18" s="1"/>
  <c r="I338" i="18" s="1"/>
  <c r="I339" i="18" s="1"/>
  <c r="I340" i="18" s="1"/>
  <c r="I341" i="18" s="1"/>
  <c r="I342" i="18" s="1"/>
  <c r="I343" i="18" s="1"/>
  <c r="J335" i="18"/>
  <c r="J336" i="18" s="1"/>
  <c r="J337" i="18" s="1"/>
  <c r="J338" i="18" s="1"/>
  <c r="J339" i="18" s="1"/>
  <c r="J340" i="18" s="1"/>
  <c r="J341" i="18" s="1"/>
  <c r="J342" i="18" s="1"/>
  <c r="J343" i="18" s="1"/>
  <c r="K335" i="18"/>
  <c r="K336" i="18" s="1"/>
  <c r="K337" i="18" s="1"/>
  <c r="K338" i="18" s="1"/>
  <c r="K339" i="18" s="1"/>
  <c r="K340" i="18" s="1"/>
  <c r="K341" i="18" s="1"/>
  <c r="K342" i="18" s="1"/>
  <c r="K343" i="18" s="1"/>
  <c r="L335" i="18"/>
  <c r="L336" i="18" s="1"/>
  <c r="L337" i="18" s="1"/>
  <c r="L338" i="18" s="1"/>
  <c r="L339" i="18" s="1"/>
  <c r="L340" i="18" s="1"/>
  <c r="L341" i="18" s="1"/>
  <c r="L342" i="18" s="1"/>
  <c r="L343" i="18" s="1"/>
  <c r="AS334" i="20" l="1"/>
  <c r="AS323" i="20"/>
  <c r="AS324" i="20" s="1"/>
  <c r="AS325" i="20" s="1"/>
  <c r="AS326" i="20" s="1"/>
  <c r="AS327" i="20" s="1"/>
  <c r="BE332" i="18"/>
  <c r="BE320" i="18"/>
  <c r="BE304" i="18"/>
  <c r="BE288" i="18"/>
  <c r="AS330" i="20" l="1"/>
  <c r="AS331" i="20" s="1"/>
  <c r="AS332" i="20" s="1"/>
  <c r="AS333" i="20" s="1"/>
  <c r="AS328" i="20"/>
  <c r="AS329" i="20" s="1"/>
  <c r="AS349" i="20"/>
  <c r="AS335" i="20"/>
  <c r="AS336" i="20" s="1"/>
  <c r="AS337" i="20" s="1"/>
  <c r="BE333" i="18"/>
  <c r="BE321" i="18"/>
  <c r="BE305" i="18"/>
  <c r="BE289" i="18"/>
  <c r="AS341" i="20" l="1"/>
  <c r="AS342" i="20" s="1"/>
  <c r="AS343" i="20" s="1"/>
  <c r="AS344" i="20" s="1"/>
  <c r="AS345" i="20" s="1"/>
  <c r="AS346" i="20" s="1"/>
  <c r="AS347" i="20" s="1"/>
  <c r="AS348" i="20" s="1"/>
  <c r="AS338" i="20"/>
  <c r="AS339" i="20" s="1"/>
  <c r="AS340" i="20" s="1"/>
  <c r="AS350" i="20"/>
  <c r="AS351" i="20" s="1"/>
  <c r="AS352" i="20" s="1"/>
  <c r="AS353" i="20" s="1"/>
  <c r="AS362" i="20"/>
  <c r="AS363" i="20" s="1"/>
  <c r="AS364" i="20" s="1"/>
  <c r="AS365" i="20" s="1"/>
  <c r="AS366" i="20" s="1"/>
  <c r="BE334" i="18"/>
  <c r="BE322" i="18"/>
  <c r="BE309" i="18"/>
  <c r="BE290" i="18"/>
  <c r="AS355" i="20" l="1"/>
  <c r="AS356" i="20" s="1"/>
  <c r="AS357" i="20" s="1"/>
  <c r="AS358" i="20" s="1"/>
  <c r="AS359" i="20" s="1"/>
  <c r="AS360" i="20" s="1"/>
  <c r="AS361" i="20" s="1"/>
  <c r="AS354" i="20"/>
  <c r="AS367" i="20"/>
  <c r="AS368" i="20" s="1"/>
  <c r="AS369" i="20" s="1"/>
  <c r="AS370" i="20" s="1"/>
  <c r="AS371" i="20"/>
  <c r="AS372" i="20" s="1"/>
  <c r="AS373" i="20" s="1"/>
  <c r="BE323" i="18"/>
  <c r="BE310" i="18"/>
  <c r="BE291" i="18"/>
  <c r="AS374" i="20" l="1"/>
  <c r="AS375" i="20" s="1"/>
  <c r="AS376" i="20" s="1"/>
  <c r="AS377" i="20" s="1"/>
  <c r="BE324" i="18"/>
  <c r="BE311" i="18"/>
  <c r="BE294" i="18"/>
  <c r="AS389" i="20" l="1"/>
  <c r="AS405" i="20"/>
  <c r="AS406" i="20" s="1"/>
  <c r="AS407" i="20" s="1"/>
  <c r="AS408" i="20" s="1"/>
  <c r="AS390" i="20"/>
  <c r="AS391" i="20" s="1"/>
  <c r="AS392" i="20" s="1"/>
  <c r="AS378" i="20"/>
  <c r="AS379" i="20" s="1"/>
  <c r="AS380" i="20" s="1"/>
  <c r="AS381" i="20"/>
  <c r="AS382" i="20" s="1"/>
  <c r="AS383" i="20" s="1"/>
  <c r="AS384" i="20" s="1"/>
  <c r="AS385" i="20" s="1"/>
  <c r="AS386" i="20" s="1"/>
  <c r="AS387" i="20" s="1"/>
  <c r="AS388" i="20" s="1"/>
  <c r="BE325" i="18"/>
  <c r="BE312" i="18"/>
  <c r="BE295" i="18"/>
  <c r="AS396" i="20" l="1"/>
  <c r="AS397" i="20" s="1"/>
  <c r="AS398" i="20" s="1"/>
  <c r="AS399" i="20" s="1"/>
  <c r="AS400" i="20" s="1"/>
  <c r="AS401" i="20" s="1"/>
  <c r="AS402" i="20" s="1"/>
  <c r="AS403" i="20" s="1"/>
  <c r="AS404" i="20" s="1"/>
  <c r="AS393" i="20"/>
  <c r="AS394" i="20" s="1"/>
  <c r="AS395" i="20" s="1"/>
  <c r="AS412" i="20"/>
  <c r="AS409" i="20"/>
  <c r="AS410" i="20" s="1"/>
  <c r="AS411" i="20" s="1"/>
  <c r="BE326" i="18"/>
  <c r="BE313" i="18"/>
  <c r="BE296" i="18"/>
  <c r="BE327" i="18" l="1"/>
  <c r="BE314" i="18"/>
  <c r="BE297" i="18"/>
  <c r="BE328" i="18" l="1"/>
  <c r="BE315" i="18"/>
  <c r="BE298" i="18"/>
  <c r="BE329" i="18" l="1"/>
  <c r="BE316" i="18"/>
  <c r="BE299" i="18"/>
  <c r="BE317" i="18" l="1"/>
  <c r="BE300" i="18"/>
  <c r="BE301" i="18" l="1"/>
  <c r="AT117" i="18" l="1"/>
  <c r="AT118" i="18" s="1"/>
  <c r="AT119" i="18" s="1"/>
  <c r="AT120" i="18" s="1"/>
  <c r="AT121" i="18" s="1"/>
  <c r="AT122" i="18" s="1"/>
  <c r="AT123" i="18" s="1"/>
  <c r="AT124" i="18" s="1"/>
  <c r="AT125" i="18" s="1"/>
  <c r="AT126" i="18" s="1"/>
  <c r="AT127" i="18" s="1"/>
  <c r="AT128" i="18" s="1"/>
  <c r="AT129" i="18" s="1"/>
  <c r="BE117" i="18"/>
  <c r="L117" i="18"/>
  <c r="L118" i="18" s="1"/>
  <c r="L119" i="18" s="1"/>
  <c r="L120" i="18" s="1"/>
  <c r="L121" i="18" s="1"/>
  <c r="L122" i="18" s="1"/>
  <c r="L123" i="18" s="1"/>
  <c r="L124" i="18" s="1"/>
  <c r="L125" i="18" s="1"/>
  <c r="L126" i="18" s="1"/>
  <c r="L127" i="18" s="1"/>
  <c r="L128" i="18" s="1"/>
  <c r="L129" i="18" s="1"/>
  <c r="K117" i="18"/>
  <c r="K118" i="18" s="1"/>
  <c r="K119" i="18" s="1"/>
  <c r="K120" i="18" s="1"/>
  <c r="K121" i="18" s="1"/>
  <c r="K122" i="18" s="1"/>
  <c r="K123" i="18" s="1"/>
  <c r="K124" i="18" s="1"/>
  <c r="K125" i="18" s="1"/>
  <c r="K126" i="18" s="1"/>
  <c r="K127" i="18" s="1"/>
  <c r="K128" i="18" s="1"/>
  <c r="K129" i="18" s="1"/>
  <c r="J117" i="18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I117" i="18"/>
  <c r="I118" i="18" s="1"/>
  <c r="I119" i="18" s="1"/>
  <c r="I120" i="18" s="1"/>
  <c r="I121" i="18" s="1"/>
  <c r="I122" i="18" s="1"/>
  <c r="I123" i="18" s="1"/>
  <c r="I124" i="18" s="1"/>
  <c r="I125" i="18" s="1"/>
  <c r="I126" i="18" s="1"/>
  <c r="I127" i="18" s="1"/>
  <c r="I128" i="18" s="1"/>
  <c r="I129" i="18" s="1"/>
  <c r="BE116" i="18"/>
  <c r="AT71" i="18"/>
  <c r="AT72" i="18" s="1"/>
  <c r="AT73" i="18" s="1"/>
  <c r="AT74" i="18" s="1"/>
  <c r="AT75" i="18" s="1"/>
  <c r="AT76" i="18" s="1"/>
  <c r="AT77" i="18" s="1"/>
  <c r="AT78" i="18" s="1"/>
  <c r="AT79" i="18" s="1"/>
  <c r="AT80" i="18" s="1"/>
  <c r="BE71" i="18"/>
  <c r="L71" i="18"/>
  <c r="L72" i="18" s="1"/>
  <c r="L73" i="18" s="1"/>
  <c r="L74" i="18" s="1"/>
  <c r="L75" i="18" s="1"/>
  <c r="L76" i="18" s="1"/>
  <c r="L77" i="18" s="1"/>
  <c r="L78" i="18" s="1"/>
  <c r="L79" i="18" s="1"/>
  <c r="L80" i="18" s="1"/>
  <c r="K71" i="18"/>
  <c r="K72" i="18" s="1"/>
  <c r="K73" i="18" s="1"/>
  <c r="K74" i="18" s="1"/>
  <c r="K75" i="18" s="1"/>
  <c r="K76" i="18" s="1"/>
  <c r="K77" i="18" s="1"/>
  <c r="K78" i="18" s="1"/>
  <c r="K79" i="18" s="1"/>
  <c r="K80" i="18" s="1"/>
  <c r="J71" i="18"/>
  <c r="J72" i="18" s="1"/>
  <c r="J73" i="18" s="1"/>
  <c r="J74" i="18" s="1"/>
  <c r="J75" i="18" s="1"/>
  <c r="J76" i="18" s="1"/>
  <c r="J77" i="18" s="1"/>
  <c r="J78" i="18" s="1"/>
  <c r="J79" i="18" s="1"/>
  <c r="J80" i="18" s="1"/>
  <c r="I71" i="18"/>
  <c r="I72" i="18" s="1"/>
  <c r="I73" i="18" s="1"/>
  <c r="I74" i="18" s="1"/>
  <c r="I75" i="18" s="1"/>
  <c r="I76" i="18" s="1"/>
  <c r="I77" i="18" s="1"/>
  <c r="I78" i="18" s="1"/>
  <c r="I79" i="18" s="1"/>
  <c r="I80" i="18" s="1"/>
  <c r="BE70" i="18"/>
  <c r="AT55" i="18"/>
  <c r="AT56" i="18" s="1"/>
  <c r="AT57" i="18" s="1"/>
  <c r="AT58" i="18" s="1"/>
  <c r="AT59" i="18" s="1"/>
  <c r="AT60" i="18" s="1"/>
  <c r="AT61" i="18" s="1"/>
  <c r="BE55" i="18"/>
  <c r="L55" i="18"/>
  <c r="L56" i="18" s="1"/>
  <c r="L57" i="18" s="1"/>
  <c r="L58" i="18" s="1"/>
  <c r="L59" i="18" s="1"/>
  <c r="L60" i="18" s="1"/>
  <c r="L61" i="18" s="1"/>
  <c r="K55" i="18"/>
  <c r="K56" i="18" s="1"/>
  <c r="K57" i="18" s="1"/>
  <c r="K58" i="18" s="1"/>
  <c r="K59" i="18" s="1"/>
  <c r="K60" i="18" s="1"/>
  <c r="K61" i="18" s="1"/>
  <c r="J55" i="18"/>
  <c r="J56" i="18" s="1"/>
  <c r="J57" i="18" s="1"/>
  <c r="J58" i="18" s="1"/>
  <c r="J59" i="18" s="1"/>
  <c r="J60" i="18" s="1"/>
  <c r="J61" i="18" s="1"/>
  <c r="I55" i="18"/>
  <c r="I56" i="18" s="1"/>
  <c r="I57" i="18" s="1"/>
  <c r="I58" i="18" s="1"/>
  <c r="I59" i="18" s="1"/>
  <c r="I60" i="18" s="1"/>
  <c r="I61" i="18" s="1"/>
  <c r="BE54" i="18"/>
  <c r="AT271" i="18"/>
  <c r="AT272" i="18" s="1"/>
  <c r="AT273" i="18" s="1"/>
  <c r="AT274" i="18" s="1"/>
  <c r="AT275" i="18" s="1"/>
  <c r="AT276" i="18" s="1"/>
  <c r="AT277" i="18" s="1"/>
  <c r="AT278" i="18" s="1"/>
  <c r="AT279" i="18" s="1"/>
  <c r="AT280" i="18" s="1"/>
  <c r="AT281" i="18" s="1"/>
  <c r="AT282" i="18" s="1"/>
  <c r="AT283" i="18" s="1"/>
  <c r="AT284" i="18" s="1"/>
  <c r="AT285" i="18" s="1"/>
  <c r="BE271" i="18"/>
  <c r="L271" i="18"/>
  <c r="L272" i="18" s="1"/>
  <c r="L273" i="18" s="1"/>
  <c r="L274" i="18" s="1"/>
  <c r="L275" i="18" s="1"/>
  <c r="L276" i="18" s="1"/>
  <c r="L277" i="18" s="1"/>
  <c r="L278" i="18" s="1"/>
  <c r="L279" i="18" s="1"/>
  <c r="L280" i="18" s="1"/>
  <c r="L281" i="18" s="1"/>
  <c r="L282" i="18" s="1"/>
  <c r="L283" i="18" s="1"/>
  <c r="L284" i="18" s="1"/>
  <c r="L285" i="18" s="1"/>
  <c r="K271" i="18"/>
  <c r="K272" i="18" s="1"/>
  <c r="K273" i="18" s="1"/>
  <c r="K274" i="18" s="1"/>
  <c r="K275" i="18" s="1"/>
  <c r="K276" i="18" s="1"/>
  <c r="K277" i="18" s="1"/>
  <c r="K278" i="18" s="1"/>
  <c r="K279" i="18" s="1"/>
  <c r="K280" i="18" s="1"/>
  <c r="K281" i="18" s="1"/>
  <c r="K282" i="18" s="1"/>
  <c r="K283" i="18" s="1"/>
  <c r="K284" i="18" s="1"/>
  <c r="K285" i="18" s="1"/>
  <c r="J271" i="18"/>
  <c r="J272" i="18" s="1"/>
  <c r="J273" i="18" s="1"/>
  <c r="J274" i="18" s="1"/>
  <c r="J275" i="18" s="1"/>
  <c r="J276" i="18" s="1"/>
  <c r="J277" i="18" s="1"/>
  <c r="J278" i="18" s="1"/>
  <c r="J279" i="18" s="1"/>
  <c r="J280" i="18" s="1"/>
  <c r="J281" i="18" s="1"/>
  <c r="J282" i="18" s="1"/>
  <c r="J283" i="18" s="1"/>
  <c r="J284" i="18" s="1"/>
  <c r="J285" i="18" s="1"/>
  <c r="I271" i="18"/>
  <c r="I272" i="18" s="1"/>
  <c r="I273" i="18" s="1"/>
  <c r="I274" i="18" s="1"/>
  <c r="I275" i="18" s="1"/>
  <c r="I276" i="18" s="1"/>
  <c r="I277" i="18" s="1"/>
  <c r="I278" i="18" s="1"/>
  <c r="I279" i="18" s="1"/>
  <c r="I280" i="18" s="1"/>
  <c r="I281" i="18" s="1"/>
  <c r="I282" i="18" s="1"/>
  <c r="I283" i="18" s="1"/>
  <c r="I284" i="18" s="1"/>
  <c r="I285" i="18" s="1"/>
  <c r="BE270" i="18"/>
  <c r="AT255" i="18"/>
  <c r="AT256" i="18" s="1"/>
  <c r="BE255" i="18"/>
  <c r="L255" i="18"/>
  <c r="L256" i="18" s="1"/>
  <c r="K255" i="18"/>
  <c r="K256" i="18" s="1"/>
  <c r="J255" i="18"/>
  <c r="J256" i="18" s="1"/>
  <c r="I255" i="18"/>
  <c r="I256" i="18" s="1"/>
  <c r="BE254" i="18"/>
  <c r="AT239" i="18"/>
  <c r="AT240" i="18" s="1"/>
  <c r="L239" i="18"/>
  <c r="L240" i="18" s="1"/>
  <c r="K239" i="18"/>
  <c r="K240" i="18" s="1"/>
  <c r="J239" i="18"/>
  <c r="J240" i="18" s="1"/>
  <c r="I239" i="18"/>
  <c r="I240" i="18" s="1"/>
  <c r="BE238" i="18"/>
  <c r="AT223" i="18"/>
  <c r="AT224" i="18" s="1"/>
  <c r="L223" i="18"/>
  <c r="L224" i="18" s="1"/>
  <c r="K223" i="18"/>
  <c r="K224" i="18" s="1"/>
  <c r="J223" i="18"/>
  <c r="J224" i="18" s="1"/>
  <c r="I223" i="18"/>
  <c r="I224" i="18" s="1"/>
  <c r="BE222" i="18"/>
  <c r="AT209" i="18"/>
  <c r="AT210" i="18" s="1"/>
  <c r="AT211" i="18" s="1"/>
  <c r="AT212" i="18" s="1"/>
  <c r="AT213" i="18" s="1"/>
  <c r="AT214" i="18" s="1"/>
  <c r="AT215" i="18" s="1"/>
  <c r="AT216" i="18" s="1"/>
  <c r="AT217" i="18" s="1"/>
  <c r="AT218" i="18" s="1"/>
  <c r="AT219" i="18" s="1"/>
  <c r="AT220" i="18" s="1"/>
  <c r="AT221" i="18" s="1"/>
  <c r="L209" i="18"/>
  <c r="L210" i="18" s="1"/>
  <c r="L211" i="18" s="1"/>
  <c r="L212" i="18" s="1"/>
  <c r="L213" i="18" s="1"/>
  <c r="L214" i="18" s="1"/>
  <c r="L215" i="18" s="1"/>
  <c r="L216" i="18" s="1"/>
  <c r="L217" i="18" s="1"/>
  <c r="L218" i="18" s="1"/>
  <c r="L219" i="18" s="1"/>
  <c r="L220" i="18" s="1"/>
  <c r="L221" i="18" s="1"/>
  <c r="K209" i="18"/>
  <c r="K210" i="18" s="1"/>
  <c r="K211" i="18" s="1"/>
  <c r="K212" i="18" s="1"/>
  <c r="K213" i="18" s="1"/>
  <c r="K214" i="18" s="1"/>
  <c r="K215" i="18" s="1"/>
  <c r="K216" i="18" s="1"/>
  <c r="K217" i="18" s="1"/>
  <c r="K218" i="18" s="1"/>
  <c r="K219" i="18" s="1"/>
  <c r="K220" i="18" s="1"/>
  <c r="K221" i="18" s="1"/>
  <c r="J209" i="18"/>
  <c r="J210" i="18" s="1"/>
  <c r="J211" i="18" s="1"/>
  <c r="J212" i="18" s="1"/>
  <c r="J213" i="18" s="1"/>
  <c r="J214" i="18" s="1"/>
  <c r="J215" i="18" s="1"/>
  <c r="J216" i="18" s="1"/>
  <c r="J217" i="18" s="1"/>
  <c r="J218" i="18" s="1"/>
  <c r="J219" i="18" s="1"/>
  <c r="J220" i="18" s="1"/>
  <c r="J221" i="18" s="1"/>
  <c r="I210" i="18"/>
  <c r="I211" i="18" s="1"/>
  <c r="I212" i="18" s="1"/>
  <c r="I213" i="18" s="1"/>
  <c r="I214" i="18" s="1"/>
  <c r="I215" i="18" s="1"/>
  <c r="I216" i="18" s="1"/>
  <c r="I217" i="18" s="1"/>
  <c r="I218" i="18" s="1"/>
  <c r="I219" i="18" s="1"/>
  <c r="I220" i="18" s="1"/>
  <c r="I221" i="18" s="1"/>
  <c r="BE208" i="18"/>
  <c r="AT195" i="18"/>
  <c r="AT196" i="18" s="1"/>
  <c r="AT197" i="18" s="1"/>
  <c r="AT198" i="18" s="1"/>
  <c r="AT199" i="18" s="1"/>
  <c r="AT200" i="18" s="1"/>
  <c r="AT201" i="18" s="1"/>
  <c r="AT202" i="18" s="1"/>
  <c r="AT203" i="18" s="1"/>
  <c r="AT204" i="18" s="1"/>
  <c r="AT205" i="18" s="1"/>
  <c r="AT206" i="18" s="1"/>
  <c r="AT207" i="18" s="1"/>
  <c r="L195" i="18"/>
  <c r="L196" i="18" s="1"/>
  <c r="L197" i="18" s="1"/>
  <c r="L198" i="18" s="1"/>
  <c r="L199" i="18" s="1"/>
  <c r="L200" i="18" s="1"/>
  <c r="L201" i="18" s="1"/>
  <c r="L202" i="18" s="1"/>
  <c r="L203" i="18" s="1"/>
  <c r="L204" i="18" s="1"/>
  <c r="L205" i="18" s="1"/>
  <c r="L206" i="18" s="1"/>
  <c r="L207" i="18" s="1"/>
  <c r="K195" i="18"/>
  <c r="K196" i="18" s="1"/>
  <c r="K197" i="18" s="1"/>
  <c r="K198" i="18" s="1"/>
  <c r="K199" i="18" s="1"/>
  <c r="K200" i="18" s="1"/>
  <c r="K201" i="18" s="1"/>
  <c r="K202" i="18" s="1"/>
  <c r="K203" i="18" s="1"/>
  <c r="K204" i="18" s="1"/>
  <c r="K205" i="18" s="1"/>
  <c r="K206" i="18" s="1"/>
  <c r="K207" i="18" s="1"/>
  <c r="J195" i="18"/>
  <c r="J196" i="18" s="1"/>
  <c r="J197" i="18" s="1"/>
  <c r="J198" i="18" s="1"/>
  <c r="J199" i="18" s="1"/>
  <c r="J200" i="18" s="1"/>
  <c r="J201" i="18" s="1"/>
  <c r="J202" i="18" s="1"/>
  <c r="J203" i="18" s="1"/>
  <c r="J204" i="18" s="1"/>
  <c r="J205" i="18" s="1"/>
  <c r="J206" i="18" s="1"/>
  <c r="J207" i="18" s="1"/>
  <c r="I195" i="18"/>
  <c r="I196" i="18" s="1"/>
  <c r="I197" i="18" s="1"/>
  <c r="I198" i="18" s="1"/>
  <c r="I199" i="18" s="1"/>
  <c r="I200" i="18" s="1"/>
  <c r="I201" i="18" s="1"/>
  <c r="I202" i="18" s="1"/>
  <c r="I203" i="18" s="1"/>
  <c r="I204" i="18" s="1"/>
  <c r="I205" i="18" s="1"/>
  <c r="I206" i="18" s="1"/>
  <c r="I207" i="18" s="1"/>
  <c r="BE194" i="18"/>
  <c r="AT179" i="18"/>
  <c r="AT180" i="18" s="1"/>
  <c r="AT181" i="18" s="1"/>
  <c r="AT182" i="18" s="1"/>
  <c r="AT183" i="18" s="1"/>
  <c r="AT184" i="18" s="1"/>
  <c r="AT185" i="18" s="1"/>
  <c r="AT186" i="18" s="1"/>
  <c r="AT187" i="18" s="1"/>
  <c r="AT188" i="18" s="1"/>
  <c r="AT189" i="18" s="1"/>
  <c r="AT190" i="18" s="1"/>
  <c r="BE179" i="18"/>
  <c r="L179" i="18"/>
  <c r="L180" i="18" s="1"/>
  <c r="L181" i="18" s="1"/>
  <c r="L182" i="18" s="1"/>
  <c r="L183" i="18" s="1"/>
  <c r="L184" i="18" s="1"/>
  <c r="L185" i="18" s="1"/>
  <c r="L186" i="18" s="1"/>
  <c r="L187" i="18" s="1"/>
  <c r="L188" i="18" s="1"/>
  <c r="L189" i="18" s="1"/>
  <c r="L190" i="18" s="1"/>
  <c r="L191" i="18" s="1"/>
  <c r="L192" i="18" s="1"/>
  <c r="L193" i="18" s="1"/>
  <c r="K179" i="18"/>
  <c r="K180" i="18" s="1"/>
  <c r="K181" i="18" s="1"/>
  <c r="K182" i="18" s="1"/>
  <c r="K183" i="18" s="1"/>
  <c r="K184" i="18" s="1"/>
  <c r="K185" i="18" s="1"/>
  <c r="K186" i="18" s="1"/>
  <c r="K187" i="18" s="1"/>
  <c r="K188" i="18" s="1"/>
  <c r="K189" i="18" s="1"/>
  <c r="K190" i="18" s="1"/>
  <c r="J179" i="18"/>
  <c r="J180" i="18" s="1"/>
  <c r="J181" i="18" s="1"/>
  <c r="J182" i="18" s="1"/>
  <c r="J183" i="18" s="1"/>
  <c r="J184" i="18" s="1"/>
  <c r="J185" i="18" s="1"/>
  <c r="J186" i="18" s="1"/>
  <c r="J187" i="18" s="1"/>
  <c r="J188" i="18" s="1"/>
  <c r="J189" i="18" s="1"/>
  <c r="J190" i="18" s="1"/>
  <c r="I179" i="18"/>
  <c r="I180" i="18" s="1"/>
  <c r="I181" i="18" s="1"/>
  <c r="I182" i="18" s="1"/>
  <c r="I183" i="18" s="1"/>
  <c r="I184" i="18" s="1"/>
  <c r="I185" i="18" s="1"/>
  <c r="I186" i="18" s="1"/>
  <c r="I187" i="18" s="1"/>
  <c r="I188" i="18" s="1"/>
  <c r="I189" i="18" s="1"/>
  <c r="I190" i="18" s="1"/>
  <c r="BE178" i="18"/>
  <c r="AT163" i="18"/>
  <c r="L163" i="18"/>
  <c r="K163" i="18"/>
  <c r="J163" i="18"/>
  <c r="I163" i="18"/>
  <c r="BE162" i="18"/>
  <c r="AT147" i="18"/>
  <c r="AT148" i="18" s="1"/>
  <c r="AT149" i="18" s="1"/>
  <c r="AT150" i="18" s="1"/>
  <c r="AT151" i="18" s="1"/>
  <c r="AT152" i="18" s="1"/>
  <c r="AT153" i="18" s="1"/>
  <c r="BE147" i="18"/>
  <c r="L147" i="18"/>
  <c r="L148" i="18" s="1"/>
  <c r="L149" i="18" s="1"/>
  <c r="L150" i="18" s="1"/>
  <c r="L151" i="18" s="1"/>
  <c r="L152" i="18" s="1"/>
  <c r="L153" i="18" s="1"/>
  <c r="L154" i="18" s="1"/>
  <c r="L155" i="18" s="1"/>
  <c r="L156" i="18" s="1"/>
  <c r="L157" i="18" s="1"/>
  <c r="L158" i="18" s="1"/>
  <c r="L159" i="18" s="1"/>
  <c r="L160" i="18" s="1"/>
  <c r="L161" i="18" s="1"/>
  <c r="K147" i="18"/>
  <c r="K148" i="18" s="1"/>
  <c r="K149" i="18" s="1"/>
  <c r="K150" i="18" s="1"/>
  <c r="K151" i="18" s="1"/>
  <c r="K152" i="18" s="1"/>
  <c r="K153" i="18" s="1"/>
  <c r="K154" i="18" s="1"/>
  <c r="K155" i="18" s="1"/>
  <c r="K156" i="18" s="1"/>
  <c r="K157" i="18" s="1"/>
  <c r="K158" i="18" s="1"/>
  <c r="K159" i="18" s="1"/>
  <c r="K160" i="18" s="1"/>
  <c r="K161" i="18" s="1"/>
  <c r="J147" i="18"/>
  <c r="J148" i="18" s="1"/>
  <c r="J149" i="18" s="1"/>
  <c r="J150" i="18" s="1"/>
  <c r="J151" i="18" s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I147" i="18"/>
  <c r="I148" i="18" s="1"/>
  <c r="I149" i="18" s="1"/>
  <c r="I150" i="18" s="1"/>
  <c r="I151" i="18" s="1"/>
  <c r="I152" i="18" s="1"/>
  <c r="I153" i="18" s="1"/>
  <c r="I154" i="18" s="1"/>
  <c r="I155" i="18" s="1"/>
  <c r="I156" i="18" s="1"/>
  <c r="I157" i="18" s="1"/>
  <c r="I158" i="18" s="1"/>
  <c r="I159" i="18" s="1"/>
  <c r="I160" i="18" s="1"/>
  <c r="I161" i="18" s="1"/>
  <c r="BE146" i="18"/>
  <c r="AT131" i="18"/>
  <c r="AT132" i="18" s="1"/>
  <c r="AT133" i="18" s="1"/>
  <c r="AT134" i="18" s="1"/>
  <c r="BE131" i="18"/>
  <c r="L131" i="18"/>
  <c r="L132" i="18" s="1"/>
  <c r="L133" i="18" s="1"/>
  <c r="L134" i="18" s="1"/>
  <c r="L135" i="18" s="1"/>
  <c r="L136" i="18" s="1"/>
  <c r="L137" i="18" s="1"/>
  <c r="L138" i="18" s="1"/>
  <c r="L139" i="18" s="1"/>
  <c r="L140" i="18" s="1"/>
  <c r="L141" i="18" s="1"/>
  <c r="L142" i="18" s="1"/>
  <c r="L143" i="18" s="1"/>
  <c r="L144" i="18" s="1"/>
  <c r="L145" i="18" s="1"/>
  <c r="K131" i="18"/>
  <c r="K132" i="18" s="1"/>
  <c r="K133" i="18" s="1"/>
  <c r="K134" i="18" s="1"/>
  <c r="K135" i="18" s="1"/>
  <c r="K136" i="18" s="1"/>
  <c r="K137" i="18" s="1"/>
  <c r="K138" i="18" s="1"/>
  <c r="K139" i="18" s="1"/>
  <c r="K140" i="18" s="1"/>
  <c r="K141" i="18" s="1"/>
  <c r="K142" i="18" s="1"/>
  <c r="K143" i="18" s="1"/>
  <c r="K144" i="18" s="1"/>
  <c r="K145" i="18" s="1"/>
  <c r="J131" i="18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I131" i="18"/>
  <c r="I132" i="18" s="1"/>
  <c r="I133" i="18" s="1"/>
  <c r="I134" i="18" s="1"/>
  <c r="I135" i="18" s="1"/>
  <c r="I136" i="18" s="1"/>
  <c r="I137" i="18" s="1"/>
  <c r="I138" i="18" s="1"/>
  <c r="I139" i="18" s="1"/>
  <c r="I140" i="18" s="1"/>
  <c r="I141" i="18" s="1"/>
  <c r="I142" i="18" s="1"/>
  <c r="I143" i="18" s="1"/>
  <c r="I144" i="18" s="1"/>
  <c r="I145" i="18" s="1"/>
  <c r="BE130" i="18"/>
  <c r="AT42" i="18"/>
  <c r="AT43" i="18" s="1"/>
  <c r="AT44" i="18" s="1"/>
  <c r="AT45" i="18" s="1"/>
  <c r="AT46" i="18" s="1"/>
  <c r="AT47" i="18" s="1"/>
  <c r="AT48" i="18" s="1"/>
  <c r="AT49" i="18" s="1"/>
  <c r="AT50" i="18" s="1"/>
  <c r="AT51" i="18" s="1"/>
  <c r="AT52" i="18" s="1"/>
  <c r="AT53" i="18" s="1"/>
  <c r="BE42" i="18"/>
  <c r="L42" i="18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K42" i="18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J42" i="18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I42" i="18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BE41" i="18"/>
  <c r="AT26" i="18"/>
  <c r="AT27" i="18" s="1"/>
  <c r="AT28" i="18" s="1"/>
  <c r="AT29" i="18" s="1"/>
  <c r="AT30" i="18" s="1"/>
  <c r="AT31" i="18" s="1"/>
  <c r="BE26" i="18"/>
  <c r="L26" i="18"/>
  <c r="L27" i="18" s="1"/>
  <c r="L28" i="18" s="1"/>
  <c r="L29" i="18" s="1"/>
  <c r="L30" i="18" s="1"/>
  <c r="L31" i="18" s="1"/>
  <c r="K26" i="18"/>
  <c r="K27" i="18" s="1"/>
  <c r="K28" i="18" s="1"/>
  <c r="K29" i="18" s="1"/>
  <c r="K30" i="18" s="1"/>
  <c r="K31" i="18" s="1"/>
  <c r="J26" i="18"/>
  <c r="J27" i="18" s="1"/>
  <c r="J28" i="18" s="1"/>
  <c r="J29" i="18" s="1"/>
  <c r="J30" i="18" s="1"/>
  <c r="J31" i="18" s="1"/>
  <c r="I26" i="18"/>
  <c r="I27" i="18" s="1"/>
  <c r="I28" i="18" s="1"/>
  <c r="I29" i="18" s="1"/>
  <c r="I30" i="18" s="1"/>
  <c r="I31" i="18" s="1"/>
  <c r="BE25" i="18"/>
  <c r="AT10" i="18"/>
  <c r="AT11" i="18" s="1"/>
  <c r="AT12" i="18" s="1"/>
  <c r="AT13" i="18" s="1"/>
  <c r="AT14" i="18" s="1"/>
  <c r="AT15" i="18" s="1"/>
  <c r="AT16" i="18" s="1"/>
  <c r="AT17" i="18" s="1"/>
  <c r="AT18" i="18" s="1"/>
  <c r="AT19" i="18" s="1"/>
  <c r="BE10" i="18"/>
  <c r="L10" i="18"/>
  <c r="L11" i="18" s="1"/>
  <c r="L12" i="18" s="1"/>
  <c r="L13" i="18" s="1"/>
  <c r="L14" i="18" s="1"/>
  <c r="L15" i="18" s="1"/>
  <c r="L16" i="18" s="1"/>
  <c r="L17" i="18" s="1"/>
  <c r="L18" i="18" s="1"/>
  <c r="K10" i="18"/>
  <c r="K11" i="18" s="1"/>
  <c r="K12" i="18" s="1"/>
  <c r="K13" i="18" s="1"/>
  <c r="K14" i="18" s="1"/>
  <c r="K15" i="18" s="1"/>
  <c r="K16" i="18" s="1"/>
  <c r="K17" i="18" s="1"/>
  <c r="K18" i="18" s="1"/>
  <c r="J10" i="18"/>
  <c r="J11" i="18" s="1"/>
  <c r="J12" i="18" s="1"/>
  <c r="J13" i="18" s="1"/>
  <c r="J14" i="18" s="1"/>
  <c r="J15" i="18" s="1"/>
  <c r="J16" i="18" s="1"/>
  <c r="J17" i="18" s="1"/>
  <c r="J18" i="18" s="1"/>
  <c r="I10" i="18"/>
  <c r="I11" i="18" s="1"/>
  <c r="I12" i="18" s="1"/>
  <c r="I13" i="18" s="1"/>
  <c r="I14" i="18" s="1"/>
  <c r="I15" i="18" s="1"/>
  <c r="I16" i="18" s="1"/>
  <c r="I17" i="18" s="1"/>
  <c r="I18" i="18" s="1"/>
  <c r="BE9" i="18"/>
  <c r="BE390" i="18"/>
  <c r="L390" i="18"/>
  <c r="L391" i="18" s="1"/>
  <c r="L392" i="18" s="1"/>
  <c r="K390" i="18"/>
  <c r="K391" i="18" s="1"/>
  <c r="K392" i="18" s="1"/>
  <c r="J390" i="18"/>
  <c r="J391" i="18" s="1"/>
  <c r="J392" i="18" s="1"/>
  <c r="I390" i="18"/>
  <c r="I391" i="18" s="1"/>
  <c r="I392" i="18" s="1"/>
  <c r="BE389" i="18"/>
  <c r="AT377" i="18"/>
  <c r="L377" i="18"/>
  <c r="K377" i="18"/>
  <c r="J377" i="18"/>
  <c r="I377" i="18"/>
  <c r="BE376" i="18"/>
  <c r="AT361" i="18"/>
  <c r="L361" i="18"/>
  <c r="K361" i="18"/>
  <c r="J361" i="18"/>
  <c r="I361" i="18"/>
  <c r="BE360" i="18"/>
  <c r="AT345" i="18"/>
  <c r="AT346" i="18" s="1"/>
  <c r="AT347" i="18" s="1"/>
  <c r="AT348" i="18" s="1"/>
  <c r="BE345" i="18"/>
  <c r="L345" i="18"/>
  <c r="L346" i="18" s="1"/>
  <c r="L347" i="18" s="1"/>
  <c r="K345" i="18"/>
  <c r="K346" i="18" s="1"/>
  <c r="K347" i="18" s="1"/>
  <c r="J345" i="18"/>
  <c r="J346" i="18" s="1"/>
  <c r="J347" i="18" s="1"/>
  <c r="J348" i="18" s="1"/>
  <c r="J349" i="18" s="1"/>
  <c r="J350" i="18" s="1"/>
  <c r="J351" i="18" s="1"/>
  <c r="J352" i="18" s="1"/>
  <c r="J353" i="18" s="1"/>
  <c r="J354" i="18" s="1"/>
  <c r="J355" i="18" s="1"/>
  <c r="J356" i="18" s="1"/>
  <c r="J357" i="18" s="1"/>
  <c r="J358" i="18" s="1"/>
  <c r="J359" i="18" s="1"/>
  <c r="I345" i="18"/>
  <c r="I346" i="18" s="1"/>
  <c r="I347" i="18" s="1"/>
  <c r="I348" i="18" s="1"/>
  <c r="I349" i="18" s="1"/>
  <c r="I350" i="18" s="1"/>
  <c r="I351" i="18" s="1"/>
  <c r="I352" i="18" s="1"/>
  <c r="I353" i="18" s="1"/>
  <c r="I354" i="18" s="1"/>
  <c r="I355" i="18" s="1"/>
  <c r="I356" i="18" s="1"/>
  <c r="I357" i="18" s="1"/>
  <c r="I358" i="18" s="1"/>
  <c r="I359" i="18" s="1"/>
  <c r="BE344" i="18"/>
  <c r="AS344" i="18"/>
  <c r="K265" i="18" l="1"/>
  <c r="K266" i="18" s="1"/>
  <c r="K267" i="18" s="1"/>
  <c r="K268" i="18" s="1"/>
  <c r="K269" i="18" s="1"/>
  <c r="K257" i="18"/>
  <c r="K258" i="18" s="1"/>
  <c r="K259" i="18" s="1"/>
  <c r="K260" i="18" s="1"/>
  <c r="K261" i="18" s="1"/>
  <c r="K262" i="18" s="1"/>
  <c r="K263" i="18" s="1"/>
  <c r="K264" i="18" s="1"/>
  <c r="AT265" i="18"/>
  <c r="AT266" i="18" s="1"/>
  <c r="AT267" i="18" s="1"/>
  <c r="AT268" i="18" s="1"/>
  <c r="AT269" i="18" s="1"/>
  <c r="AT257" i="18"/>
  <c r="AT258" i="18" s="1"/>
  <c r="AT259" i="18" s="1"/>
  <c r="AT260" i="18" s="1"/>
  <c r="AT261" i="18" s="1"/>
  <c r="AT262" i="18" s="1"/>
  <c r="AT263" i="18" s="1"/>
  <c r="AT264" i="18" s="1"/>
  <c r="L265" i="18"/>
  <c r="L266" i="18" s="1"/>
  <c r="L267" i="18" s="1"/>
  <c r="L268" i="18" s="1"/>
  <c r="L269" i="18" s="1"/>
  <c r="L257" i="18"/>
  <c r="L258" i="18" s="1"/>
  <c r="L259" i="18" s="1"/>
  <c r="L260" i="18" s="1"/>
  <c r="L261" i="18" s="1"/>
  <c r="L262" i="18" s="1"/>
  <c r="L263" i="18" s="1"/>
  <c r="L264" i="18" s="1"/>
  <c r="I265" i="18"/>
  <c r="I266" i="18" s="1"/>
  <c r="I267" i="18" s="1"/>
  <c r="I268" i="18" s="1"/>
  <c r="I269" i="18" s="1"/>
  <c r="I257" i="18"/>
  <c r="I258" i="18" s="1"/>
  <c r="I259" i="18" s="1"/>
  <c r="I260" i="18" s="1"/>
  <c r="I261" i="18" s="1"/>
  <c r="I262" i="18" s="1"/>
  <c r="I263" i="18" s="1"/>
  <c r="I264" i="18" s="1"/>
  <c r="J265" i="18"/>
  <c r="J266" i="18" s="1"/>
  <c r="J267" i="18" s="1"/>
  <c r="J268" i="18" s="1"/>
  <c r="J269" i="18" s="1"/>
  <c r="J257" i="18"/>
  <c r="J258" i="18" s="1"/>
  <c r="J259" i="18" s="1"/>
  <c r="J260" i="18" s="1"/>
  <c r="J261" i="18" s="1"/>
  <c r="J262" i="18" s="1"/>
  <c r="J263" i="18" s="1"/>
  <c r="J264" i="18" s="1"/>
  <c r="I247" i="18"/>
  <c r="I248" i="18" s="1"/>
  <c r="I249" i="18" s="1"/>
  <c r="I250" i="18" s="1"/>
  <c r="I251" i="18" s="1"/>
  <c r="I252" i="18" s="1"/>
  <c r="I253" i="18" s="1"/>
  <c r="I241" i="18"/>
  <c r="I242" i="18" s="1"/>
  <c r="I243" i="18" s="1"/>
  <c r="I244" i="18" s="1"/>
  <c r="I245" i="18" s="1"/>
  <c r="I246" i="18" s="1"/>
  <c r="J247" i="18"/>
  <c r="J248" i="18" s="1"/>
  <c r="J249" i="18" s="1"/>
  <c r="J250" i="18" s="1"/>
  <c r="J251" i="18" s="1"/>
  <c r="J252" i="18" s="1"/>
  <c r="J253" i="18" s="1"/>
  <c r="J241" i="18"/>
  <c r="J242" i="18" s="1"/>
  <c r="J243" i="18" s="1"/>
  <c r="J244" i="18" s="1"/>
  <c r="J245" i="18" s="1"/>
  <c r="J246" i="18" s="1"/>
  <c r="K247" i="18"/>
  <c r="K248" i="18" s="1"/>
  <c r="K249" i="18" s="1"/>
  <c r="K250" i="18" s="1"/>
  <c r="K251" i="18" s="1"/>
  <c r="K252" i="18" s="1"/>
  <c r="K253" i="18" s="1"/>
  <c r="K241" i="18"/>
  <c r="K242" i="18" s="1"/>
  <c r="K243" i="18" s="1"/>
  <c r="K244" i="18" s="1"/>
  <c r="K245" i="18" s="1"/>
  <c r="K246" i="18" s="1"/>
  <c r="L247" i="18"/>
  <c r="L248" i="18" s="1"/>
  <c r="L249" i="18" s="1"/>
  <c r="L250" i="18" s="1"/>
  <c r="L251" i="18" s="1"/>
  <c r="L252" i="18" s="1"/>
  <c r="L253" i="18" s="1"/>
  <c r="L241" i="18"/>
  <c r="L242" i="18" s="1"/>
  <c r="L243" i="18" s="1"/>
  <c r="L244" i="18" s="1"/>
  <c r="L245" i="18" s="1"/>
  <c r="L246" i="18" s="1"/>
  <c r="AT247" i="18"/>
  <c r="AT248" i="18" s="1"/>
  <c r="AT249" i="18" s="1"/>
  <c r="AT250" i="18" s="1"/>
  <c r="AT251" i="18" s="1"/>
  <c r="AT252" i="18" s="1"/>
  <c r="AT253" i="18" s="1"/>
  <c r="AT241" i="18"/>
  <c r="AT242" i="18" s="1"/>
  <c r="AT243" i="18" s="1"/>
  <c r="AT244" i="18" s="1"/>
  <c r="AT245" i="18" s="1"/>
  <c r="AT246" i="18" s="1"/>
  <c r="I225" i="18"/>
  <c r="I226" i="18" s="1"/>
  <c r="I227" i="18" s="1"/>
  <c r="I228" i="18" s="1"/>
  <c r="I229" i="18" s="1"/>
  <c r="I230" i="18" s="1"/>
  <c r="I231" i="18" s="1"/>
  <c r="I232" i="18" s="1"/>
  <c r="I233" i="18" s="1"/>
  <c r="I234" i="18" s="1"/>
  <c r="I235" i="18" s="1"/>
  <c r="I236" i="18" s="1"/>
  <c r="I237" i="18" s="1"/>
  <c r="J225" i="18"/>
  <c r="J226" i="18" s="1"/>
  <c r="J227" i="18" s="1"/>
  <c r="J228" i="18" s="1"/>
  <c r="J229" i="18" s="1"/>
  <c r="J230" i="18" s="1"/>
  <c r="J231" i="18" s="1"/>
  <c r="J232" i="18" s="1"/>
  <c r="J233" i="18" s="1"/>
  <c r="J234" i="18" s="1"/>
  <c r="J235" i="18" s="1"/>
  <c r="J236" i="18" s="1"/>
  <c r="J237" i="18" s="1"/>
  <c r="K225" i="18"/>
  <c r="K226" i="18" s="1"/>
  <c r="K227" i="18" s="1"/>
  <c r="K228" i="18" s="1"/>
  <c r="K229" i="18" s="1"/>
  <c r="K230" i="18" s="1"/>
  <c r="K231" i="18" s="1"/>
  <c r="K232" i="18" s="1"/>
  <c r="K233" i="18" s="1"/>
  <c r="K234" i="18" s="1"/>
  <c r="K235" i="18" s="1"/>
  <c r="K236" i="18" s="1"/>
  <c r="K237" i="18" s="1"/>
  <c r="L225" i="18"/>
  <c r="L226" i="18" s="1"/>
  <c r="L227" i="18" s="1"/>
  <c r="L228" i="18" s="1"/>
  <c r="L229" i="18" s="1"/>
  <c r="L230" i="18" s="1"/>
  <c r="L231" i="18" s="1"/>
  <c r="L232" i="18" s="1"/>
  <c r="L233" i="18" s="1"/>
  <c r="L234" i="18" s="1"/>
  <c r="L235" i="18" s="1"/>
  <c r="L236" i="18" s="1"/>
  <c r="L237" i="18" s="1"/>
  <c r="AT225" i="18"/>
  <c r="AT226" i="18" s="1"/>
  <c r="AT227" i="18" s="1"/>
  <c r="AT228" i="18" s="1"/>
  <c r="AT229" i="18" s="1"/>
  <c r="AT230" i="18" s="1"/>
  <c r="AT231" i="18" s="1"/>
  <c r="AT232" i="18" s="1"/>
  <c r="AT233" i="18" s="1"/>
  <c r="AT234" i="18" s="1"/>
  <c r="AT235" i="18" s="1"/>
  <c r="AT236" i="18" s="1"/>
  <c r="AT237" i="18" s="1"/>
  <c r="AT32" i="18"/>
  <c r="AT33" i="18" s="1"/>
  <c r="AT34" i="18" s="1"/>
  <c r="AT35" i="18" s="1"/>
  <c r="AT36" i="18" s="1"/>
  <c r="AT37" i="18" s="1"/>
  <c r="AT38" i="18" s="1"/>
  <c r="AT39" i="18" s="1"/>
  <c r="AT40" i="18" s="1"/>
  <c r="L32" i="18"/>
  <c r="L33" i="18" s="1"/>
  <c r="L34" i="18" s="1"/>
  <c r="L35" i="18" s="1"/>
  <c r="L36" i="18" s="1"/>
  <c r="L37" i="18" s="1"/>
  <c r="L38" i="18" s="1"/>
  <c r="L39" i="18" s="1"/>
  <c r="L40" i="18" s="1"/>
  <c r="I32" i="18"/>
  <c r="I33" i="18" s="1"/>
  <c r="I34" i="18" s="1"/>
  <c r="I35" i="18" s="1"/>
  <c r="I36" i="18" s="1"/>
  <c r="I37" i="18" s="1"/>
  <c r="I38" i="18" s="1"/>
  <c r="I39" i="18" s="1"/>
  <c r="I40" i="18" s="1"/>
  <c r="J32" i="18"/>
  <c r="J33" i="18" s="1"/>
  <c r="J34" i="18" s="1"/>
  <c r="J35" i="18" s="1"/>
  <c r="J36" i="18" s="1"/>
  <c r="J37" i="18" s="1"/>
  <c r="J38" i="18" s="1"/>
  <c r="J39" i="18" s="1"/>
  <c r="J40" i="18" s="1"/>
  <c r="K32" i="18"/>
  <c r="K33" i="18" s="1"/>
  <c r="K34" i="18" s="1"/>
  <c r="K35" i="18" s="1"/>
  <c r="K36" i="18" s="1"/>
  <c r="K37" i="18" s="1"/>
  <c r="K38" i="18" s="1"/>
  <c r="K39" i="18" s="1"/>
  <c r="K40" i="18" s="1"/>
  <c r="AT20" i="18"/>
  <c r="AT21" i="18" s="1"/>
  <c r="AT22" i="18" s="1"/>
  <c r="AT23" i="18" s="1"/>
  <c r="AT24" i="18" s="1"/>
  <c r="J19" i="18"/>
  <c r="J20" i="18" s="1"/>
  <c r="J21" i="18" s="1"/>
  <c r="J22" i="18" s="1"/>
  <c r="J23" i="18" s="1"/>
  <c r="J24" i="18" s="1"/>
  <c r="K19" i="18"/>
  <c r="K20" i="18" s="1"/>
  <c r="K21" i="18" s="1"/>
  <c r="K22" i="18" s="1"/>
  <c r="K23" i="18" s="1"/>
  <c r="K24" i="18" s="1"/>
  <c r="L19" i="18"/>
  <c r="L20" i="18" s="1"/>
  <c r="L21" i="18" s="1"/>
  <c r="L22" i="18" s="1"/>
  <c r="L23" i="18" s="1"/>
  <c r="L24" i="18" s="1"/>
  <c r="I19" i="18"/>
  <c r="I20" i="18" s="1"/>
  <c r="I21" i="18" s="1"/>
  <c r="I22" i="18" s="1"/>
  <c r="I23" i="18" s="1"/>
  <c r="I24" i="18" s="1"/>
  <c r="AS345" i="18"/>
  <c r="AS346" i="18" s="1"/>
  <c r="AS347" i="18" s="1"/>
  <c r="AS348" i="18" s="1"/>
  <c r="AS349" i="18" s="1"/>
  <c r="AS350" i="18" s="1"/>
  <c r="AS351" i="18" s="1"/>
  <c r="AS352" i="18" s="1"/>
  <c r="AS353" i="18" s="1"/>
  <c r="AS354" i="18" s="1"/>
  <c r="AS355" i="18" s="1"/>
  <c r="AS356" i="18" s="1"/>
  <c r="AS357" i="18" s="1"/>
  <c r="AS358" i="18" s="1"/>
  <c r="AS359" i="18" s="1"/>
  <c r="AS360" i="18"/>
  <c r="AT62" i="18"/>
  <c r="AT63" i="18" s="1"/>
  <c r="AT64" i="18" s="1"/>
  <c r="AT65" i="18" s="1"/>
  <c r="AT66" i="18" s="1"/>
  <c r="AT67" i="18" s="1"/>
  <c r="AT68" i="18" s="1"/>
  <c r="AT69" i="18" s="1"/>
  <c r="I393" i="18"/>
  <c r="I394" i="18" s="1"/>
  <c r="I395" i="18" s="1"/>
  <c r="I396" i="18" s="1"/>
  <c r="I397" i="18" s="1"/>
  <c r="I398" i="18" s="1"/>
  <c r="I399" i="18" s="1"/>
  <c r="I400" i="18" s="1"/>
  <c r="J393" i="18"/>
  <c r="J394" i="18" s="1"/>
  <c r="J395" i="18" s="1"/>
  <c r="J396" i="18" s="1"/>
  <c r="J397" i="18" s="1"/>
  <c r="J398" i="18" s="1"/>
  <c r="J399" i="18" s="1"/>
  <c r="J400" i="18" s="1"/>
  <c r="AT154" i="18"/>
  <c r="AT155" i="18" s="1"/>
  <c r="AT156" i="18" s="1"/>
  <c r="AT157" i="18" s="1"/>
  <c r="AT158" i="18" s="1"/>
  <c r="AT159" i="18" s="1"/>
  <c r="AT160" i="18" s="1"/>
  <c r="AT161" i="18" s="1"/>
  <c r="K393" i="18"/>
  <c r="K394" i="18" s="1"/>
  <c r="K395" i="18" s="1"/>
  <c r="K396" i="18" s="1"/>
  <c r="K397" i="18" s="1"/>
  <c r="K398" i="18" s="1"/>
  <c r="K399" i="18" s="1"/>
  <c r="K400" i="18" s="1"/>
  <c r="AT164" i="18"/>
  <c r="AT165" i="18" s="1"/>
  <c r="AT166" i="18" s="1"/>
  <c r="AT167" i="18" s="1"/>
  <c r="AT168" i="18" s="1"/>
  <c r="AT169" i="18" s="1"/>
  <c r="AT170" i="18" s="1"/>
  <c r="AT171" i="18" s="1"/>
  <c r="AT172" i="18" s="1"/>
  <c r="AT173" i="18" s="1"/>
  <c r="AT174" i="18" s="1"/>
  <c r="AT175" i="18" s="1"/>
  <c r="AT176" i="18" s="1"/>
  <c r="AT177" i="18" s="1"/>
  <c r="AT138" i="18"/>
  <c r="AT139" i="18" s="1"/>
  <c r="AT140" i="18" s="1"/>
  <c r="AT141" i="18" s="1"/>
  <c r="AT142" i="18" s="1"/>
  <c r="AT143" i="18" s="1"/>
  <c r="AT144" i="18" s="1"/>
  <c r="AT145" i="18" s="1"/>
  <c r="AT135" i="18"/>
  <c r="AT136" i="18" s="1"/>
  <c r="AT137" i="18" s="1"/>
  <c r="AT378" i="18"/>
  <c r="AT379" i="18" s="1"/>
  <c r="AT380" i="18" s="1"/>
  <c r="AT381" i="18" s="1"/>
  <c r="AT382" i="18" s="1"/>
  <c r="AT383" i="18" s="1"/>
  <c r="AT384" i="18" s="1"/>
  <c r="AT385" i="18" s="1"/>
  <c r="AT386" i="18" s="1"/>
  <c r="AT387" i="18" s="1"/>
  <c r="AT388" i="18" s="1"/>
  <c r="L393" i="18"/>
  <c r="L394" i="18" s="1"/>
  <c r="L395" i="18" s="1"/>
  <c r="L396" i="18" s="1"/>
  <c r="L397" i="18" s="1"/>
  <c r="L398" i="18" s="1"/>
  <c r="L399" i="18" s="1"/>
  <c r="L400" i="18" s="1"/>
  <c r="J164" i="18"/>
  <c r="J165" i="18" s="1"/>
  <c r="J166" i="18" s="1"/>
  <c r="J167" i="18" s="1"/>
  <c r="J168" i="18" s="1"/>
  <c r="J169" i="18" s="1"/>
  <c r="J170" i="18" s="1"/>
  <c r="J171" i="18" s="1"/>
  <c r="J172" i="18" s="1"/>
  <c r="J173" i="18" s="1"/>
  <c r="J174" i="18" s="1"/>
  <c r="J175" i="18" s="1"/>
  <c r="J176" i="18" s="1"/>
  <c r="J177" i="18" s="1"/>
  <c r="I164" i="18"/>
  <c r="I165" i="18" s="1"/>
  <c r="I166" i="18" s="1"/>
  <c r="I167" i="18" s="1"/>
  <c r="I168" i="18" s="1"/>
  <c r="I169" i="18" s="1"/>
  <c r="I170" i="18" s="1"/>
  <c r="I171" i="18" s="1"/>
  <c r="I172" i="18" s="1"/>
  <c r="I173" i="18" s="1"/>
  <c r="I174" i="18" s="1"/>
  <c r="I175" i="18" s="1"/>
  <c r="I176" i="18" s="1"/>
  <c r="I177" i="18" s="1"/>
  <c r="K164" i="18"/>
  <c r="K165" i="18" s="1"/>
  <c r="K166" i="18" s="1"/>
  <c r="K167" i="18" s="1"/>
  <c r="K168" i="18" s="1"/>
  <c r="K169" i="18" s="1"/>
  <c r="K170" i="18" s="1"/>
  <c r="K171" i="18" s="1"/>
  <c r="K172" i="18" s="1"/>
  <c r="K173" i="18" s="1"/>
  <c r="K174" i="18" s="1"/>
  <c r="K175" i="18" s="1"/>
  <c r="K176" i="18" s="1"/>
  <c r="K177" i="18" s="1"/>
  <c r="L164" i="18"/>
  <c r="L165" i="18" s="1"/>
  <c r="L166" i="18" s="1"/>
  <c r="L167" i="18" s="1"/>
  <c r="L168" i="18" s="1"/>
  <c r="L169" i="18" s="1"/>
  <c r="L170" i="18" s="1"/>
  <c r="L171" i="18" s="1"/>
  <c r="L172" i="18" s="1"/>
  <c r="L173" i="18" s="1"/>
  <c r="L174" i="18" s="1"/>
  <c r="L175" i="18" s="1"/>
  <c r="L176" i="18" s="1"/>
  <c r="L177" i="18" s="1"/>
  <c r="I64" i="18"/>
  <c r="I65" i="18" s="1"/>
  <c r="I66" i="18" s="1"/>
  <c r="I67" i="18" s="1"/>
  <c r="I68" i="18" s="1"/>
  <c r="I69" i="18" s="1"/>
  <c r="I62" i="18"/>
  <c r="I63" i="18" s="1"/>
  <c r="J64" i="18"/>
  <c r="J65" i="18" s="1"/>
  <c r="J66" i="18" s="1"/>
  <c r="J67" i="18" s="1"/>
  <c r="J68" i="18" s="1"/>
  <c r="J69" i="18" s="1"/>
  <c r="J62" i="18"/>
  <c r="J63" i="18" s="1"/>
  <c r="K64" i="18"/>
  <c r="K65" i="18" s="1"/>
  <c r="K66" i="18" s="1"/>
  <c r="K67" i="18" s="1"/>
  <c r="K68" i="18" s="1"/>
  <c r="K69" i="18" s="1"/>
  <c r="K62" i="18"/>
  <c r="K63" i="18" s="1"/>
  <c r="L64" i="18"/>
  <c r="L65" i="18" s="1"/>
  <c r="L66" i="18" s="1"/>
  <c r="L67" i="18" s="1"/>
  <c r="L68" i="18" s="1"/>
  <c r="L69" i="18" s="1"/>
  <c r="L62" i="18"/>
  <c r="L63" i="18" s="1"/>
  <c r="I378" i="18"/>
  <c r="I379" i="18" s="1"/>
  <c r="I380" i="18" s="1"/>
  <c r="I381" i="18" s="1"/>
  <c r="I382" i="18" s="1"/>
  <c r="I383" i="18" s="1"/>
  <c r="I384" i="18" s="1"/>
  <c r="I385" i="18" s="1"/>
  <c r="I386" i="18" s="1"/>
  <c r="I387" i="18" s="1"/>
  <c r="I388" i="18" s="1"/>
  <c r="K378" i="18"/>
  <c r="K379" i="18" s="1"/>
  <c r="K380" i="18" s="1"/>
  <c r="K381" i="18" s="1"/>
  <c r="K382" i="18" s="1"/>
  <c r="K383" i="18" s="1"/>
  <c r="K384" i="18" s="1"/>
  <c r="K385" i="18" s="1"/>
  <c r="K386" i="18" s="1"/>
  <c r="K387" i="18" s="1"/>
  <c r="K388" i="18" s="1"/>
  <c r="J378" i="18"/>
  <c r="J379" i="18" s="1"/>
  <c r="J380" i="18" s="1"/>
  <c r="J381" i="18" s="1"/>
  <c r="J382" i="18" s="1"/>
  <c r="J383" i="18" s="1"/>
  <c r="J384" i="18" s="1"/>
  <c r="J385" i="18" s="1"/>
  <c r="J386" i="18" s="1"/>
  <c r="J387" i="18" s="1"/>
  <c r="J388" i="18" s="1"/>
  <c r="L378" i="18"/>
  <c r="L379" i="18" s="1"/>
  <c r="L380" i="18" s="1"/>
  <c r="L381" i="18" s="1"/>
  <c r="L382" i="18" s="1"/>
  <c r="L383" i="18" s="1"/>
  <c r="L384" i="18" s="1"/>
  <c r="L385" i="18" s="1"/>
  <c r="L386" i="18" s="1"/>
  <c r="L387" i="18" s="1"/>
  <c r="L388" i="18" s="1"/>
  <c r="AT362" i="18"/>
  <c r="AT363" i="18" s="1"/>
  <c r="AT364" i="18" s="1"/>
  <c r="AT365" i="18" s="1"/>
  <c r="AT366" i="18" s="1"/>
  <c r="AT367" i="18" s="1"/>
  <c r="AT368" i="18" s="1"/>
  <c r="AT369" i="18" s="1"/>
  <c r="AT370" i="18" s="1"/>
  <c r="AT371" i="18" s="1"/>
  <c r="AT372" i="18" s="1"/>
  <c r="AT373" i="18" s="1"/>
  <c r="AT374" i="18" s="1"/>
  <c r="AT375" i="18" s="1"/>
  <c r="I362" i="18"/>
  <c r="I363" i="18" s="1"/>
  <c r="I364" i="18" s="1"/>
  <c r="I365" i="18" s="1"/>
  <c r="I366" i="18" s="1"/>
  <c r="I367" i="18" s="1"/>
  <c r="I368" i="18" s="1"/>
  <c r="I369" i="18" s="1"/>
  <c r="I370" i="18" s="1"/>
  <c r="I371" i="18" s="1"/>
  <c r="I372" i="18" s="1"/>
  <c r="I373" i="18" s="1"/>
  <c r="I374" i="18" s="1"/>
  <c r="I375" i="18" s="1"/>
  <c r="J362" i="18"/>
  <c r="J363" i="18" s="1"/>
  <c r="J364" i="18" s="1"/>
  <c r="J365" i="18" s="1"/>
  <c r="J366" i="18" s="1"/>
  <c r="J367" i="18" s="1"/>
  <c r="J368" i="18" s="1"/>
  <c r="J369" i="18" s="1"/>
  <c r="J370" i="18" s="1"/>
  <c r="J371" i="18" s="1"/>
  <c r="J372" i="18" s="1"/>
  <c r="J373" i="18" s="1"/>
  <c r="J374" i="18" s="1"/>
  <c r="J375" i="18" s="1"/>
  <c r="K362" i="18"/>
  <c r="K363" i="18" s="1"/>
  <c r="K364" i="18" s="1"/>
  <c r="K365" i="18" s="1"/>
  <c r="K366" i="18" s="1"/>
  <c r="K367" i="18" s="1"/>
  <c r="K368" i="18" s="1"/>
  <c r="K369" i="18" s="1"/>
  <c r="K370" i="18" s="1"/>
  <c r="K371" i="18" s="1"/>
  <c r="K372" i="18" s="1"/>
  <c r="K373" i="18" s="1"/>
  <c r="K374" i="18" s="1"/>
  <c r="K375" i="18" s="1"/>
  <c r="L362" i="18"/>
  <c r="L363" i="18" s="1"/>
  <c r="L364" i="18" s="1"/>
  <c r="L365" i="18" s="1"/>
  <c r="L366" i="18" s="1"/>
  <c r="L367" i="18" s="1"/>
  <c r="L368" i="18" s="1"/>
  <c r="L369" i="18" s="1"/>
  <c r="L370" i="18" s="1"/>
  <c r="L371" i="18" s="1"/>
  <c r="L372" i="18" s="1"/>
  <c r="L373" i="18" s="1"/>
  <c r="L374" i="18" s="1"/>
  <c r="L375" i="18" s="1"/>
  <c r="BE369" i="18"/>
  <c r="AT349" i="18"/>
  <c r="AT350" i="18" s="1"/>
  <c r="AT351" i="18" s="1"/>
  <c r="AT352" i="18" s="1"/>
  <c r="AT353" i="18" s="1"/>
  <c r="AT354" i="18" s="1"/>
  <c r="AT355" i="18" s="1"/>
  <c r="AT356" i="18" s="1"/>
  <c r="AT357" i="18" s="1"/>
  <c r="AT358" i="18" s="1"/>
  <c r="AT359" i="18" s="1"/>
  <c r="K348" i="18"/>
  <c r="K349" i="18" s="1"/>
  <c r="K350" i="18" s="1"/>
  <c r="K351" i="18" s="1"/>
  <c r="K352" i="18" s="1"/>
  <c r="K353" i="18" s="1"/>
  <c r="K354" i="18" s="1"/>
  <c r="K355" i="18" s="1"/>
  <c r="K356" i="18" s="1"/>
  <c r="K357" i="18" s="1"/>
  <c r="K358" i="18" s="1"/>
  <c r="K359" i="18" s="1"/>
  <c r="L348" i="18"/>
  <c r="L349" i="18" s="1"/>
  <c r="L350" i="18" s="1"/>
  <c r="L351" i="18" s="1"/>
  <c r="L352" i="18" s="1"/>
  <c r="L353" i="18" s="1"/>
  <c r="L354" i="18" s="1"/>
  <c r="L355" i="18" s="1"/>
  <c r="L356" i="18" s="1"/>
  <c r="L357" i="18" s="1"/>
  <c r="L358" i="18" s="1"/>
  <c r="L359" i="18" s="1"/>
  <c r="AT193" i="18"/>
  <c r="AT191" i="18"/>
  <c r="AT192" i="18" s="1"/>
  <c r="I193" i="18"/>
  <c r="I191" i="18"/>
  <c r="I192" i="18" s="1"/>
  <c r="J193" i="18"/>
  <c r="J191" i="18"/>
  <c r="J192" i="18" s="1"/>
  <c r="K193" i="18"/>
  <c r="K191" i="18"/>
  <c r="K192" i="18" s="1"/>
  <c r="BE196" i="18"/>
  <c r="BE195" i="18"/>
  <c r="BE148" i="18"/>
  <c r="BE236" i="18"/>
  <c r="BE198" i="18"/>
  <c r="BE237" i="18"/>
  <c r="BE163" i="18"/>
  <c r="BE223" i="18"/>
  <c r="BE386" i="18"/>
  <c r="BE199" i="18"/>
  <c r="BE387" i="18"/>
  <c r="BE224" i="18"/>
  <c r="BE239" i="18"/>
  <c r="BE377" i="18"/>
  <c r="BE233" i="18"/>
  <c r="BE361" i="18"/>
  <c r="BE388" i="18"/>
  <c r="BE240" i="18"/>
  <c r="BE210" i="18"/>
  <c r="BE171" i="18"/>
  <c r="BE200" i="18"/>
  <c r="BE197" i="18"/>
  <c r="BE209" i="18"/>
  <c r="BE235" i="18"/>
  <c r="BE234" i="18"/>
  <c r="BE362" i="18" l="1"/>
  <c r="AS376" i="18"/>
  <c r="AS377" i="18" s="1"/>
  <c r="AS361" i="18"/>
  <c r="BE118" i="18"/>
  <c r="BE72" i="18"/>
  <c r="BE56" i="18"/>
  <c r="BE132" i="18"/>
  <c r="BE272" i="18"/>
  <c r="BE43" i="18"/>
  <c r="BE256" i="18"/>
  <c r="BE172" i="18"/>
  <c r="BE11" i="18"/>
  <c r="BE201" i="18"/>
  <c r="BE27" i="18"/>
  <c r="BE346" i="18"/>
  <c r="BE211" i="18"/>
  <c r="BE391" i="18"/>
  <c r="BE180" i="18"/>
  <c r="BE247" i="18"/>
  <c r="BE133" i="18"/>
  <c r="AS386" i="18" l="1"/>
  <c r="AS387" i="18" s="1"/>
  <c r="AS388" i="18" s="1"/>
  <c r="AS378" i="18"/>
  <c r="AS379" i="18" s="1"/>
  <c r="AS380" i="18" s="1"/>
  <c r="AS381" i="18" s="1"/>
  <c r="AS382" i="18" s="1"/>
  <c r="AS383" i="18" s="1"/>
  <c r="AS384" i="18" s="1"/>
  <c r="AS385" i="18" s="1"/>
  <c r="BE370" i="18"/>
  <c r="AS389" i="18"/>
  <c r="AS390" i="18" s="1"/>
  <c r="AS391" i="18" s="1"/>
  <c r="AS392" i="18" s="1"/>
  <c r="AS393" i="18" s="1"/>
  <c r="AS394" i="18" s="1"/>
  <c r="AS395" i="18" s="1"/>
  <c r="AS396" i="18" s="1"/>
  <c r="AS397" i="18" s="1"/>
  <c r="AS398" i="18" s="1"/>
  <c r="AS399" i="18" s="1"/>
  <c r="AS400" i="18" s="1"/>
  <c r="AS362" i="18"/>
  <c r="AS363" i="18" s="1"/>
  <c r="AS364" i="18" s="1"/>
  <c r="AS365" i="18" s="1"/>
  <c r="AS366" i="18" s="1"/>
  <c r="AS367" i="18" s="1"/>
  <c r="AS368" i="18" s="1"/>
  <c r="AS369" i="18" s="1"/>
  <c r="AS370" i="18" s="1"/>
  <c r="AS371" i="18" s="1"/>
  <c r="AS372" i="18" s="1"/>
  <c r="AS373" i="18" s="1"/>
  <c r="AS374" i="18" s="1"/>
  <c r="AS375" i="18" s="1"/>
  <c r="BE363" i="18"/>
  <c r="BE119" i="18"/>
  <c r="BE150" i="18"/>
  <c r="BE73" i="18"/>
  <c r="BE149" i="18"/>
  <c r="BE57" i="18"/>
  <c r="BE273" i="18"/>
  <c r="BE202" i="18"/>
  <c r="BE134" i="18"/>
  <c r="BE212" i="18"/>
  <c r="BE173" i="18"/>
  <c r="BE392" i="18"/>
  <c r="BE12" i="18"/>
  <c r="BE265" i="18"/>
  <c r="BE44" i="18"/>
  <c r="BE248" i="18"/>
  <c r="BE371" i="18"/>
  <c r="BE181" i="18"/>
  <c r="BE347" i="18"/>
  <c r="BE28" i="18"/>
  <c r="BE151" i="18"/>
  <c r="AS9" i="18" l="1"/>
  <c r="AS25" i="18" s="1"/>
  <c r="BE364" i="18"/>
  <c r="BE349" i="18"/>
  <c r="BE120" i="18"/>
  <c r="BE74" i="18"/>
  <c r="BE58" i="18"/>
  <c r="BE274" i="18"/>
  <c r="BE266" i="18"/>
  <c r="BE372" i="18"/>
  <c r="BE138" i="18"/>
  <c r="BE182" i="18"/>
  <c r="BE13" i="18"/>
  <c r="BE249" i="18"/>
  <c r="BE396" i="18"/>
  <c r="BE29" i="18"/>
  <c r="BE213" i="18"/>
  <c r="BE152" i="18"/>
  <c r="BE348" i="18"/>
  <c r="BE45" i="18"/>
  <c r="BE203" i="18"/>
  <c r="BE174" i="18"/>
  <c r="AS10" i="18" l="1"/>
  <c r="AS11" i="18" s="1"/>
  <c r="AS12" i="18" s="1"/>
  <c r="AS13" i="18" s="1"/>
  <c r="AS14" i="18" s="1"/>
  <c r="AS15" i="18" s="1"/>
  <c r="AS16" i="18" s="1"/>
  <c r="AS17" i="18" s="1"/>
  <c r="AS18" i="18" s="1"/>
  <c r="AS19" i="18" s="1"/>
  <c r="BE365" i="18"/>
  <c r="BE350" i="18"/>
  <c r="BE121" i="18"/>
  <c r="BE75" i="18"/>
  <c r="BE59" i="18"/>
  <c r="BE275" i="18"/>
  <c r="BE14" i="18"/>
  <c r="BE183" i="18"/>
  <c r="BE267" i="18"/>
  <c r="BE204" i="18"/>
  <c r="BE397" i="18"/>
  <c r="BE139" i="18"/>
  <c r="BE153" i="18"/>
  <c r="BE46" i="18"/>
  <c r="BE250" i="18"/>
  <c r="BE30" i="18"/>
  <c r="AS26" i="18"/>
  <c r="AS27" i="18" s="1"/>
  <c r="AS28" i="18" s="1"/>
  <c r="AS29" i="18" s="1"/>
  <c r="AS30" i="18" s="1"/>
  <c r="AS31" i="18" s="1"/>
  <c r="AS41" i="18"/>
  <c r="AS54" i="18" s="1"/>
  <c r="AS106" i="18" s="1"/>
  <c r="AS107" i="18" s="1"/>
  <c r="AS108" i="18" s="1"/>
  <c r="AS109" i="18" s="1"/>
  <c r="AS110" i="18" s="1"/>
  <c r="AS111" i="18" s="1"/>
  <c r="AS112" i="18" s="1"/>
  <c r="AS113" i="18" s="1"/>
  <c r="AS114" i="18" s="1"/>
  <c r="AS115" i="18" s="1"/>
  <c r="BE175" i="18"/>
  <c r="BE214" i="18"/>
  <c r="BE373" i="18"/>
  <c r="AS32" i="18" l="1"/>
  <c r="AS33" i="18" s="1"/>
  <c r="AS34" i="18" s="1"/>
  <c r="AS35" i="18" s="1"/>
  <c r="AS36" i="18" s="1"/>
  <c r="AS37" i="18" s="1"/>
  <c r="AS38" i="18" s="1"/>
  <c r="AS39" i="18" s="1"/>
  <c r="AS40" i="18" s="1"/>
  <c r="AS20" i="18"/>
  <c r="AS21" i="18" s="1"/>
  <c r="AS22" i="18" s="1"/>
  <c r="AS23" i="18" s="1"/>
  <c r="AS24" i="18" s="1"/>
  <c r="AS81" i="18"/>
  <c r="AS82" i="18" s="1"/>
  <c r="AS83" i="18" s="1"/>
  <c r="AS84" i="18" s="1"/>
  <c r="AS85" i="18" s="1"/>
  <c r="AS86" i="18" s="1"/>
  <c r="AS87" i="18" s="1"/>
  <c r="AS88" i="18" s="1"/>
  <c r="AS89" i="18" s="1"/>
  <c r="AS90" i="18" s="1"/>
  <c r="AS91" i="18" s="1"/>
  <c r="AS92" i="18" s="1"/>
  <c r="AS93" i="18" s="1"/>
  <c r="AS94" i="18" s="1"/>
  <c r="AS95" i="18" s="1"/>
  <c r="AS96" i="18" s="1"/>
  <c r="AS97" i="18"/>
  <c r="BE366" i="18"/>
  <c r="BE351" i="18"/>
  <c r="BE122" i="18"/>
  <c r="AS55" i="18"/>
  <c r="AS56" i="18" s="1"/>
  <c r="AS57" i="18" s="1"/>
  <c r="AS58" i="18" s="1"/>
  <c r="AS59" i="18" s="1"/>
  <c r="AS60" i="18" s="1"/>
  <c r="AS61" i="18" s="1"/>
  <c r="AS70" i="18"/>
  <c r="BE76" i="18"/>
  <c r="BE60" i="18"/>
  <c r="BE276" i="18"/>
  <c r="BE398" i="18"/>
  <c r="BE268" i="18"/>
  <c r="BE215" i="18"/>
  <c r="BE251" i="18"/>
  <c r="BE205" i="18"/>
  <c r="BE184" i="18"/>
  <c r="BE15" i="18"/>
  <c r="BE176" i="18"/>
  <c r="AS42" i="18"/>
  <c r="AS43" i="18" s="1"/>
  <c r="AS44" i="18" s="1"/>
  <c r="AS45" i="18" s="1"/>
  <c r="AS46" i="18" s="1"/>
  <c r="AS47" i="18" s="1"/>
  <c r="AS48" i="18" s="1"/>
  <c r="AS49" i="18" s="1"/>
  <c r="AS50" i="18" s="1"/>
  <c r="AS51" i="18" s="1"/>
  <c r="AS52" i="18" s="1"/>
  <c r="AS53" i="18" s="1"/>
  <c r="AS130" i="18"/>
  <c r="BE31" i="18"/>
  <c r="BE156" i="18"/>
  <c r="BE47" i="18"/>
  <c r="BE374" i="18"/>
  <c r="BE140" i="18"/>
  <c r="AS98" i="18" l="1"/>
  <c r="AS99" i="18" s="1"/>
  <c r="AS62" i="18"/>
  <c r="AS63" i="18" s="1"/>
  <c r="AS64" i="18" s="1"/>
  <c r="AS65" i="18" s="1"/>
  <c r="AS66" i="18" s="1"/>
  <c r="AS67" i="18" s="1"/>
  <c r="AS68" i="18" s="1"/>
  <c r="AS69" i="18" s="1"/>
  <c r="BE368" i="18"/>
  <c r="BE367" i="18"/>
  <c r="BE352" i="18"/>
  <c r="AS71" i="18"/>
  <c r="AS72" i="18" s="1"/>
  <c r="AS73" i="18" s="1"/>
  <c r="AS74" i="18" s="1"/>
  <c r="AS75" i="18" s="1"/>
  <c r="AS76" i="18" s="1"/>
  <c r="AS77" i="18" s="1"/>
  <c r="AS78" i="18" s="1"/>
  <c r="AS79" i="18" s="1"/>
  <c r="AS80" i="18" s="1"/>
  <c r="AS116" i="18"/>
  <c r="AS117" i="18" s="1"/>
  <c r="AS118" i="18" s="1"/>
  <c r="AS119" i="18" s="1"/>
  <c r="AS120" i="18" s="1"/>
  <c r="AS121" i="18" s="1"/>
  <c r="AS122" i="18" s="1"/>
  <c r="AS123" i="18" s="1"/>
  <c r="AS124" i="18" s="1"/>
  <c r="AS125" i="18" s="1"/>
  <c r="AS126" i="18" s="1"/>
  <c r="AS127" i="18" s="1"/>
  <c r="AS128" i="18" s="1"/>
  <c r="AS129" i="18" s="1"/>
  <c r="BE123" i="18"/>
  <c r="BE77" i="18"/>
  <c r="BE61" i="18"/>
  <c r="BE277" i="18"/>
  <c r="BE216" i="18"/>
  <c r="BE375" i="18"/>
  <c r="AS146" i="18"/>
  <c r="AS131" i="18"/>
  <c r="AS132" i="18" s="1"/>
  <c r="AS133" i="18" s="1"/>
  <c r="AS134" i="18" s="1"/>
  <c r="BE206" i="18"/>
  <c r="BE269" i="18"/>
  <c r="BE185" i="18"/>
  <c r="BE252" i="18"/>
  <c r="BE399" i="18"/>
  <c r="BE177" i="18"/>
  <c r="BE48" i="18"/>
  <c r="BE141" i="18"/>
  <c r="BE157" i="18"/>
  <c r="BE16" i="18"/>
  <c r="AS100" i="18" l="1"/>
  <c r="AS101" i="18" s="1"/>
  <c r="AS102" i="18" s="1"/>
  <c r="AS103" i="18" s="1"/>
  <c r="AS104" i="18" s="1"/>
  <c r="AS105" i="18" s="1"/>
  <c r="AS138" i="18"/>
  <c r="AS139" i="18" s="1"/>
  <c r="AS140" i="18" s="1"/>
  <c r="AS141" i="18" s="1"/>
  <c r="AS142" i="18" s="1"/>
  <c r="AS143" i="18" s="1"/>
  <c r="AS144" i="18" s="1"/>
  <c r="AS145" i="18" s="1"/>
  <c r="AS135" i="18"/>
  <c r="AS136" i="18" s="1"/>
  <c r="AS137" i="18" s="1"/>
  <c r="BE353" i="18"/>
  <c r="BE124" i="18"/>
  <c r="BE78" i="18"/>
  <c r="BE64" i="18"/>
  <c r="BE278" i="18"/>
  <c r="AS147" i="18"/>
  <c r="AS148" i="18" s="1"/>
  <c r="AS149" i="18" s="1"/>
  <c r="AS150" i="18" s="1"/>
  <c r="AS151" i="18" s="1"/>
  <c r="AS152" i="18" s="1"/>
  <c r="AS153" i="18" s="1"/>
  <c r="AS162" i="18"/>
  <c r="BE186" i="18"/>
  <c r="BE17" i="18"/>
  <c r="BE49" i="18"/>
  <c r="BE34" i="18"/>
  <c r="BE142" i="18"/>
  <c r="BE253" i="18"/>
  <c r="BE207" i="18"/>
  <c r="BE158" i="18"/>
  <c r="BE400" i="18"/>
  <c r="BE217" i="18"/>
  <c r="AS154" i="18" l="1"/>
  <c r="AS155" i="18" s="1"/>
  <c r="AS156" i="18" s="1"/>
  <c r="AS157" i="18" s="1"/>
  <c r="AS158" i="18" s="1"/>
  <c r="AS159" i="18" s="1"/>
  <c r="AS160" i="18" s="1"/>
  <c r="AS161" i="18" s="1"/>
  <c r="BE354" i="18"/>
  <c r="BE125" i="18"/>
  <c r="BE79" i="18"/>
  <c r="BE65" i="18"/>
  <c r="BE279" i="18"/>
  <c r="BE218" i="18"/>
  <c r="BE143" i="18"/>
  <c r="BE50" i="18"/>
  <c r="BE187" i="18"/>
  <c r="BE18" i="18"/>
  <c r="BE159" i="18"/>
  <c r="AS163" i="18"/>
  <c r="AS178" i="18"/>
  <c r="BE35" i="18"/>
  <c r="AS164" i="18" l="1"/>
  <c r="AS165" i="18" s="1"/>
  <c r="AS166" i="18" s="1"/>
  <c r="AS167" i="18" s="1"/>
  <c r="AS168" i="18" s="1"/>
  <c r="AS169" i="18" s="1"/>
  <c r="AS170" i="18" s="1"/>
  <c r="AS171" i="18" s="1"/>
  <c r="AS172" i="18" s="1"/>
  <c r="AS173" i="18" s="1"/>
  <c r="AS174" i="18" s="1"/>
  <c r="AS175" i="18" s="1"/>
  <c r="AS176" i="18" s="1"/>
  <c r="AS177" i="18" s="1"/>
  <c r="BE355" i="18"/>
  <c r="BE126" i="18"/>
  <c r="BE66" i="18"/>
  <c r="BE280" i="18"/>
  <c r="AS194" i="18"/>
  <c r="AS179" i="18"/>
  <c r="AS180" i="18" s="1"/>
  <c r="AS181" i="18" s="1"/>
  <c r="AS182" i="18" s="1"/>
  <c r="AS183" i="18" s="1"/>
  <c r="AS184" i="18" s="1"/>
  <c r="AS185" i="18" s="1"/>
  <c r="AS186" i="18" s="1"/>
  <c r="AS187" i="18" s="1"/>
  <c r="AS188" i="18" s="1"/>
  <c r="AS189" i="18" s="1"/>
  <c r="AS190" i="18" s="1"/>
  <c r="BE219" i="18"/>
  <c r="BE19" i="18"/>
  <c r="BE36" i="18"/>
  <c r="BE51" i="18"/>
  <c r="BE144" i="18"/>
  <c r="BE160" i="18"/>
  <c r="BE188" i="18"/>
  <c r="BE356" i="18" l="1"/>
  <c r="AS193" i="18"/>
  <c r="AS191" i="18"/>
  <c r="AS192" i="18" s="1"/>
  <c r="BE127" i="18"/>
  <c r="BE67" i="18"/>
  <c r="BE281" i="18"/>
  <c r="BE145" i="18"/>
  <c r="BE220" i="18"/>
  <c r="AS208" i="18"/>
  <c r="AS195" i="18"/>
  <c r="AS196" i="18" s="1"/>
  <c r="AS197" i="18" s="1"/>
  <c r="AS198" i="18" s="1"/>
  <c r="AS199" i="18" s="1"/>
  <c r="AS200" i="18" s="1"/>
  <c r="AS201" i="18" s="1"/>
  <c r="AS202" i="18" s="1"/>
  <c r="AS203" i="18" s="1"/>
  <c r="AS204" i="18" s="1"/>
  <c r="AS205" i="18" s="1"/>
  <c r="AS206" i="18" s="1"/>
  <c r="AS207" i="18" s="1"/>
  <c r="BE189" i="18"/>
  <c r="BE37" i="18"/>
  <c r="BE52" i="18"/>
  <c r="BE357" i="18" l="1"/>
  <c r="BE191" i="18"/>
  <c r="BE128" i="18"/>
  <c r="BE68" i="18"/>
  <c r="BE282" i="18"/>
  <c r="BE22" i="18"/>
  <c r="BE190" i="18"/>
  <c r="BE38" i="18"/>
  <c r="AS222" i="18"/>
  <c r="AS209" i="18"/>
  <c r="AS210" i="18" s="1"/>
  <c r="AS211" i="18" s="1"/>
  <c r="AS212" i="18" s="1"/>
  <c r="AS213" i="18" s="1"/>
  <c r="AS214" i="18" s="1"/>
  <c r="AS215" i="18" s="1"/>
  <c r="AS216" i="18" s="1"/>
  <c r="AS217" i="18" s="1"/>
  <c r="AS218" i="18" s="1"/>
  <c r="AS219" i="18" s="1"/>
  <c r="AS220" i="18" s="1"/>
  <c r="AS221" i="18" s="1"/>
  <c r="BE221" i="18"/>
  <c r="BE193" i="18" l="1"/>
  <c r="BE192" i="18"/>
  <c r="BE129" i="18"/>
  <c r="BE69" i="18"/>
  <c r="BE283" i="18"/>
  <c r="BE23" i="18"/>
  <c r="BE39" i="18"/>
  <c r="AS238" i="18"/>
  <c r="AS223" i="18"/>
  <c r="AS224" i="18" s="1"/>
  <c r="AS225" i="18" l="1"/>
  <c r="AS226" i="18" s="1"/>
  <c r="AS227" i="18" s="1"/>
  <c r="AS228" i="18" s="1"/>
  <c r="AS229" i="18" s="1"/>
  <c r="AS230" i="18" s="1"/>
  <c r="AS231" i="18" s="1"/>
  <c r="AS232" i="18" s="1"/>
  <c r="AS233" i="18" s="1"/>
  <c r="AS234" i="18" s="1"/>
  <c r="AS235" i="18" s="1"/>
  <c r="AS236" i="18" s="1"/>
  <c r="AS237" i="18" s="1"/>
  <c r="BE284" i="18"/>
  <c r="BE285" i="18"/>
  <c r="BE40" i="18"/>
  <c r="BE24" i="18"/>
  <c r="AS254" i="18"/>
  <c r="AS239" i="18"/>
  <c r="AS240" i="18" s="1"/>
  <c r="AS247" i="18" l="1"/>
  <c r="AS248" i="18" s="1"/>
  <c r="AS249" i="18" s="1"/>
  <c r="AS250" i="18" s="1"/>
  <c r="AS251" i="18" s="1"/>
  <c r="AS252" i="18" s="1"/>
  <c r="AS253" i="18" s="1"/>
  <c r="AS241" i="18"/>
  <c r="AS242" i="18" s="1"/>
  <c r="AS243" i="18" s="1"/>
  <c r="AS244" i="18" s="1"/>
  <c r="AS245" i="18" s="1"/>
  <c r="AS246" i="18" s="1"/>
  <c r="AS255" i="18"/>
  <c r="AS256" i="18" s="1"/>
  <c r="AS270" i="18"/>
  <c r="AS265" i="18" l="1"/>
  <c r="AS266" i="18" s="1"/>
  <c r="AS267" i="18" s="1"/>
  <c r="AS268" i="18" s="1"/>
  <c r="AS269" i="18" s="1"/>
  <c r="AS257" i="18"/>
  <c r="AS258" i="18" s="1"/>
  <c r="AS259" i="18" s="1"/>
  <c r="AS260" i="18" s="1"/>
  <c r="AS261" i="18" s="1"/>
  <c r="AS262" i="18" s="1"/>
  <c r="AS263" i="18" s="1"/>
  <c r="AS264" i="18" s="1"/>
  <c r="AS286" i="18"/>
  <c r="AS302" i="18" s="1"/>
  <c r="AS271" i="18"/>
  <c r="AS272" i="18" s="1"/>
  <c r="AS273" i="18" s="1"/>
  <c r="AS274" i="18" s="1"/>
  <c r="AS275" i="18" s="1"/>
  <c r="AS276" i="18" s="1"/>
  <c r="AS277" i="18" s="1"/>
  <c r="AS278" i="18" s="1"/>
  <c r="AS279" i="18" s="1"/>
  <c r="AS280" i="18" s="1"/>
  <c r="AS281" i="18" s="1"/>
  <c r="AS282" i="18" s="1"/>
  <c r="AS283" i="18" s="1"/>
  <c r="AS284" i="18" s="1"/>
  <c r="AS285" i="18" s="1"/>
  <c r="AS287" i="18" l="1"/>
  <c r="AS288" i="18" s="1"/>
  <c r="AS289" i="18" s="1"/>
  <c r="AS290" i="18" s="1"/>
  <c r="AS291" i="18" s="1"/>
  <c r="AS303" i="18"/>
  <c r="AS304" i="18" s="1"/>
  <c r="AS305" i="18" s="1"/>
  <c r="AS318" i="18"/>
  <c r="AS309" i="18" l="1"/>
  <c r="AS310" i="18" s="1"/>
  <c r="AS311" i="18" s="1"/>
  <c r="AS312" i="18" s="1"/>
  <c r="AS313" i="18" s="1"/>
  <c r="AS314" i="18" s="1"/>
  <c r="AS315" i="18" s="1"/>
  <c r="AS316" i="18" s="1"/>
  <c r="AS317" i="18" s="1"/>
  <c r="AS306" i="18"/>
  <c r="AS307" i="18" s="1"/>
  <c r="AS308" i="18" s="1"/>
  <c r="AS294" i="18"/>
  <c r="AS295" i="18" s="1"/>
  <c r="AS296" i="18" s="1"/>
  <c r="AS297" i="18" s="1"/>
  <c r="AS298" i="18" s="1"/>
  <c r="AS299" i="18" s="1"/>
  <c r="AS300" i="18" s="1"/>
  <c r="AS301" i="18" s="1"/>
  <c r="AS292" i="18"/>
  <c r="AS293" i="18" s="1"/>
  <c r="AS319" i="18"/>
  <c r="AS320" i="18" s="1"/>
  <c r="AS321" i="18" s="1"/>
  <c r="AS322" i="18" s="1"/>
  <c r="AS323" i="18" s="1"/>
  <c r="AS324" i="18" s="1"/>
  <c r="AS325" i="18" s="1"/>
  <c r="AS326" i="18" s="1"/>
  <c r="AS327" i="18" s="1"/>
  <c r="AS328" i="18" s="1"/>
  <c r="AS329" i="18" s="1"/>
  <c r="AS330" i="18"/>
  <c r="AS331" i="18" l="1"/>
  <c r="AS332" i="18" s="1"/>
  <c r="AS333" i="18" s="1"/>
  <c r="AS334" i="18" s="1"/>
  <c r="AS339" i="18" l="1"/>
  <c r="AS340" i="18" s="1"/>
  <c r="AS341" i="18" s="1"/>
  <c r="AS342" i="18" s="1"/>
  <c r="AS343" i="18" s="1"/>
  <c r="AS335" i="18"/>
  <c r="AS336" i="18" s="1"/>
  <c r="AS337" i="18" s="1"/>
  <c r="AS338" i="18" s="1"/>
  <c r="F360" i="18"/>
  <c r="F361" i="18" s="1"/>
  <c r="F376" i="18" s="1"/>
  <c r="F377" i="18" s="1"/>
  <c r="F389" i="18" s="1"/>
  <c r="F390" i="18" s="1"/>
  <c r="F10" i="18" s="1"/>
  <c r="F25" i="18" l="1"/>
  <c r="F26" i="18" s="1"/>
  <c r="F41" i="18" s="1"/>
  <c r="F42" i="18" s="1"/>
  <c r="F54" i="18" s="1"/>
  <c r="F55" i="18" s="1"/>
  <c r="F70" i="18" s="1"/>
  <c r="F71" i="18" s="1"/>
  <c r="F81" i="18" l="1"/>
  <c r="F82" i="18" s="1"/>
  <c r="F97" i="18" s="1"/>
  <c r="F98" i="18" s="1"/>
  <c r="F106" i="18" s="1"/>
  <c r="F107" i="18" s="1"/>
  <c r="F117" i="18" s="1"/>
  <c r="F130" i="18" s="1"/>
  <c r="F131" i="18" s="1"/>
  <c r="F146" i="18" s="1"/>
  <c r="F147" i="18" s="1"/>
  <c r="F162" i="18" s="1"/>
  <c r="F163" i="18" s="1"/>
  <c r="F178" i="18" s="1"/>
  <c r="F179" i="18" s="1"/>
  <c r="F194" i="18" l="1"/>
  <c r="F195" i="18" s="1"/>
  <c r="F209" i="18" s="1"/>
  <c r="F222" i="18" s="1"/>
  <c r="F223" i="18" s="1"/>
  <c r="F238" i="18" s="1"/>
  <c r="F239" i="18" s="1"/>
  <c r="F255" i="18" s="1"/>
  <c r="F271" i="18" s="1"/>
  <c r="F286" i="18" s="1"/>
  <c r="F287" i="18" s="1"/>
  <c r="F302" i="18" s="1"/>
  <c r="F303" i="18" s="1"/>
  <c r="F318" i="18" s="1"/>
  <c r="F319" i="18" s="1"/>
  <c r="F330" i="18" s="1"/>
  <c r="F331" i="18" s="1"/>
  <c r="B25" i="18"/>
  <c r="B41" i="18" s="1"/>
  <c r="B54" i="18" s="1"/>
  <c r="B70" i="18" s="1"/>
  <c r="B81" i="18" s="1"/>
  <c r="B97" i="18" s="1"/>
  <c r="B106" i="18" s="1"/>
  <c r="B116" i="18" s="1"/>
  <c r="B130" i="18" s="1"/>
  <c r="B146" i="18" s="1"/>
  <c r="B162" i="18" s="1"/>
  <c r="B178" i="18" s="1"/>
  <c r="B194" i="18" s="1"/>
  <c r="B208" i="18" s="1"/>
  <c r="B222" i="18" s="1"/>
  <c r="B238" i="18" s="1"/>
  <c r="B254" i="18" s="1"/>
  <c r="B270" i="18" s="1"/>
  <c r="B286" i="18" s="1"/>
  <c r="B302" i="18" s="1"/>
  <c r="B318" i="18" s="1"/>
  <c r="B330" i="18" s="1"/>
  <c r="B344" i="18" s="1"/>
  <c r="B360" i="18" s="1"/>
  <c r="B376" i="18" s="1"/>
  <c r="B389" i="18" s="1"/>
</calcChain>
</file>

<file path=xl/sharedStrings.xml><?xml version="1.0" encoding="utf-8"?>
<sst xmlns="http://schemas.openxmlformats.org/spreadsheetml/2006/main" count="13023" uniqueCount="985">
  <si>
    <t>FIBER CORE ASSIGNMENT</t>
  </si>
  <si>
    <t>Region</t>
  </si>
  <si>
    <t>:</t>
  </si>
  <si>
    <t>FDT TYPE</t>
  </si>
  <si>
    <t>OLT / Feeder Line</t>
  </si>
  <si>
    <t>HP / Construction type</t>
  </si>
  <si>
    <t>Cluster Name</t>
  </si>
  <si>
    <t>Distance From OLT</t>
  </si>
  <si>
    <t>m</t>
  </si>
  <si>
    <t>FDT ID</t>
  </si>
  <si>
    <t>COORDINATE FDT</t>
  </si>
  <si>
    <t>FDT Tray (Front)</t>
  </si>
  <si>
    <t>FDT 
Port</t>
  </si>
  <si>
    <t>Line</t>
  </si>
  <si>
    <t>Capacity</t>
  </si>
  <si>
    <t>Tube Colour</t>
  </si>
  <si>
    <t>Core Number</t>
  </si>
  <si>
    <t>FAT ID</t>
  </si>
  <si>
    <t>FAT Port</t>
  </si>
  <si>
    <t>Pole ID</t>
  </si>
  <si>
    <t>Pole Latitude</t>
  </si>
  <si>
    <t>Pole Longitude</t>
  </si>
  <si>
    <t>FAT Address</t>
  </si>
  <si>
    <t>Province</t>
  </si>
  <si>
    <t>regency_city</t>
  </si>
  <si>
    <t>district</t>
  </si>
  <si>
    <t>subdistrict</t>
  </si>
  <si>
    <t>postalcode</t>
  </si>
  <si>
    <t>Roll_Out_ID</t>
  </si>
  <si>
    <t>acquisition_class</t>
  </si>
  <si>
    <t>acquisition_tier</t>
  </si>
  <si>
    <t>competition</t>
  </si>
  <si>
    <t>project_id</t>
  </si>
  <si>
    <t>Area</t>
  </si>
  <si>
    <t>Complex_name</t>
  </si>
  <si>
    <t>Clustername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</si>
  <si>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</si>
  <si>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</si>
  <si>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</si>
  <si>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</si>
  <si>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</si>
  <si>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</si>
  <si>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</si>
  <si>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</si>
  <si>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</si>
  <si>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</si>
  <si>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</si>
  <si>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</si>
  <si>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</si>
  <si>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</si>
  <si>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</si>
  <si>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</si>
  <si>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</si>
  <si>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</si>
  <si>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</si>
  <si>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fdtcode</t>
  </si>
  <si>
    <t>fatcode</t>
  </si>
  <si>
    <t>RFSDate</t>
  </si>
  <si>
    <t>Latitude_homepass</t>
  </si>
  <si>
    <t>Longitude_homepass</t>
  </si>
  <si>
    <t>residential_service_ready</t>
  </si>
  <si>
    <t>sme_service_ready</t>
  </si>
  <si>
    <t>enterprise_service_ready</t>
  </si>
  <si>
    <t>installation</t>
  </si>
  <si>
    <t>availability</t>
  </si>
  <si>
    <t>network_presence</t>
  </si>
  <si>
    <t>wallplate_installation</t>
  </si>
  <si>
    <t>G1</t>
  </si>
  <si>
    <t>Line A</t>
  </si>
  <si>
    <t>A01</t>
  </si>
  <si>
    <t>JLN.</t>
  </si>
  <si>
    <t>A02</t>
  </si>
  <si>
    <t>A03</t>
  </si>
  <si>
    <t>A04</t>
  </si>
  <si>
    <t>A05</t>
  </si>
  <si>
    <t>A06</t>
  </si>
  <si>
    <t>A07</t>
  </si>
  <si>
    <t>AE</t>
  </si>
  <si>
    <t>G2</t>
  </si>
  <si>
    <t>A08</t>
  </si>
  <si>
    <t>B01</t>
  </si>
  <si>
    <t>B02</t>
  </si>
  <si>
    <t>B03</t>
  </si>
  <si>
    <t>B07</t>
  </si>
  <si>
    <t>B08</t>
  </si>
  <si>
    <t>B10</t>
  </si>
  <si>
    <t>B04</t>
  </si>
  <si>
    <t>B05</t>
  </si>
  <si>
    <t>B06</t>
  </si>
  <si>
    <t>B09</t>
  </si>
  <si>
    <t>72C</t>
  </si>
  <si>
    <t>B11</t>
  </si>
  <si>
    <t>B12</t>
  </si>
  <si>
    <t>B13</t>
  </si>
  <si>
    <t>F</t>
  </si>
  <si>
    <t>B14</t>
  </si>
  <si>
    <t>SDU</t>
  </si>
  <si>
    <t>RFS</t>
  </si>
  <si>
    <t>T</t>
  </si>
  <si>
    <t>Line B</t>
  </si>
  <si>
    <t>G3</t>
  </si>
  <si>
    <t>36C/3T</t>
  </si>
  <si>
    <t>B15</t>
  </si>
  <si>
    <t>B16</t>
  </si>
  <si>
    <t>G4</t>
  </si>
  <si>
    <t>KOTAMOBAGU</t>
  </si>
  <si>
    <t>KELURAHAN POYOWA BESAR SATU KOTAMOBAGU</t>
  </si>
  <si>
    <t>KPBS-1.019</t>
  </si>
  <si>
    <t>KPBS-2.020</t>
  </si>
  <si>
    <t>MR.KPBS.P003</t>
  </si>
  <si>
    <t>MR.KPBS.P005</t>
  </si>
  <si>
    <t>MR.KPBS.P010</t>
  </si>
  <si>
    <t>MR.KPBS.P017</t>
  </si>
  <si>
    <t>MR.KPBS.P023</t>
  </si>
  <si>
    <t>MR.KPBS.P038</t>
  </si>
  <si>
    <t>MR.KPBS.P044</t>
  </si>
  <si>
    <t>JL. RAYA POYOWA BESAR</t>
  </si>
  <si>
    <t>SULAWESI UTARA</t>
  </si>
  <si>
    <t>KOTAMOBAGU SELATAN</t>
  </si>
  <si>
    <t>POYOWA BESAR</t>
  </si>
  <si>
    <t>200</t>
  </si>
  <si>
    <t>201</t>
  </si>
  <si>
    <t>203</t>
  </si>
  <si>
    <t>202</t>
  </si>
  <si>
    <t>204</t>
  </si>
  <si>
    <t>205</t>
  </si>
  <si>
    <t>206</t>
  </si>
  <si>
    <t>772</t>
  </si>
  <si>
    <t>204C</t>
  </si>
  <si>
    <t>204B</t>
  </si>
  <si>
    <t>204A</t>
  </si>
  <si>
    <t>160B</t>
  </si>
  <si>
    <t>160A</t>
  </si>
  <si>
    <t>17</t>
  </si>
  <si>
    <t>18</t>
  </si>
  <si>
    <t>19</t>
  </si>
  <si>
    <t>20</t>
  </si>
  <si>
    <t>21</t>
  </si>
  <si>
    <t>22</t>
  </si>
  <si>
    <t>23</t>
  </si>
  <si>
    <t>23A</t>
  </si>
  <si>
    <t>24</t>
  </si>
  <si>
    <t>25</t>
  </si>
  <si>
    <t>26</t>
  </si>
  <si>
    <t>27</t>
  </si>
  <si>
    <t>28</t>
  </si>
  <si>
    <t>29</t>
  </si>
  <si>
    <t>30</t>
  </si>
  <si>
    <t>31</t>
  </si>
  <si>
    <t>46</t>
  </si>
  <si>
    <t>44</t>
  </si>
  <si>
    <t>49</t>
  </si>
  <si>
    <t>45</t>
  </si>
  <si>
    <t>50</t>
  </si>
  <si>
    <t>47</t>
  </si>
  <si>
    <t>48</t>
  </si>
  <si>
    <t>48A</t>
  </si>
  <si>
    <t>51</t>
  </si>
  <si>
    <t>52</t>
  </si>
  <si>
    <t>53B</t>
  </si>
  <si>
    <t>53A</t>
  </si>
  <si>
    <t>53</t>
  </si>
  <si>
    <t>54</t>
  </si>
  <si>
    <t>107</t>
  </si>
  <si>
    <t>56</t>
  </si>
  <si>
    <t>86</t>
  </si>
  <si>
    <t>769</t>
  </si>
  <si>
    <t>81</t>
  </si>
  <si>
    <t>771</t>
  </si>
  <si>
    <t>82</t>
  </si>
  <si>
    <t>83</t>
  </si>
  <si>
    <t>84</t>
  </si>
  <si>
    <t>87</t>
  </si>
  <si>
    <t>89A</t>
  </si>
  <si>
    <t>230</t>
  </si>
  <si>
    <t>231</t>
  </si>
  <si>
    <t>232</t>
  </si>
  <si>
    <t>233</t>
  </si>
  <si>
    <t>234</t>
  </si>
  <si>
    <t>229</t>
  </si>
  <si>
    <t>228</t>
  </si>
  <si>
    <t>228A</t>
  </si>
  <si>
    <t>227</t>
  </si>
  <si>
    <t>226</t>
  </si>
  <si>
    <t>225</t>
  </si>
  <si>
    <t>224</t>
  </si>
  <si>
    <t>223</t>
  </si>
  <si>
    <t>235</t>
  </si>
  <si>
    <t>236</t>
  </si>
  <si>
    <t>239</t>
  </si>
  <si>
    <t>237</t>
  </si>
  <si>
    <t>238</t>
  </si>
  <si>
    <t>241</t>
  </si>
  <si>
    <t>242</t>
  </si>
  <si>
    <t>240</t>
  </si>
  <si>
    <t>243</t>
  </si>
  <si>
    <t>244</t>
  </si>
  <si>
    <t>262</t>
  </si>
  <si>
    <t>245</t>
  </si>
  <si>
    <t>433</t>
  </si>
  <si>
    <t>434</t>
  </si>
  <si>
    <t>435</t>
  </si>
  <si>
    <t>432</t>
  </si>
  <si>
    <t>436</t>
  </si>
  <si>
    <t>462A</t>
  </si>
  <si>
    <t>274</t>
  </si>
  <si>
    <t>252A</t>
  </si>
  <si>
    <t>252</t>
  </si>
  <si>
    <t>254</t>
  </si>
  <si>
    <t>255</t>
  </si>
  <si>
    <t>256</t>
  </si>
  <si>
    <t>258</t>
  </si>
  <si>
    <t>257</t>
  </si>
  <si>
    <t>259</t>
  </si>
  <si>
    <t>260</t>
  </si>
  <si>
    <t>272</t>
  </si>
  <si>
    <t>273</t>
  </si>
  <si>
    <t>261</t>
  </si>
  <si>
    <t>275</t>
  </si>
  <si>
    <t>295</t>
  </si>
  <si>
    <t>303</t>
  </si>
  <si>
    <t>301</t>
  </si>
  <si>
    <t>299</t>
  </si>
  <si>
    <t>298</t>
  </si>
  <si>
    <t>302A</t>
  </si>
  <si>
    <t>302</t>
  </si>
  <si>
    <t>300</t>
  </si>
  <si>
    <t>297</t>
  </si>
  <si>
    <t>296</t>
  </si>
  <si>
    <t>294</t>
  </si>
  <si>
    <t>293</t>
  </si>
  <si>
    <t>292</t>
  </si>
  <si>
    <t>288</t>
  </si>
  <si>
    <t>289</t>
  </si>
  <si>
    <t>291</t>
  </si>
  <si>
    <t>346</t>
  </si>
  <si>
    <t>346A</t>
  </si>
  <si>
    <t>347</t>
  </si>
  <si>
    <t>347A</t>
  </si>
  <si>
    <t>348</t>
  </si>
  <si>
    <t>348A</t>
  </si>
  <si>
    <t>349</t>
  </si>
  <si>
    <t>349A</t>
  </si>
  <si>
    <t>350</t>
  </si>
  <si>
    <t>350A</t>
  </si>
  <si>
    <t>382</t>
  </si>
  <si>
    <t>381</t>
  </si>
  <si>
    <t>380</t>
  </si>
  <si>
    <t>351</t>
  </si>
  <si>
    <t>379</t>
  </si>
  <si>
    <t>378</t>
  </si>
  <si>
    <t xml:space="preserve"> 0.713482° 124.324661°</t>
  </si>
  <si>
    <t>MR.KPBS.P055</t>
  </si>
  <si>
    <t>MR.KPBS.P078</t>
  </si>
  <si>
    <t>MR.KPBS.P082</t>
  </si>
  <si>
    <t>C01</t>
  </si>
  <si>
    <t>C02</t>
  </si>
  <si>
    <t>C03</t>
  </si>
  <si>
    <t>C04</t>
  </si>
  <si>
    <t>C05</t>
  </si>
  <si>
    <t>C06</t>
  </si>
  <si>
    <t>762</t>
  </si>
  <si>
    <t>760</t>
  </si>
  <si>
    <t>761</t>
  </si>
  <si>
    <t>761A</t>
  </si>
  <si>
    <t>764</t>
  </si>
  <si>
    <t>765</t>
  </si>
  <si>
    <t>766</t>
  </si>
  <si>
    <t>767</t>
  </si>
  <si>
    <t>763</t>
  </si>
  <si>
    <t>760A</t>
  </si>
  <si>
    <t>635</t>
  </si>
  <si>
    <t>640</t>
  </si>
  <si>
    <t>641</t>
  </si>
  <si>
    <t>642</t>
  </si>
  <si>
    <t>643</t>
  </si>
  <si>
    <t>644</t>
  </si>
  <si>
    <t>635A</t>
  </si>
  <si>
    <t>636</t>
  </si>
  <si>
    <t>646</t>
  </si>
  <si>
    <t>648</t>
  </si>
  <si>
    <t>645</t>
  </si>
  <si>
    <t>675</t>
  </si>
  <si>
    <t>671</t>
  </si>
  <si>
    <t>648A</t>
  </si>
  <si>
    <t>672</t>
  </si>
  <si>
    <t>671A</t>
  </si>
  <si>
    <t>673</t>
  </si>
  <si>
    <t>674</t>
  </si>
  <si>
    <t>676</t>
  </si>
  <si>
    <t>677</t>
  </si>
  <si>
    <t>700</t>
  </si>
  <si>
    <t>678</t>
  </si>
  <si>
    <t>679</t>
  </si>
  <si>
    <t>680</t>
  </si>
  <si>
    <t>682</t>
  </si>
  <si>
    <t>681</t>
  </si>
  <si>
    <t>684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</si>
  <si>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</si>
  <si>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</si>
  <si>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</si>
  <si>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</si>
  <si>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</si>
  <si>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</si>
  <si>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</si>
  <si>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</si>
  <si>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</si>
  <si>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497A</t>
  </si>
  <si>
    <t>497B</t>
  </si>
  <si>
    <t>103</t>
  </si>
  <si>
    <t>732</t>
  </si>
  <si>
    <t>733</t>
  </si>
  <si>
    <t>731</t>
  </si>
  <si>
    <t>730</t>
  </si>
  <si>
    <t>729</t>
  </si>
  <si>
    <t>728</t>
  </si>
  <si>
    <t>727</t>
  </si>
  <si>
    <t>726</t>
  </si>
  <si>
    <t>0.710345° 124.325846°</t>
  </si>
  <si>
    <t>MR.KPBS.P040</t>
  </si>
  <si>
    <t>MR.KPBS.P042</t>
  </si>
  <si>
    <t>MR.KPBS.P046</t>
  </si>
  <si>
    <t>MR.KPBS.P006</t>
  </si>
  <si>
    <t>MR.KPBS.P008</t>
  </si>
  <si>
    <t>MR.KPBS.P014</t>
  </si>
  <si>
    <t>MR.KPBS.P018</t>
  </si>
  <si>
    <t>MR.KPBS.P021</t>
  </si>
  <si>
    <t>MR.KPBS.P028</t>
  </si>
  <si>
    <t>MR.KPBS.P030</t>
  </si>
  <si>
    <t>MR.KPBS.P032</t>
  </si>
  <si>
    <t>MR.KPBS.P035</t>
  </si>
  <si>
    <t>MR.KPBS.P039</t>
  </si>
  <si>
    <t>MR.KPBS.P051</t>
  </si>
  <si>
    <t>MR.KPBS.P053</t>
  </si>
  <si>
    <t>MR.KPBS.P058</t>
  </si>
  <si>
    <t>MR.KPBS.P060</t>
  </si>
  <si>
    <t>MR.KPBS.P062</t>
  </si>
  <si>
    <t>MR.KPBS.P080</t>
  </si>
  <si>
    <t>MR.KPBS.P084</t>
  </si>
  <si>
    <t>MR.KPBS.P089</t>
  </si>
  <si>
    <t>MR.KPBS.P091</t>
  </si>
  <si>
    <t>MR.KPBS.P101</t>
  </si>
  <si>
    <t>MR.KPBS.P103</t>
  </si>
  <si>
    <t>MR.KPBS.P115</t>
  </si>
  <si>
    <t>TOTAL</t>
  </si>
  <si>
    <t>FDT 1</t>
  </si>
  <si>
    <t>FDT 2</t>
  </si>
  <si>
    <t>KOTAMOBAGU BARAT / KTG.100.0101</t>
  </si>
  <si>
    <t>24C/2T</t>
  </si>
  <si>
    <t>KTG.100.0101</t>
  </si>
  <si>
    <t>Line C</t>
  </si>
  <si>
    <t>48C/4T</t>
  </si>
  <si>
    <t>SULAWESU UTARA</t>
  </si>
  <si>
    <t>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</si>
  <si>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</si>
  <si>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</si>
  <si>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</si>
  <si>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</si>
  <si>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</si>
  <si>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</si>
  <si>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</si>
  <si>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</si>
  <si>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</si>
  <si>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</si>
  <si>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</si>
  <si>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</si>
  <si>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</si>
  <si>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</si>
  <si>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</si>
  <si>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34</t>
  </si>
  <si>
    <t>32</t>
  </si>
  <si>
    <t>33</t>
  </si>
  <si>
    <t>36</t>
  </si>
  <si>
    <t>35</t>
  </si>
  <si>
    <t>38</t>
  </si>
  <si>
    <t>37</t>
  </si>
  <si>
    <t>39</t>
  </si>
  <si>
    <t>40</t>
  </si>
  <si>
    <t>41</t>
  </si>
  <si>
    <t>42</t>
  </si>
  <si>
    <t>43</t>
  </si>
  <si>
    <t>NN- Mesjid Nurul Iman</t>
  </si>
  <si>
    <t>64</t>
  </si>
  <si>
    <t>57</t>
  </si>
  <si>
    <t>58</t>
  </si>
  <si>
    <t>59</t>
  </si>
  <si>
    <t>60</t>
  </si>
  <si>
    <t>61</t>
  </si>
  <si>
    <t>62</t>
  </si>
  <si>
    <t>55</t>
  </si>
  <si>
    <t>63</t>
  </si>
  <si>
    <t>63A</t>
  </si>
  <si>
    <t>65</t>
  </si>
  <si>
    <t>66</t>
  </si>
  <si>
    <t>67</t>
  </si>
  <si>
    <t>74</t>
  </si>
  <si>
    <t>68</t>
  </si>
  <si>
    <t>69</t>
  </si>
  <si>
    <t>70</t>
  </si>
  <si>
    <t>71</t>
  </si>
  <si>
    <t>75</t>
  </si>
  <si>
    <t>76</t>
  </si>
  <si>
    <t>72</t>
  </si>
  <si>
    <t>73</t>
  </si>
  <si>
    <t>77</t>
  </si>
  <si>
    <t>85</t>
  </si>
  <si>
    <t>78</t>
  </si>
  <si>
    <t>79</t>
  </si>
  <si>
    <t>80</t>
  </si>
  <si>
    <t>93</t>
  </si>
  <si>
    <t>88</t>
  </si>
  <si>
    <t>89</t>
  </si>
  <si>
    <t>90</t>
  </si>
  <si>
    <t>91</t>
  </si>
  <si>
    <t>92</t>
  </si>
  <si>
    <t>94</t>
  </si>
  <si>
    <t>95</t>
  </si>
  <si>
    <t>97</t>
  </si>
  <si>
    <t>96</t>
  </si>
  <si>
    <t>167</t>
  </si>
  <si>
    <t>169</t>
  </si>
  <si>
    <t>168</t>
  </si>
  <si>
    <t>166</t>
  </si>
  <si>
    <t>165</t>
  </si>
  <si>
    <t>164</t>
  </si>
  <si>
    <t>162</t>
  </si>
  <si>
    <t>163</t>
  </si>
  <si>
    <t>161</t>
  </si>
  <si>
    <t>160</t>
  </si>
  <si>
    <t>158</t>
  </si>
  <si>
    <t>157</t>
  </si>
  <si>
    <t>159</t>
  </si>
  <si>
    <t>156</t>
  </si>
  <si>
    <t>150</t>
  </si>
  <si>
    <t>155</t>
  </si>
  <si>
    <t>154</t>
  </si>
  <si>
    <t>153</t>
  </si>
  <si>
    <t>151</t>
  </si>
  <si>
    <t>152</t>
  </si>
  <si>
    <t>149</t>
  </si>
  <si>
    <t>147</t>
  </si>
  <si>
    <t>148</t>
  </si>
  <si>
    <t>146</t>
  </si>
  <si>
    <t>145</t>
  </si>
  <si>
    <t>144</t>
  </si>
  <si>
    <t>143</t>
  </si>
  <si>
    <t>142</t>
  </si>
  <si>
    <t>141</t>
  </si>
  <si>
    <t>140</t>
  </si>
  <si>
    <t>234A</t>
  </si>
  <si>
    <t>264</t>
  </si>
  <si>
    <t>246</t>
  </si>
  <si>
    <t>263</t>
  </si>
  <si>
    <t>247</t>
  </si>
  <si>
    <t>248</t>
  </si>
  <si>
    <t>265</t>
  </si>
  <si>
    <t>249</t>
  </si>
  <si>
    <t>266</t>
  </si>
  <si>
    <t>250</t>
  </si>
  <si>
    <t>267</t>
  </si>
  <si>
    <t>268</t>
  </si>
  <si>
    <t>251</t>
  </si>
  <si>
    <t>253</t>
  </si>
  <si>
    <t>269</t>
  </si>
  <si>
    <t>270</t>
  </si>
  <si>
    <t>271</t>
  </si>
  <si>
    <t>278</t>
  </si>
  <si>
    <t>276</t>
  </si>
  <si>
    <t>277</t>
  </si>
  <si>
    <t>279</t>
  </si>
  <si>
    <t>284</t>
  </si>
  <si>
    <t>280</t>
  </si>
  <si>
    <t>281</t>
  </si>
  <si>
    <t>285</t>
  </si>
  <si>
    <t>286</t>
  </si>
  <si>
    <t>282</t>
  </si>
  <si>
    <t>283</t>
  </si>
  <si>
    <t>287</t>
  </si>
  <si>
    <t>290</t>
  </si>
  <si>
    <t>407</t>
  </si>
  <si>
    <t>132</t>
  </si>
  <si>
    <t>139</t>
  </si>
  <si>
    <t>137</t>
  </si>
  <si>
    <t>138</t>
  </si>
  <si>
    <t>136</t>
  </si>
  <si>
    <t>135</t>
  </si>
  <si>
    <t>134</t>
  </si>
  <si>
    <t>133</t>
  </si>
  <si>
    <t>131</t>
  </si>
  <si>
    <t>130</t>
  </si>
  <si>
    <t>127</t>
  </si>
  <si>
    <t>129</t>
  </si>
  <si>
    <t>128</t>
  </si>
  <si>
    <t>126</t>
  </si>
  <si>
    <t>125</t>
  </si>
  <si>
    <t>124</t>
  </si>
  <si>
    <t>117</t>
  </si>
  <si>
    <t>120</t>
  </si>
  <si>
    <t>118</t>
  </si>
  <si>
    <t>119</t>
  </si>
  <si>
    <t>116</t>
  </si>
  <si>
    <t>115</t>
  </si>
  <si>
    <t>114</t>
  </si>
  <si>
    <t>112</t>
  </si>
  <si>
    <t>113</t>
  </si>
  <si>
    <t>111</t>
  </si>
  <si>
    <t>109</t>
  </si>
  <si>
    <t>110</t>
  </si>
  <si>
    <t>108</t>
  </si>
  <si>
    <t>106</t>
  </si>
  <si>
    <t>105</t>
  </si>
  <si>
    <t>104</t>
  </si>
  <si>
    <t>308</t>
  </si>
  <si>
    <t>123</t>
  </si>
  <si>
    <t>122</t>
  </si>
  <si>
    <t>121</t>
  </si>
  <si>
    <t>304</t>
  </si>
  <si>
    <t>305</t>
  </si>
  <si>
    <t>306</t>
  </si>
  <si>
    <t>307</t>
  </si>
  <si>
    <t>310</t>
  </si>
  <si>
    <t>309</t>
  </si>
  <si>
    <t>311</t>
  </si>
  <si>
    <t>312</t>
  </si>
  <si>
    <t>313</t>
  </si>
  <si>
    <t>314</t>
  </si>
  <si>
    <t>315</t>
  </si>
  <si>
    <t>316</t>
  </si>
  <si>
    <t>317</t>
  </si>
  <si>
    <t>319</t>
  </si>
  <si>
    <t>318</t>
  </si>
  <si>
    <t>320</t>
  </si>
  <si>
    <t>321</t>
  </si>
  <si>
    <t>322</t>
  </si>
  <si>
    <t>324</t>
  </si>
  <si>
    <t>325</t>
  </si>
  <si>
    <t>323</t>
  </si>
  <si>
    <t>326</t>
  </si>
  <si>
    <t>327</t>
  </si>
  <si>
    <t>329</t>
  </si>
  <si>
    <t>328</t>
  </si>
  <si>
    <t>331</t>
  </si>
  <si>
    <t>330</t>
  </si>
  <si>
    <t>333</t>
  </si>
  <si>
    <t>354</t>
  </si>
  <si>
    <t>377</t>
  </si>
  <si>
    <t>352</t>
  </si>
  <si>
    <t>353</t>
  </si>
  <si>
    <t>376</t>
  </si>
  <si>
    <t>375</t>
  </si>
  <si>
    <t>374</t>
  </si>
  <si>
    <t>373</t>
  </si>
  <si>
    <t>372</t>
  </si>
  <si>
    <t>371</t>
  </si>
  <si>
    <t>370</t>
  </si>
  <si>
    <t>369</t>
  </si>
  <si>
    <t>359</t>
  </si>
  <si>
    <t>355</t>
  </si>
  <si>
    <t>357</t>
  </si>
  <si>
    <t>356</t>
  </si>
  <si>
    <t>368</t>
  </si>
  <si>
    <t>358</t>
  </si>
  <si>
    <t>360</t>
  </si>
  <si>
    <t>361</t>
  </si>
  <si>
    <t>362</t>
  </si>
  <si>
    <t>367</t>
  </si>
  <si>
    <t>366</t>
  </si>
  <si>
    <t>363</t>
  </si>
  <si>
    <t>364</t>
  </si>
  <si>
    <t>365</t>
  </si>
  <si>
    <t>183</t>
  </si>
  <si>
    <t>171</t>
  </si>
  <si>
    <t>173</t>
  </si>
  <si>
    <t>172</t>
  </si>
  <si>
    <t>170</t>
  </si>
  <si>
    <t>176</t>
  </si>
  <si>
    <t>174</t>
  </si>
  <si>
    <t>175</t>
  </si>
  <si>
    <t>177</t>
  </si>
  <si>
    <t>179</t>
  </si>
  <si>
    <t>181</t>
  </si>
  <si>
    <t>183A</t>
  </si>
  <si>
    <t>178</t>
  </si>
  <si>
    <t>180</t>
  </si>
  <si>
    <t>182</t>
  </si>
  <si>
    <t>184</t>
  </si>
  <si>
    <t>185</t>
  </si>
  <si>
    <t>186</t>
  </si>
  <si>
    <t>188</t>
  </si>
  <si>
    <t>187</t>
  </si>
  <si>
    <t>189</t>
  </si>
  <si>
    <t>191</t>
  </si>
  <si>
    <t>191A</t>
  </si>
  <si>
    <t>193</t>
  </si>
  <si>
    <t>192</t>
  </si>
  <si>
    <t>190</t>
  </si>
  <si>
    <t>194</t>
  </si>
  <si>
    <t>196</t>
  </si>
  <si>
    <t>197</t>
  </si>
  <si>
    <t>195</t>
  </si>
  <si>
    <t>198</t>
  </si>
  <si>
    <t>199</t>
  </si>
  <si>
    <t>207</t>
  </si>
  <si>
    <t>211</t>
  </si>
  <si>
    <t>212</t>
  </si>
  <si>
    <t>213</t>
  </si>
  <si>
    <t>214</t>
  </si>
  <si>
    <t>217</t>
  </si>
  <si>
    <t>215</t>
  </si>
  <si>
    <t>216</t>
  </si>
  <si>
    <t>218</t>
  </si>
  <si>
    <t>219</t>
  </si>
  <si>
    <t>220</t>
  </si>
  <si>
    <t>221</t>
  </si>
  <si>
    <t>450</t>
  </si>
  <si>
    <t>446</t>
  </si>
  <si>
    <t>451</t>
  </si>
  <si>
    <t>452</t>
  </si>
  <si>
    <t>455</t>
  </si>
  <si>
    <t>456</t>
  </si>
  <si>
    <t>460</t>
  </si>
  <si>
    <t>461</t>
  </si>
  <si>
    <t>459</t>
  </si>
  <si>
    <t>458</t>
  </si>
  <si>
    <t>457</t>
  </si>
  <si>
    <t>454</t>
  </si>
  <si>
    <t>453</t>
  </si>
  <si>
    <t>462</t>
  </si>
  <si>
    <t>498</t>
  </si>
  <si>
    <t>438</t>
  </si>
  <si>
    <t>431</t>
  </si>
  <si>
    <t>430</t>
  </si>
  <si>
    <t>429</t>
  </si>
  <si>
    <t>428</t>
  </si>
  <si>
    <t>449</t>
  </si>
  <si>
    <t>437</t>
  </si>
  <si>
    <t>448</t>
  </si>
  <si>
    <t>447</t>
  </si>
  <si>
    <t>445</t>
  </si>
  <si>
    <t>439</t>
  </si>
  <si>
    <t>427</t>
  </si>
  <si>
    <t>506</t>
  </si>
  <si>
    <t>420</t>
  </si>
  <si>
    <t>421</t>
  </si>
  <si>
    <t>505</t>
  </si>
  <si>
    <t>422</t>
  </si>
  <si>
    <t>504</t>
  </si>
  <si>
    <t>503</t>
  </si>
  <si>
    <t>423</t>
  </si>
  <si>
    <t>424</t>
  </si>
  <si>
    <t>502</t>
  </si>
  <si>
    <t>501</t>
  </si>
  <si>
    <t>500</t>
  </si>
  <si>
    <t>499</t>
  </si>
  <si>
    <t>426</t>
  </si>
  <si>
    <t>425</t>
  </si>
  <si>
    <t>508</t>
  </si>
  <si>
    <t>414</t>
  </si>
  <si>
    <t>513</t>
  </si>
  <si>
    <t>515</t>
  </si>
  <si>
    <t>512</t>
  </si>
  <si>
    <t>415</t>
  </si>
  <si>
    <t>416</t>
  </si>
  <si>
    <t>511</t>
  </si>
  <si>
    <t>510</t>
  </si>
  <si>
    <t>509</t>
  </si>
  <si>
    <t>417</t>
  </si>
  <si>
    <t>418</t>
  </si>
  <si>
    <t>507</t>
  </si>
  <si>
    <t>413</t>
  </si>
  <si>
    <t>514</t>
  </si>
  <si>
    <t>419</t>
  </si>
  <si>
    <t>406</t>
  </si>
  <si>
    <t>405</t>
  </si>
  <si>
    <t>404</t>
  </si>
  <si>
    <t>408</t>
  </si>
  <si>
    <t>403</t>
  </si>
  <si>
    <t>402</t>
  </si>
  <si>
    <t>409</t>
  </si>
  <si>
    <t>409A</t>
  </si>
  <si>
    <t>401</t>
  </si>
  <si>
    <t>400</t>
  </si>
  <si>
    <t>410</t>
  </si>
  <si>
    <t>411</t>
  </si>
  <si>
    <t>412</t>
  </si>
  <si>
    <t>399</t>
  </si>
  <si>
    <t>398</t>
  </si>
  <si>
    <t>338</t>
  </si>
  <si>
    <t>397</t>
  </si>
  <si>
    <t>396</t>
  </si>
  <si>
    <t>335</t>
  </si>
  <si>
    <t>332</t>
  </si>
  <si>
    <t>334</t>
  </si>
  <si>
    <t>336</t>
  </si>
  <si>
    <t>337</t>
  </si>
  <si>
    <t>394</t>
  </si>
  <si>
    <t>393</t>
  </si>
  <si>
    <t>339</t>
  </si>
  <si>
    <t>340</t>
  </si>
  <si>
    <t>392</t>
  </si>
  <si>
    <t>391</t>
  </si>
  <si>
    <t>341</t>
  </si>
  <si>
    <t>342</t>
  </si>
  <si>
    <t>343</t>
  </si>
  <si>
    <t>344</t>
  </si>
  <si>
    <t>345</t>
  </si>
  <si>
    <t>383</t>
  </si>
  <si>
    <t>384</t>
  </si>
  <si>
    <t>385</t>
  </si>
  <si>
    <t>386</t>
  </si>
  <si>
    <t>387</t>
  </si>
  <si>
    <t>388</t>
  </si>
  <si>
    <t>389</t>
  </si>
  <si>
    <t>390</t>
  </si>
  <si>
    <t>99</t>
  </si>
  <si>
    <t>395</t>
  </si>
  <si>
    <t>572</t>
  </si>
  <si>
    <t>573</t>
  </si>
  <si>
    <t>574</t>
  </si>
  <si>
    <t>98</t>
  </si>
  <si>
    <t>575</t>
  </si>
  <si>
    <t>576</t>
  </si>
  <si>
    <t>100</t>
  </si>
  <si>
    <t>577</t>
  </si>
  <si>
    <t>101</t>
  </si>
  <si>
    <t>578</t>
  </si>
  <si>
    <t>579</t>
  </si>
  <si>
    <t>580</t>
  </si>
  <si>
    <t>581</t>
  </si>
  <si>
    <t>582</t>
  </si>
  <si>
    <t>539</t>
  </si>
  <si>
    <t>537</t>
  </si>
  <si>
    <t>536</t>
  </si>
  <si>
    <t>538</t>
  </si>
  <si>
    <t>535</t>
  </si>
  <si>
    <t>534</t>
  </si>
  <si>
    <t>540</t>
  </si>
  <si>
    <t>541</t>
  </si>
  <si>
    <t>533</t>
  </si>
  <si>
    <t>532</t>
  </si>
  <si>
    <t>542</t>
  </si>
  <si>
    <t>543</t>
  </si>
  <si>
    <t>531</t>
  </si>
  <si>
    <t>530</t>
  </si>
  <si>
    <t>544</t>
  </si>
  <si>
    <t>529</t>
  </si>
  <si>
    <t>528</t>
  </si>
  <si>
    <t>545</t>
  </si>
  <si>
    <t>546</t>
  </si>
  <si>
    <t>527</t>
  </si>
  <si>
    <t>547</t>
  </si>
  <si>
    <t>526</t>
  </si>
  <si>
    <t>548</t>
  </si>
  <si>
    <t>525</t>
  </si>
  <si>
    <t>549</t>
  </si>
  <si>
    <t>524</t>
  </si>
  <si>
    <t>550</t>
  </si>
  <si>
    <t>523</t>
  </si>
  <si>
    <t>551</t>
  </si>
  <si>
    <t>552</t>
  </si>
  <si>
    <t>553</t>
  </si>
  <si>
    <t>516</t>
  </si>
  <si>
    <t>517</t>
  </si>
  <si>
    <t>518</t>
  </si>
  <si>
    <t>519</t>
  </si>
  <si>
    <t>520</t>
  </si>
  <si>
    <t>521</t>
  </si>
  <si>
    <t>522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</si>
  <si>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</si>
  <si>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</si>
  <si>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</si>
  <si>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</si>
  <si>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</si>
  <si>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</si>
  <si>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</si>
  <si>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</si>
  <si>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</si>
  <si>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</si>
  <si>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</si>
  <si>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</si>
  <si>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583</t>
  </si>
  <si>
    <t>569</t>
  </si>
  <si>
    <t>584</t>
  </si>
  <si>
    <t>566</t>
  </si>
  <si>
    <t>567</t>
  </si>
  <si>
    <t>585</t>
  </si>
  <si>
    <t>568</t>
  </si>
  <si>
    <t>586</t>
  </si>
  <si>
    <t>570</t>
  </si>
  <si>
    <t>587</t>
  </si>
  <si>
    <t>601</t>
  </si>
  <si>
    <t>571</t>
  </si>
  <si>
    <t>602</t>
  </si>
  <si>
    <t>610</t>
  </si>
  <si>
    <t>603</t>
  </si>
  <si>
    <t>611</t>
  </si>
  <si>
    <t>604</t>
  </si>
  <si>
    <t>600</t>
  </si>
  <si>
    <t>588</t>
  </si>
  <si>
    <t>599</t>
  </si>
  <si>
    <t>598</t>
  </si>
  <si>
    <t>597</t>
  </si>
  <si>
    <t>596</t>
  </si>
  <si>
    <t>595</t>
  </si>
  <si>
    <t>592</t>
  </si>
  <si>
    <t>591</t>
  </si>
  <si>
    <t>590</t>
  </si>
  <si>
    <t>589</t>
  </si>
  <si>
    <t>764A</t>
  </si>
  <si>
    <t>614</t>
  </si>
  <si>
    <t>605</t>
  </si>
  <si>
    <t>612</t>
  </si>
  <si>
    <t>613</t>
  </si>
  <si>
    <t>606</t>
  </si>
  <si>
    <t>615</t>
  </si>
  <si>
    <t>607</t>
  </si>
  <si>
    <t>616</t>
  </si>
  <si>
    <t>617</t>
  </si>
  <si>
    <t>608</t>
  </si>
  <si>
    <t>618</t>
  </si>
  <si>
    <t>609</t>
  </si>
  <si>
    <t>619</t>
  </si>
  <si>
    <t>620</t>
  </si>
  <si>
    <t>622</t>
  </si>
  <si>
    <t>623</t>
  </si>
  <si>
    <t>627</t>
  </si>
  <si>
    <t>621</t>
  </si>
  <si>
    <t>625</t>
  </si>
  <si>
    <t>624</t>
  </si>
  <si>
    <t>626</t>
  </si>
  <si>
    <t>629</t>
  </si>
  <si>
    <t>628</t>
  </si>
  <si>
    <t>631</t>
  </si>
  <si>
    <t>630</t>
  </si>
  <si>
    <t>633</t>
  </si>
  <si>
    <t>632</t>
  </si>
  <si>
    <t>634</t>
  </si>
  <si>
    <t>650</t>
  </si>
  <si>
    <t>649</t>
  </si>
  <si>
    <t>651</t>
  </si>
  <si>
    <t>653</t>
  </si>
  <si>
    <t>655</t>
  </si>
  <si>
    <t>654</t>
  </si>
  <si>
    <t>656</t>
  </si>
  <si>
    <t>657</t>
  </si>
  <si>
    <t>659</t>
  </si>
  <si>
    <t>658</t>
  </si>
  <si>
    <t>663</t>
  </si>
  <si>
    <t>660</t>
  </si>
  <si>
    <t>661</t>
  </si>
  <si>
    <t>662</t>
  </si>
  <si>
    <t>664</t>
  </si>
  <si>
    <t>666</t>
  </si>
  <si>
    <t>665</t>
  </si>
  <si>
    <t>667</t>
  </si>
  <si>
    <t>668</t>
  </si>
  <si>
    <t>669</t>
  </si>
  <si>
    <t>670</t>
  </si>
  <si>
    <t>686</t>
  </si>
  <si>
    <t>683</t>
  </si>
  <si>
    <t>685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</si>
  <si>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</si>
  <si>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</si>
  <si>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</si>
  <si>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</si>
  <si>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</si>
  <si>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</si>
  <si>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</si>
  <si>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</si>
  <si>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</si>
  <si>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</si>
  <si>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</si>
  <si>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699</t>
  </si>
  <si>
    <t>698</t>
  </si>
  <si>
    <t>705</t>
  </si>
  <si>
    <t>701</t>
  </si>
  <si>
    <t>702</t>
  </si>
  <si>
    <t>703</t>
  </si>
  <si>
    <t>704</t>
  </si>
  <si>
    <t>704A</t>
  </si>
  <si>
    <t>706</t>
  </si>
  <si>
    <t>707</t>
  </si>
  <si>
    <t>708</t>
  </si>
  <si>
    <t>709</t>
  </si>
  <si>
    <t>710</t>
  </si>
  <si>
    <t>714</t>
  </si>
  <si>
    <t>713</t>
  </si>
  <si>
    <t>712</t>
  </si>
  <si>
    <t>711</t>
  </si>
  <si>
    <t>716</t>
  </si>
  <si>
    <t>715</t>
  </si>
  <si>
    <t>717</t>
  </si>
  <si>
    <t>720</t>
  </si>
  <si>
    <t>718</t>
  </si>
  <si>
    <t>719</t>
  </si>
  <si>
    <t>721</t>
  </si>
  <si>
    <t>721A</t>
  </si>
  <si>
    <t>722</t>
  </si>
  <si>
    <t>723</t>
  </si>
  <si>
    <t>724</t>
  </si>
  <si>
    <t>725</t>
  </si>
  <si>
    <t>473</t>
  </si>
  <si>
    <t>473A</t>
  </si>
  <si>
    <t>463</t>
  </si>
  <si>
    <t>464</t>
  </si>
  <si>
    <t>468</t>
  </si>
  <si>
    <t>465</t>
  </si>
  <si>
    <t>466</t>
  </si>
  <si>
    <t>469</t>
  </si>
  <si>
    <t>467</t>
  </si>
  <si>
    <t>470</t>
  </si>
  <si>
    <t>472</t>
  </si>
  <si>
    <t>471</t>
  </si>
  <si>
    <t>475</t>
  </si>
  <si>
    <t>474</t>
  </si>
  <si>
    <t>476</t>
  </si>
  <si>
    <t>477</t>
  </si>
  <si>
    <t>478</t>
  </si>
  <si>
    <t>479</t>
  </si>
  <si>
    <t>102</t>
  </si>
  <si>
    <t>480</t>
  </si>
  <si>
    <t>481</t>
  </si>
  <si>
    <t>483</t>
  </si>
  <si>
    <t>482</t>
  </si>
  <si>
    <t>484</t>
  </si>
  <si>
    <t>486</t>
  </si>
  <si>
    <t>485</t>
  </si>
  <si>
    <t>487</t>
  </si>
  <si>
    <t>488</t>
  </si>
  <si>
    <t>759</t>
  </si>
  <si>
    <t>758</t>
  </si>
  <si>
    <t>758A</t>
  </si>
  <si>
    <t>741</t>
  </si>
  <si>
    <t>738</t>
  </si>
  <si>
    <t>737</t>
  </si>
  <si>
    <t>737B</t>
  </si>
  <si>
    <t>737A</t>
  </si>
  <si>
    <t>736</t>
  </si>
  <si>
    <t>736A</t>
  </si>
  <si>
    <t>735</t>
  </si>
  <si>
    <t>735A</t>
  </si>
  <si>
    <t>734</t>
  </si>
  <si>
    <t>739</t>
  </si>
  <si>
    <t>740</t>
  </si>
  <si>
    <t>752</t>
  </si>
  <si>
    <t>754</t>
  </si>
  <si>
    <t>756</t>
  </si>
  <si>
    <t>755</t>
  </si>
  <si>
    <t>753</t>
  </si>
  <si>
    <t>751</t>
  </si>
  <si>
    <t>747</t>
  </si>
  <si>
    <t>747A</t>
  </si>
  <si>
    <t>746</t>
  </si>
  <si>
    <t>744</t>
  </si>
  <si>
    <t>743</t>
  </si>
  <si>
    <t>750</t>
  </si>
  <si>
    <t>749</t>
  </si>
  <si>
    <t>748</t>
  </si>
  <si>
    <t>745</t>
  </si>
  <si>
    <t>742</t>
  </si>
  <si>
    <t>MR.KPBS.P065</t>
  </si>
  <si>
    <t>MR.KPBS.P067</t>
  </si>
  <si>
    <t>MR.KPBS.P069</t>
  </si>
  <si>
    <t>MR.KPBS.P073</t>
  </si>
  <si>
    <t>MR.KPBS.P076</t>
  </si>
  <si>
    <t>MR.KPBS.P077</t>
  </si>
  <si>
    <t>MR.KPBS.P087</t>
  </si>
  <si>
    <t>MR.KPBS.P094</t>
  </si>
  <si>
    <t>MR.KPBS.P095</t>
  </si>
  <si>
    <t>MR.KPBS.P099</t>
  </si>
  <si>
    <t>MR.KPBS.P106</t>
  </si>
  <si>
    <t>MR.KPBS.P113</t>
  </si>
  <si>
    <t>MR.KPBS.P120</t>
  </si>
  <si>
    <t>761B</t>
  </si>
  <si>
    <t>392 HP /Aerial</t>
  </si>
  <si>
    <t>EXT.MR.KTG.KPBD.P002</t>
  </si>
  <si>
    <t>EXT.MR.KTG.KPBD.P005</t>
  </si>
  <si>
    <t>EXT.MR.KTG.KPBD.P007</t>
  </si>
  <si>
    <t>EXT.MR.KTG.KPBD.P010</t>
  </si>
  <si>
    <t>EXT.MR.KTG.KPBS.P050</t>
  </si>
  <si>
    <t>EXT.MR.KTG.KPBS.P052</t>
  </si>
  <si>
    <t>EXT.MR.KTG.KPBS.P055</t>
  </si>
  <si>
    <t>EXT.MR.KTG.KPBS.P057</t>
  </si>
  <si>
    <t>EXT.MR.KTG.KPBS.P058</t>
  </si>
  <si>
    <t>404 HP /Aerial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</si>
</sst>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 mmmm\ yyyy;@"/>
    <numFmt numFmtId="165" formatCode="_(* #,##0.00_);_(* \(#,##0.00\);_(* \-??_);_(@_)"/>
    <numFmt numFmtId="166" formatCode="[$-409]dd\-mmm\-yy;@"/>
    <numFmt numFmtId="167" formatCode="0.000000"/>
  </numFmts>
  <fonts count="27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 Unicode MS"/>
      <family val="2"/>
    </font>
    <font>
      <b/>
      <sz val="10"/>
      <color indexed="9"/>
      <name val="Calibri"/>
      <family val="2"/>
    </font>
    <font>
      <sz val="10"/>
      <name val="Arial"/>
      <family val="2"/>
    </font>
    <font>
      <sz val="12"/>
      <name val="宋体"/>
      <charset val="134"/>
    </font>
    <font>
      <b/>
      <sz val="11"/>
      <color indexed="8"/>
      <name val="Calibri"/>
      <family val="2"/>
    </font>
    <font>
      <sz val="11"/>
      <color indexed="8"/>
      <name val="宋体"/>
      <charset val="134"/>
    </font>
    <font>
      <sz val="10"/>
      <name val="DejaVu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Arial Unicode MS"/>
      <family val="2"/>
    </font>
    <font>
      <sz val="11"/>
      <color theme="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Tahoma"/>
      <family val="2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60"/>
        <bgColor indexed="25"/>
      </patternFill>
    </fill>
    <fill>
      <patternFill patternType="solid">
        <fgColor indexed="17"/>
        <bgColor indexed="57"/>
      </patternFill>
    </fill>
    <fill>
      <patternFill patternType="solid">
        <fgColor indexed="55"/>
        <bgColor indexed="23"/>
      </patternFill>
    </fill>
    <fill>
      <patternFill patternType="solid">
        <fgColor rgb="FF92D050"/>
        <bgColor indexed="25"/>
      </patternFill>
    </fill>
    <fill>
      <patternFill patternType="solid">
        <fgColor rgb="FF92D050"/>
        <bgColor indexed="57"/>
      </patternFill>
    </fill>
    <fill>
      <patternFill patternType="solid">
        <fgColor theme="0"/>
        <bgColor indexed="2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25"/>
      </patternFill>
    </fill>
    <fill>
      <patternFill patternType="solid">
        <fgColor rgb="FFFFC000"/>
        <bgColor indexed="25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57"/>
      </patternFill>
    </fill>
    <fill>
      <patternFill patternType="solid">
        <fgColor rgb="FF0070C0"/>
        <bgColor indexed="57"/>
      </patternFill>
    </fill>
    <fill>
      <patternFill patternType="solid">
        <fgColor rgb="FF0070C0"/>
        <bgColor indexed="23"/>
      </patternFill>
    </fill>
    <fill>
      <patternFill patternType="solid">
        <fgColor rgb="FFFFC000"/>
        <bgColor indexed="57"/>
      </patternFill>
    </fill>
    <fill>
      <patternFill patternType="solid">
        <fgColor rgb="FFFFC000"/>
        <bgColor indexed="23"/>
      </patternFill>
    </fill>
    <fill>
      <patternFill patternType="solid">
        <fgColor theme="0"/>
        <bgColor indexed="23"/>
      </patternFill>
    </fill>
    <fill>
      <patternFill patternType="solid">
        <fgColor rgb="FF92D050"/>
        <bgColor indexed="23"/>
      </patternFill>
    </fill>
    <fill>
      <patternFill patternType="solid">
        <fgColor rgb="FF0070C0"/>
        <bgColor theme="4" tint="0.7999816888943144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indexed="25"/>
      </patternFill>
    </fill>
    <fill>
      <patternFill patternType="solid">
        <fgColor theme="7" tint="-0.499984740745262"/>
        <bgColor indexed="57"/>
      </patternFill>
    </fill>
    <fill>
      <patternFill patternType="solid">
        <fgColor theme="7" tint="-0.499984740745262"/>
        <bgColor indexed="23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0">
    <xf numFmtId="0" fontId="0" fillId="0" borderId="0"/>
    <xf numFmtId="165" fontId="14" fillId="0" borderId="0" applyFill="0" applyBorder="0" applyAlignment="0" applyProtection="0"/>
    <xf numFmtId="0" fontId="10" fillId="0" borderId="0" applyBorder="0" applyProtection="0"/>
    <xf numFmtId="164" fontId="10" fillId="0" borderId="0" applyBorder="0" applyProtection="0"/>
    <xf numFmtId="0" fontId="10" fillId="0" borderId="0" applyBorder="0" applyProtection="0"/>
    <xf numFmtId="164" fontId="10" fillId="0" borderId="0" applyBorder="0" applyProtection="0"/>
    <xf numFmtId="164" fontId="14" fillId="0" borderId="0"/>
    <xf numFmtId="164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2" fillId="0" borderId="0"/>
    <xf numFmtId="164" fontId="14" fillId="0" borderId="0"/>
    <xf numFmtId="0" fontId="16" fillId="0" borderId="0"/>
    <xf numFmtId="0" fontId="16" fillId="0" borderId="0"/>
    <xf numFmtId="0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>
      <alignment vertical="center"/>
    </xf>
    <xf numFmtId="164" fontId="14" fillId="0" borderId="0">
      <alignment vertical="center"/>
    </xf>
    <xf numFmtId="164" fontId="14" fillId="0" borderId="0"/>
    <xf numFmtId="164" fontId="14" fillId="0" borderId="0"/>
    <xf numFmtId="164" fontId="14" fillId="0" borderId="0"/>
    <xf numFmtId="0" fontId="16" fillId="0" borderId="0"/>
    <xf numFmtId="0" fontId="16" fillId="0" borderId="0"/>
    <xf numFmtId="0" fontId="14" fillId="0" borderId="0" applyNumberFormat="0" applyFill="0" applyBorder="0" applyAlignment="0" applyProtection="0"/>
    <xf numFmtId="0" fontId="8" fillId="0" borderId="0"/>
    <xf numFmtId="164" fontId="8" fillId="0" borderId="0"/>
    <xf numFmtId="164" fontId="8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0" fontId="14" fillId="0" borderId="0" applyNumberFormat="0" applyFill="0" applyBorder="0" applyAlignment="0" applyProtection="0"/>
    <xf numFmtId="164" fontId="14" fillId="0" borderId="0"/>
    <xf numFmtId="164" fontId="14" fillId="0" borderId="0"/>
    <xf numFmtId="164" fontId="14" fillId="0" borderId="0"/>
    <xf numFmtId="164" fontId="14" fillId="0" borderId="0"/>
    <xf numFmtId="0" fontId="14" fillId="0" borderId="0" applyNumberFormat="0" applyFill="0" applyBorder="0" applyAlignment="0" applyProtection="0"/>
    <xf numFmtId="164" fontId="14" fillId="0" borderId="0">
      <alignment vertical="center"/>
    </xf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0" fontId="14" fillId="0" borderId="0" applyNumberFormat="0" applyFill="0" applyBorder="0" applyAlignment="0" applyProtection="0"/>
    <xf numFmtId="164" fontId="14" fillId="0" borderId="0"/>
    <xf numFmtId="164" fontId="14" fillId="0" borderId="0"/>
    <xf numFmtId="164" fontId="14" fillId="0" borderId="0"/>
    <xf numFmtId="164" fontId="14" fillId="0" borderId="0"/>
    <xf numFmtId="0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4" fillId="0" borderId="0"/>
    <xf numFmtId="0" fontId="14" fillId="0" borderId="0">
      <alignment vertical="center"/>
    </xf>
    <xf numFmtId="164" fontId="8" fillId="0" borderId="0"/>
    <xf numFmtId="164" fontId="14" fillId="0" borderId="0">
      <alignment vertical="center"/>
    </xf>
    <xf numFmtId="164" fontId="14" fillId="0" borderId="0">
      <alignment vertical="center"/>
    </xf>
    <xf numFmtId="164" fontId="8" fillId="0" borderId="0"/>
    <xf numFmtId="164" fontId="14" fillId="0" borderId="0"/>
    <xf numFmtId="164" fontId="14" fillId="0" borderId="0">
      <alignment vertical="center"/>
    </xf>
    <xf numFmtId="164" fontId="14" fillId="0" borderId="0"/>
    <xf numFmtId="164" fontId="14" fillId="0" borderId="0"/>
    <xf numFmtId="164" fontId="14" fillId="0" borderId="0"/>
    <xf numFmtId="164" fontId="11" fillId="0" borderId="0">
      <alignment vertical="center"/>
    </xf>
    <xf numFmtId="164" fontId="14" fillId="0" borderId="0"/>
    <xf numFmtId="0" fontId="14" fillId="0" borderId="0"/>
    <xf numFmtId="164" fontId="13" fillId="0" borderId="0"/>
    <xf numFmtId="164" fontId="14" fillId="0" borderId="0"/>
    <xf numFmtId="0" fontId="16" fillId="0" borderId="0"/>
    <xf numFmtId="0" fontId="16" fillId="0" borderId="0"/>
    <xf numFmtId="164" fontId="14" fillId="0" borderId="0">
      <alignment vertical="center"/>
    </xf>
    <xf numFmtId="164" fontId="13" fillId="0" borderId="0"/>
    <xf numFmtId="0" fontId="16" fillId="0" borderId="0"/>
    <xf numFmtId="0" fontId="16" fillId="0" borderId="0"/>
    <xf numFmtId="0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>
      <alignment vertical="center"/>
    </xf>
    <xf numFmtId="164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164" fontId="14" fillId="0" borderId="0"/>
    <xf numFmtId="0" fontId="14" fillId="2" borderId="1" applyNumberFormat="0" applyAlignment="0" applyProtection="0"/>
    <xf numFmtId="9" fontId="14" fillId="0" borderId="0" applyFill="0" applyBorder="0" applyAlignment="0" applyProtection="0"/>
    <xf numFmtId="0" fontId="11" fillId="0" borderId="0">
      <alignment vertical="center"/>
    </xf>
    <xf numFmtId="164" fontId="9" fillId="0" borderId="0">
      <alignment vertical="center"/>
    </xf>
    <xf numFmtId="164" fontId="11" fillId="0" borderId="0">
      <alignment vertical="center"/>
    </xf>
    <xf numFmtId="164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50">
    <xf numFmtId="0" fontId="0" fillId="0" borderId="0" xfId="0"/>
    <xf numFmtId="166" fontId="0" fillId="0" borderId="0" xfId="0" applyNumberFormat="1"/>
    <xf numFmtId="0" fontId="18" fillId="6" borderId="2" xfId="36" applyFont="1" applyFill="1" applyBorder="1" applyAlignment="1">
      <alignment horizontal="center" vertical="center" wrapText="1"/>
    </xf>
    <xf numFmtId="0" fontId="18" fillId="7" borderId="2" xfId="36" applyFont="1" applyFill="1" applyBorder="1" applyAlignment="1">
      <alignment horizontal="center" vertical="center" wrapText="1"/>
    </xf>
    <xf numFmtId="0" fontId="7" fillId="3" borderId="2" xfId="36" applyFont="1" applyFill="1" applyBorder="1" applyAlignment="1">
      <alignment horizontal="center" vertical="center" wrapText="1"/>
    </xf>
    <xf numFmtId="0" fontId="7" fillId="4" borderId="2" xfId="36" applyFont="1" applyFill="1" applyBorder="1" applyAlignment="1">
      <alignment horizontal="center" vertical="center" wrapText="1"/>
    </xf>
    <xf numFmtId="0" fontId="18" fillId="8" borderId="2" xfId="36" applyFont="1" applyFill="1" applyBorder="1" applyAlignment="1">
      <alignment horizontal="center" vertical="center" wrapText="1"/>
    </xf>
    <xf numFmtId="0" fontId="7" fillId="5" borderId="2" xfId="36" applyFont="1" applyFill="1" applyBorder="1" applyAlignment="1">
      <alignment horizontal="center" vertical="center" wrapText="1"/>
    </xf>
    <xf numFmtId="166" fontId="7" fillId="4" borderId="2" xfId="36" applyNumberFormat="1" applyFont="1" applyFill="1" applyBorder="1" applyAlignment="1">
      <alignment horizontal="center" vertical="center" wrapText="1"/>
    </xf>
    <xf numFmtId="0" fontId="18" fillId="12" borderId="2" xfId="36" applyFont="1" applyFill="1" applyBorder="1" applyAlignment="1">
      <alignment horizontal="center" vertical="center" wrapText="1"/>
    </xf>
    <xf numFmtId="0" fontId="18" fillId="13" borderId="2" xfId="36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9" fillId="8" borderId="2" xfId="36" applyFont="1" applyFill="1" applyBorder="1" applyAlignment="1">
      <alignment horizontal="center" vertical="center" wrapText="1"/>
    </xf>
    <xf numFmtId="0" fontId="23" fillId="14" borderId="2" xfId="36" applyFont="1" applyFill="1" applyBorder="1" applyAlignment="1">
      <alignment horizontal="center" vertical="center" wrapText="1"/>
    </xf>
    <xf numFmtId="0" fontId="23" fillId="10" borderId="2" xfId="36" applyFont="1" applyFill="1" applyBorder="1" applyAlignment="1">
      <alignment horizontal="center" vertical="center" wrapText="1"/>
    </xf>
    <xf numFmtId="0" fontId="22" fillId="22" borderId="2" xfId="36" applyFont="1" applyFill="1" applyBorder="1" applyAlignment="1">
      <alignment horizontal="center" vertical="center" wrapText="1"/>
    </xf>
    <xf numFmtId="0" fontId="21" fillId="14" borderId="2" xfId="36" applyFont="1" applyFill="1" applyBorder="1" applyAlignment="1">
      <alignment horizontal="center" vertical="top" wrapText="1"/>
    </xf>
    <xf numFmtId="0" fontId="17" fillId="0" borderId="0" xfId="169" applyFont="1" applyAlignment="1">
      <alignment horizontal="left" vertical="center"/>
    </xf>
    <xf numFmtId="0" fontId="5" fillId="0" borderId="0" xfId="169" applyAlignment="1">
      <alignment horizontal="left"/>
    </xf>
    <xf numFmtId="0" fontId="5" fillId="0" borderId="0" xfId="169" applyAlignment="1">
      <alignment horizontal="right"/>
    </xf>
    <xf numFmtId="0" fontId="5" fillId="0" borderId="0" xfId="169"/>
    <xf numFmtId="0" fontId="6" fillId="15" borderId="2" xfId="169" applyFont="1" applyFill="1" applyBorder="1" applyAlignment="1" applyProtection="1">
      <alignment horizontal="center" vertical="center"/>
      <protection locked="0"/>
    </xf>
    <xf numFmtId="0" fontId="6" fillId="0" borderId="2" xfId="169" applyFont="1" applyBorder="1" applyAlignment="1" applyProtection="1">
      <alignment horizontal="center"/>
      <protection locked="0"/>
    </xf>
    <xf numFmtId="0" fontId="19" fillId="0" borderId="2" xfId="36" applyFont="1" applyBorder="1" applyAlignment="1">
      <alignment horizontal="center" vertical="center" wrapText="1"/>
    </xf>
    <xf numFmtId="0" fontId="6" fillId="15" borderId="3" xfId="169" applyFont="1" applyFill="1" applyBorder="1" applyAlignment="1" applyProtection="1">
      <alignment horizontal="center" vertical="center"/>
      <protection locked="0"/>
    </xf>
    <xf numFmtId="0" fontId="18" fillId="8" borderId="3" xfId="36" applyFont="1" applyFill="1" applyBorder="1" applyAlignment="1">
      <alignment horizontal="center" vertical="center" wrapText="1"/>
    </xf>
    <xf numFmtId="0" fontId="5" fillId="0" borderId="0" xfId="169" applyAlignment="1">
      <alignment horizontal="left" vertical="center"/>
    </xf>
    <xf numFmtId="0" fontId="5" fillId="0" borderId="0" xfId="169" applyAlignment="1">
      <alignment horizontal="center" vertical="center"/>
    </xf>
    <xf numFmtId="0" fontId="5" fillId="0" borderId="0" xfId="169" applyAlignment="1">
      <alignment horizontal="center"/>
    </xf>
    <xf numFmtId="0" fontId="20" fillId="0" borderId="0" xfId="169" applyFont="1"/>
    <xf numFmtId="0" fontId="7" fillId="4" borderId="3" xfId="36" applyFont="1" applyFill="1" applyBorder="1" applyAlignment="1">
      <alignment horizontal="center" vertical="center" wrapText="1"/>
    </xf>
    <xf numFmtId="0" fontId="7" fillId="5" borderId="3" xfId="36" applyFont="1" applyFill="1" applyBorder="1" applyAlignment="1">
      <alignment horizontal="center" vertical="center" wrapText="1"/>
    </xf>
    <xf numFmtId="0" fontId="6" fillId="10" borderId="2" xfId="169" applyFont="1" applyFill="1" applyBorder="1" applyAlignment="1" applyProtection="1">
      <alignment horizontal="center"/>
      <protection locked="0"/>
    </xf>
    <xf numFmtId="0" fontId="6" fillId="11" borderId="2" xfId="169" applyFont="1" applyFill="1" applyBorder="1" applyAlignment="1" applyProtection="1">
      <alignment horizontal="center"/>
      <protection locked="0"/>
    </xf>
    <xf numFmtId="0" fontId="6" fillId="11" borderId="2" xfId="169" applyFont="1" applyFill="1" applyBorder="1" applyAlignment="1" applyProtection="1">
      <alignment horizontal="center" vertical="center"/>
      <protection locked="0"/>
    </xf>
    <xf numFmtId="0" fontId="19" fillId="12" borderId="2" xfId="36" applyFont="1" applyFill="1" applyBorder="1" applyAlignment="1">
      <alignment horizontal="center" vertical="center" wrapText="1"/>
    </xf>
    <xf numFmtId="0" fontId="6" fillId="11" borderId="12" xfId="169" applyFont="1" applyFill="1" applyBorder="1" applyAlignment="1" applyProtection="1">
      <alignment horizontal="center" vertical="center"/>
      <protection locked="0"/>
    </xf>
    <xf numFmtId="0" fontId="6" fillId="11" borderId="12" xfId="169" applyFont="1" applyFill="1" applyBorder="1" applyAlignment="1" applyProtection="1">
      <alignment horizontal="center"/>
      <protection locked="0"/>
    </xf>
    <xf numFmtId="0" fontId="6" fillId="11" borderId="9" xfId="169" applyFont="1" applyFill="1" applyBorder="1" applyAlignment="1" applyProtection="1">
      <alignment horizontal="center"/>
      <protection locked="0"/>
    </xf>
    <xf numFmtId="0" fontId="18" fillId="12" borderId="12" xfId="36" applyFont="1" applyFill="1" applyBorder="1" applyAlignment="1">
      <alignment horizontal="center" vertical="center" wrapText="1"/>
    </xf>
    <xf numFmtId="0" fontId="6" fillId="10" borderId="12" xfId="169" applyFont="1" applyFill="1" applyBorder="1" applyAlignment="1" applyProtection="1">
      <alignment horizontal="center" vertical="center"/>
      <protection locked="0"/>
    </xf>
    <xf numFmtId="0" fontId="6" fillId="10" borderId="2" xfId="169" applyFont="1" applyFill="1" applyBorder="1" applyAlignment="1" applyProtection="1">
      <alignment horizontal="center" vertical="center"/>
      <protection locked="0"/>
    </xf>
    <xf numFmtId="0" fontId="19" fillId="13" borderId="2" xfId="36" applyFont="1" applyFill="1" applyBorder="1" applyAlignment="1">
      <alignment horizontal="center" vertical="center" wrapText="1"/>
    </xf>
    <xf numFmtId="0" fontId="18" fillId="13" borderId="12" xfId="36" applyFont="1" applyFill="1" applyBorder="1" applyAlignment="1">
      <alignment horizontal="center" vertical="center" wrapText="1"/>
    </xf>
    <xf numFmtId="0" fontId="19" fillId="11" borderId="2" xfId="36" applyFont="1" applyFill="1" applyBorder="1" applyAlignment="1">
      <alignment horizontal="center" vertical="center" wrapText="1"/>
    </xf>
    <xf numFmtId="0" fontId="6" fillId="0" borderId="2" xfId="169" applyFont="1" applyBorder="1" applyAlignment="1" applyProtection="1">
      <alignment horizontal="center" vertical="center"/>
      <protection locked="0"/>
    </xf>
    <xf numFmtId="0" fontId="6" fillId="0" borderId="3" xfId="169" applyFont="1" applyBorder="1" applyAlignment="1" applyProtection="1">
      <alignment horizontal="center" vertical="center"/>
      <protection locked="0"/>
    </xf>
    <xf numFmtId="0" fontId="18" fillId="0" borderId="3" xfId="36" applyFont="1" applyBorder="1" applyAlignment="1">
      <alignment horizontal="center" vertical="center" wrapText="1"/>
    </xf>
    <xf numFmtId="0" fontId="21" fillId="17" borderId="2" xfId="36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/>
    </xf>
    <xf numFmtId="0" fontId="23" fillId="12" borderId="2" xfId="36" applyFont="1" applyFill="1" applyBorder="1" applyAlignment="1">
      <alignment horizontal="center" vertical="center" wrapText="1"/>
    </xf>
    <xf numFmtId="0" fontId="22" fillId="12" borderId="2" xfId="36" applyFont="1" applyFill="1" applyBorder="1" applyAlignment="1">
      <alignment horizontal="center" vertical="center" wrapText="1"/>
    </xf>
    <xf numFmtId="0" fontId="25" fillId="17" borderId="2" xfId="36" applyFont="1" applyFill="1" applyBorder="1" applyAlignment="1">
      <alignment horizontal="center" vertical="center" wrapText="1"/>
    </xf>
    <xf numFmtId="0" fontId="25" fillId="12" borderId="2" xfId="36" applyFont="1" applyFill="1" applyBorder="1" applyAlignment="1">
      <alignment horizontal="center" vertical="center" wrapText="1"/>
    </xf>
    <xf numFmtId="0" fontId="21" fillId="12" borderId="2" xfId="36" applyFont="1" applyFill="1" applyBorder="1" applyAlignment="1">
      <alignment horizontal="center" vertical="center" wrapText="1"/>
    </xf>
    <xf numFmtId="0" fontId="23" fillId="17" borderId="2" xfId="36" applyFont="1" applyFill="1" applyBorder="1" applyAlignment="1">
      <alignment horizontal="center" vertical="center" wrapText="1"/>
    </xf>
    <xf numFmtId="0" fontId="21" fillId="11" borderId="2" xfId="36" applyFont="1" applyFill="1" applyBorder="1" applyAlignment="1">
      <alignment horizontal="center" vertical="center" wrapText="1"/>
    </xf>
    <xf numFmtId="0" fontId="22" fillId="18" borderId="2" xfId="36" applyFont="1" applyFill="1" applyBorder="1" applyAlignment="1">
      <alignment horizontal="center" vertical="center" wrapText="1"/>
    </xf>
    <xf numFmtId="0" fontId="24" fillId="17" borderId="2" xfId="36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 readingOrder="1"/>
    </xf>
    <xf numFmtId="0" fontId="25" fillId="12" borderId="13" xfId="36" applyFont="1" applyFill="1" applyBorder="1" applyAlignment="1">
      <alignment horizontal="center" vertical="center" wrapText="1"/>
    </xf>
    <xf numFmtId="166" fontId="23" fillId="17" borderId="2" xfId="36" applyNumberFormat="1" applyFont="1" applyFill="1" applyBorder="1" applyAlignment="1">
      <alignment horizontal="center" vertical="center" wrapText="1"/>
    </xf>
    <xf numFmtId="0" fontId="23" fillId="18" borderId="2" xfId="36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/>
    </xf>
    <xf numFmtId="0" fontId="21" fillId="0" borderId="2" xfId="36" applyFont="1" applyBorder="1" applyAlignment="1">
      <alignment horizontal="center" vertical="center" wrapText="1"/>
    </xf>
    <xf numFmtId="0" fontId="23" fillId="0" borderId="2" xfId="36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22" fillId="0" borderId="2" xfId="36" applyFont="1" applyBorder="1" applyAlignment="1">
      <alignment horizontal="center" vertical="center" wrapText="1"/>
    </xf>
    <xf numFmtId="0" fontId="25" fillId="0" borderId="2" xfId="36" applyFont="1" applyBorder="1" applyAlignment="1">
      <alignment horizontal="center" vertical="center" wrapText="1"/>
    </xf>
    <xf numFmtId="0" fontId="24" fillId="0" borderId="2" xfId="36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 readingOrder="1"/>
    </xf>
    <xf numFmtId="0" fontId="25" fillId="0" borderId="13" xfId="36" applyFont="1" applyBorder="1" applyAlignment="1">
      <alignment horizontal="center" vertical="center" wrapText="1"/>
    </xf>
    <xf numFmtId="166" fontId="23" fillId="0" borderId="2" xfId="36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5" fillId="0" borderId="3" xfId="36" applyFont="1" applyBorder="1" applyAlignment="1">
      <alignment horizontal="center" vertical="center" wrapText="1"/>
    </xf>
    <xf numFmtId="0" fontId="22" fillId="0" borderId="3" xfId="36" applyFont="1" applyBorder="1" applyAlignment="1">
      <alignment horizontal="center" vertical="center" wrapText="1"/>
    </xf>
    <xf numFmtId="0" fontId="23" fillId="11" borderId="2" xfId="36" applyFont="1" applyFill="1" applyBorder="1" applyAlignment="1">
      <alignment horizontal="center" vertical="center" wrapText="1"/>
    </xf>
    <xf numFmtId="0" fontId="22" fillId="11" borderId="2" xfId="36" applyFont="1" applyFill="1" applyBorder="1" applyAlignment="1">
      <alignment horizontal="center" vertical="center" wrapText="1"/>
    </xf>
    <xf numFmtId="0" fontId="25" fillId="11" borderId="2" xfId="36" applyFont="1" applyFill="1" applyBorder="1" applyAlignment="1">
      <alignment horizontal="center" vertical="center" wrapText="1"/>
    </xf>
    <xf numFmtId="0" fontId="24" fillId="11" borderId="2" xfId="36" applyFont="1" applyFill="1" applyBorder="1" applyAlignment="1">
      <alignment horizontal="center" vertical="center" wrapText="1"/>
    </xf>
    <xf numFmtId="0" fontId="25" fillId="11" borderId="13" xfId="36" applyFont="1" applyFill="1" applyBorder="1" applyAlignment="1">
      <alignment horizontal="center" vertical="center" wrapText="1"/>
    </xf>
    <xf numFmtId="166" fontId="23" fillId="11" borderId="2" xfId="36" applyNumberFormat="1" applyFont="1" applyFill="1" applyBorder="1" applyAlignment="1">
      <alignment horizontal="center" vertical="center" wrapText="1"/>
    </xf>
    <xf numFmtId="0" fontId="21" fillId="19" borderId="2" xfId="36" applyFont="1" applyFill="1" applyBorder="1" applyAlignment="1">
      <alignment horizontal="center" vertical="center" wrapText="1"/>
    </xf>
    <xf numFmtId="0" fontId="21" fillId="13" borderId="2" xfId="36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/>
    </xf>
    <xf numFmtId="0" fontId="23" fillId="13" borderId="2" xfId="36" applyFont="1" applyFill="1" applyBorder="1" applyAlignment="1">
      <alignment horizontal="center" vertical="center" wrapText="1"/>
    </xf>
    <xf numFmtId="0" fontId="22" fillId="13" borderId="2" xfId="36" applyFont="1" applyFill="1" applyBorder="1" applyAlignment="1">
      <alignment horizontal="center" vertical="center" wrapText="1"/>
    </xf>
    <xf numFmtId="0" fontId="25" fillId="19" borderId="2" xfId="36" applyFont="1" applyFill="1" applyBorder="1" applyAlignment="1">
      <alignment horizontal="center" vertical="center" wrapText="1"/>
    </xf>
    <xf numFmtId="0" fontId="25" fillId="13" borderId="2" xfId="36" applyFont="1" applyFill="1" applyBorder="1" applyAlignment="1">
      <alignment horizontal="center" vertical="center" wrapText="1"/>
    </xf>
    <xf numFmtId="0" fontId="23" fillId="19" borderId="2" xfId="36" applyFont="1" applyFill="1" applyBorder="1" applyAlignment="1">
      <alignment horizontal="center" vertical="center" wrapText="1"/>
    </xf>
    <xf numFmtId="0" fontId="22" fillId="20" borderId="2" xfId="36" applyFont="1" applyFill="1" applyBorder="1" applyAlignment="1">
      <alignment horizontal="center" vertical="center" wrapText="1"/>
    </xf>
    <xf numFmtId="0" fontId="24" fillId="19" borderId="2" xfId="36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 readingOrder="1"/>
    </xf>
    <xf numFmtId="0" fontId="25" fillId="13" borderId="13" xfId="36" applyFont="1" applyFill="1" applyBorder="1" applyAlignment="1">
      <alignment horizontal="center" vertical="center" wrapText="1"/>
    </xf>
    <xf numFmtId="166" fontId="23" fillId="19" borderId="2" xfId="36" applyNumberFormat="1" applyFont="1" applyFill="1" applyBorder="1" applyAlignment="1">
      <alignment horizontal="center" vertical="center" wrapText="1"/>
    </xf>
    <xf numFmtId="0" fontId="23" fillId="20" borderId="2" xfId="36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23" fillId="8" borderId="2" xfId="36" applyFont="1" applyFill="1" applyBorder="1" applyAlignment="1">
      <alignment horizontal="center" vertical="center" wrapText="1"/>
    </xf>
    <xf numFmtId="0" fontId="22" fillId="8" borderId="2" xfId="36" applyFont="1" applyFill="1" applyBorder="1" applyAlignment="1">
      <alignment horizontal="center" vertical="center" wrapText="1"/>
    </xf>
    <xf numFmtId="0" fontId="25" fillId="16" borderId="2" xfId="36" applyFont="1" applyFill="1" applyBorder="1" applyAlignment="1">
      <alignment horizontal="center" vertical="center" wrapText="1"/>
    </xf>
    <xf numFmtId="0" fontId="25" fillId="8" borderId="2" xfId="36" applyFont="1" applyFill="1" applyBorder="1" applyAlignment="1">
      <alignment horizontal="center" vertical="center" wrapText="1"/>
    </xf>
    <xf numFmtId="0" fontId="21" fillId="8" borderId="2" xfId="36" applyFont="1" applyFill="1" applyBorder="1" applyAlignment="1">
      <alignment horizontal="center" vertical="center" wrapText="1"/>
    </xf>
    <xf numFmtId="0" fontId="23" fillId="16" borderId="2" xfId="36" applyFont="1" applyFill="1" applyBorder="1" applyAlignment="1">
      <alignment horizontal="center" vertical="center" wrapText="1"/>
    </xf>
    <xf numFmtId="0" fontId="22" fillId="21" borderId="2" xfId="36" applyFont="1" applyFill="1" applyBorder="1" applyAlignment="1">
      <alignment horizontal="center" vertical="center" wrapText="1"/>
    </xf>
    <xf numFmtId="0" fontId="24" fillId="16" borderId="2" xfId="36" applyFont="1" applyFill="1" applyBorder="1" applyAlignment="1">
      <alignment horizontal="center" vertical="center" wrapText="1"/>
    </xf>
    <xf numFmtId="166" fontId="23" fillId="16" borderId="2" xfId="36" applyNumberFormat="1" applyFont="1" applyFill="1" applyBorder="1" applyAlignment="1">
      <alignment horizontal="center" vertical="center" wrapText="1"/>
    </xf>
    <xf numFmtId="0" fontId="23" fillId="21" borderId="2" xfId="36" applyFont="1" applyFill="1" applyBorder="1" applyAlignment="1">
      <alignment horizontal="center" vertical="center" wrapText="1"/>
    </xf>
    <xf numFmtId="0" fontId="24" fillId="21" borderId="2" xfId="36" applyFont="1" applyFill="1" applyBorder="1" applyAlignment="1">
      <alignment horizontal="center" vertical="center" wrapText="1"/>
    </xf>
    <xf numFmtId="0" fontId="25" fillId="8" borderId="3" xfId="36" applyFont="1" applyFill="1" applyBorder="1" applyAlignment="1">
      <alignment horizontal="center" vertical="center" wrapText="1"/>
    </xf>
    <xf numFmtId="0" fontId="25" fillId="16" borderId="3" xfId="36" applyFont="1" applyFill="1" applyBorder="1" applyAlignment="1">
      <alignment horizontal="center" vertical="center" wrapText="1"/>
    </xf>
    <xf numFmtId="0" fontId="22" fillId="21" borderId="3" xfId="36" applyFont="1" applyFill="1" applyBorder="1" applyAlignment="1">
      <alignment horizontal="center" vertical="center" wrapText="1"/>
    </xf>
    <xf numFmtId="0" fontId="6" fillId="10" borderId="12" xfId="169" applyFont="1" applyFill="1" applyBorder="1" applyAlignment="1" applyProtection="1">
      <alignment horizontal="center"/>
      <protection locked="0"/>
    </xf>
    <xf numFmtId="0" fontId="21" fillId="11" borderId="2" xfId="36" applyFont="1" applyFill="1" applyBorder="1" applyAlignment="1">
      <alignment horizontal="center" vertical="top" wrapText="1"/>
    </xf>
    <xf numFmtId="0" fontId="21" fillId="10" borderId="2" xfId="36" applyFont="1" applyFill="1" applyBorder="1" applyAlignment="1">
      <alignment horizontal="center" vertical="top" wrapText="1"/>
    </xf>
    <xf numFmtId="0" fontId="0" fillId="11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14" fillId="11" borderId="2" xfId="0" applyFont="1" applyFill="1" applyBorder="1" applyAlignment="1">
      <alignment horizontal="center" vertical="top" wrapText="1"/>
    </xf>
    <xf numFmtId="0" fontId="14" fillId="10" borderId="2" xfId="0" applyFont="1" applyFill="1" applyBorder="1" applyAlignment="1">
      <alignment horizontal="center" vertical="top" wrapText="1"/>
    </xf>
    <xf numFmtId="0" fontId="18" fillId="0" borderId="2" xfId="36" applyFont="1" applyBorder="1" applyAlignment="1">
      <alignment horizontal="center" vertical="center" wrapText="1"/>
    </xf>
    <xf numFmtId="0" fontId="21" fillId="10" borderId="2" xfId="36" applyFont="1" applyFill="1" applyBorder="1" applyAlignment="1">
      <alignment horizontal="center" vertical="center" wrapText="1"/>
    </xf>
    <xf numFmtId="0" fontId="6" fillId="10" borderId="9" xfId="169" applyFont="1" applyFill="1" applyBorder="1" applyAlignment="1" applyProtection="1">
      <alignment horizontal="center"/>
      <protection locked="0"/>
    </xf>
    <xf numFmtId="0" fontId="6" fillId="14" borderId="2" xfId="169" applyFont="1" applyFill="1" applyBorder="1" applyAlignment="1" applyProtection="1">
      <alignment horizontal="center" vertical="center"/>
      <protection locked="0"/>
    </xf>
    <xf numFmtId="0" fontId="6" fillId="14" borderId="2" xfId="169" applyFont="1" applyFill="1" applyBorder="1" applyAlignment="1" applyProtection="1">
      <alignment horizontal="center"/>
      <protection locked="0"/>
    </xf>
    <xf numFmtId="0" fontId="19" fillId="6" borderId="2" xfId="36" applyFont="1" applyFill="1" applyBorder="1" applyAlignment="1">
      <alignment horizontal="center" vertical="center" wrapText="1"/>
    </xf>
    <xf numFmtId="0" fontId="21" fillId="7" borderId="2" xfId="36" applyFont="1" applyFill="1" applyBorder="1" applyAlignment="1">
      <alignment horizontal="center" vertical="center" wrapText="1"/>
    </xf>
    <xf numFmtId="0" fontId="21" fillId="6" borderId="2" xfId="36" applyFont="1" applyFill="1" applyBorder="1" applyAlignment="1">
      <alignment horizontal="center" vertical="center" wrapText="1"/>
    </xf>
    <xf numFmtId="0" fontId="23" fillId="6" borderId="2" xfId="36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/>
    </xf>
    <xf numFmtId="0" fontId="22" fillId="6" borderId="2" xfId="36" applyFont="1" applyFill="1" applyBorder="1" applyAlignment="1">
      <alignment horizontal="center" vertical="center" wrapText="1"/>
    </xf>
    <xf numFmtId="0" fontId="25" fillId="7" borderId="2" xfId="36" applyFont="1" applyFill="1" applyBorder="1" applyAlignment="1">
      <alignment horizontal="center" vertical="center" wrapText="1"/>
    </xf>
    <xf numFmtId="0" fontId="25" fillId="6" borderId="2" xfId="36" applyFont="1" applyFill="1" applyBorder="1" applyAlignment="1">
      <alignment horizontal="center" vertical="center" wrapText="1"/>
    </xf>
    <xf numFmtId="0" fontId="23" fillId="7" borderId="2" xfId="36" applyFont="1" applyFill="1" applyBorder="1" applyAlignment="1">
      <alignment horizontal="center" vertical="center" wrapText="1"/>
    </xf>
    <xf numFmtId="0" fontId="24" fillId="7" borderId="2" xfId="36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/>
    </xf>
    <xf numFmtId="0" fontId="26" fillId="14" borderId="2" xfId="0" applyFont="1" applyFill="1" applyBorder="1" applyAlignment="1">
      <alignment horizontal="center" vertical="center" wrapText="1" readingOrder="1"/>
    </xf>
    <xf numFmtId="0" fontId="25" fillId="6" borderId="13" xfId="36" applyFont="1" applyFill="1" applyBorder="1" applyAlignment="1">
      <alignment horizontal="center" vertical="center" wrapText="1"/>
    </xf>
    <xf numFmtId="166" fontId="23" fillId="7" borderId="2" xfId="36" applyNumberFormat="1" applyFont="1" applyFill="1" applyBorder="1" applyAlignment="1">
      <alignment horizontal="center" vertical="center" wrapText="1"/>
    </xf>
    <xf numFmtId="0" fontId="23" fillId="22" borderId="2" xfId="36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21" fillId="14" borderId="2" xfId="36" applyFont="1" applyFill="1" applyBorder="1" applyAlignment="1">
      <alignment horizontal="center" vertical="center" wrapText="1"/>
    </xf>
    <xf numFmtId="0" fontId="6" fillId="14" borderId="12" xfId="169" applyFont="1" applyFill="1" applyBorder="1" applyAlignment="1" applyProtection="1">
      <alignment horizontal="center" vertical="center"/>
      <protection locked="0"/>
    </xf>
    <xf numFmtId="0" fontId="6" fillId="14" borderId="12" xfId="169" applyFont="1" applyFill="1" applyBorder="1" applyAlignment="1" applyProtection="1">
      <alignment horizontal="center"/>
      <protection locked="0"/>
    </xf>
    <xf numFmtId="0" fontId="18" fillId="6" borderId="12" xfId="36" applyFont="1" applyFill="1" applyBorder="1" applyAlignment="1">
      <alignment horizontal="center" vertical="center" wrapText="1"/>
    </xf>
    <xf numFmtId="0" fontId="4" fillId="0" borderId="0" xfId="169" applyFont="1"/>
    <xf numFmtId="49" fontId="4" fillId="0" borderId="0" xfId="169" applyNumberFormat="1" applyFont="1" applyAlignment="1">
      <alignment horizontal="left" vertical="center"/>
    </xf>
    <xf numFmtId="0" fontId="19" fillId="10" borderId="2" xfId="36" applyFont="1" applyFill="1" applyBorder="1" applyAlignment="1">
      <alignment horizontal="center" vertical="center" wrapText="1"/>
    </xf>
    <xf numFmtId="0" fontId="22" fillId="10" borderId="2" xfId="36" applyFont="1" applyFill="1" applyBorder="1" applyAlignment="1">
      <alignment horizontal="center" vertical="center" wrapText="1"/>
    </xf>
    <xf numFmtId="0" fontId="25" fillId="10" borderId="2" xfId="36" applyFont="1" applyFill="1" applyBorder="1" applyAlignment="1">
      <alignment horizontal="center" vertical="center" wrapText="1"/>
    </xf>
    <xf numFmtId="0" fontId="24" fillId="10" borderId="2" xfId="36" applyFont="1" applyFill="1" applyBorder="1" applyAlignment="1">
      <alignment horizontal="center" vertical="center" wrapText="1"/>
    </xf>
    <xf numFmtId="0" fontId="25" fillId="10" borderId="13" xfId="36" applyFont="1" applyFill="1" applyBorder="1" applyAlignment="1">
      <alignment horizontal="center" vertical="center" wrapText="1"/>
    </xf>
    <xf numFmtId="166" fontId="23" fillId="10" borderId="2" xfId="36" applyNumberFormat="1" applyFont="1" applyFill="1" applyBorder="1" applyAlignment="1">
      <alignment horizontal="center" vertical="center" wrapText="1"/>
    </xf>
    <xf numFmtId="0" fontId="6" fillId="24" borderId="2" xfId="169" applyFont="1" applyFill="1" applyBorder="1" applyAlignment="1" applyProtection="1">
      <alignment horizontal="center" vertical="center"/>
      <protection locked="0"/>
    </xf>
    <xf numFmtId="0" fontId="6" fillId="24" borderId="2" xfId="169" applyFont="1" applyFill="1" applyBorder="1" applyAlignment="1" applyProtection="1">
      <alignment horizontal="center"/>
      <protection locked="0"/>
    </xf>
    <xf numFmtId="0" fontId="18" fillId="25" borderId="2" xfId="36" applyFont="1" applyFill="1" applyBorder="1" applyAlignment="1">
      <alignment horizontal="center" vertical="center" wrapText="1"/>
    </xf>
    <xf numFmtId="0" fontId="19" fillId="25" borderId="2" xfId="36" applyFont="1" applyFill="1" applyBorder="1" applyAlignment="1">
      <alignment horizontal="center" vertical="center" wrapText="1"/>
    </xf>
    <xf numFmtId="0" fontId="21" fillId="26" borderId="2" xfId="36" applyFont="1" applyFill="1" applyBorder="1" applyAlignment="1">
      <alignment horizontal="center" vertical="center" wrapText="1"/>
    </xf>
    <xf numFmtId="0" fontId="21" fillId="25" borderId="2" xfId="36" applyFont="1" applyFill="1" applyBorder="1" applyAlignment="1">
      <alignment horizontal="center" vertical="center" wrapText="1"/>
    </xf>
    <xf numFmtId="0" fontId="21" fillId="24" borderId="2" xfId="36" applyFont="1" applyFill="1" applyBorder="1" applyAlignment="1">
      <alignment horizontal="center" vertical="top" wrapText="1"/>
    </xf>
    <xf numFmtId="0" fontId="21" fillId="24" borderId="2" xfId="36" applyFont="1" applyFill="1" applyBorder="1" applyAlignment="1">
      <alignment horizontal="center" vertical="center" wrapText="1"/>
    </xf>
    <xf numFmtId="0" fontId="23" fillId="24" borderId="2" xfId="36" applyFont="1" applyFill="1" applyBorder="1" applyAlignment="1">
      <alignment horizontal="center" vertical="center" wrapText="1"/>
    </xf>
    <xf numFmtId="0" fontId="14" fillId="24" borderId="2" xfId="0" applyFont="1" applyFill="1" applyBorder="1" applyAlignment="1">
      <alignment horizontal="center"/>
    </xf>
    <xf numFmtId="0" fontId="22" fillId="25" borderId="2" xfId="36" applyFont="1" applyFill="1" applyBorder="1" applyAlignment="1">
      <alignment horizontal="center" vertical="center" wrapText="1"/>
    </xf>
    <xf numFmtId="0" fontId="25" fillId="26" borderId="2" xfId="36" applyFont="1" applyFill="1" applyBorder="1" applyAlignment="1">
      <alignment horizontal="center" vertical="center" wrapText="1"/>
    </xf>
    <xf numFmtId="0" fontId="25" fillId="25" borderId="2" xfId="36" applyFont="1" applyFill="1" applyBorder="1" applyAlignment="1">
      <alignment horizontal="center" vertical="center" wrapText="1"/>
    </xf>
    <xf numFmtId="0" fontId="23" fillId="25" borderId="2" xfId="36" applyFont="1" applyFill="1" applyBorder="1" applyAlignment="1">
      <alignment horizontal="center" vertical="center" wrapText="1"/>
    </xf>
    <xf numFmtId="0" fontId="23" fillId="26" borderId="2" xfId="36" applyFont="1" applyFill="1" applyBorder="1" applyAlignment="1">
      <alignment horizontal="center" vertical="center" wrapText="1"/>
    </xf>
    <xf numFmtId="0" fontId="22" fillId="27" borderId="2" xfId="36" applyFont="1" applyFill="1" applyBorder="1" applyAlignment="1">
      <alignment horizontal="center" vertical="center" wrapText="1"/>
    </xf>
    <xf numFmtId="0" fontId="24" fillId="26" borderId="2" xfId="36" applyFont="1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/>
    </xf>
    <xf numFmtId="0" fontId="26" fillId="24" borderId="2" xfId="0" applyFont="1" applyFill="1" applyBorder="1" applyAlignment="1">
      <alignment horizontal="center" vertical="center" wrapText="1" readingOrder="1"/>
    </xf>
    <xf numFmtId="0" fontId="25" fillId="25" borderId="13" xfId="36" applyFont="1" applyFill="1" applyBorder="1" applyAlignment="1">
      <alignment horizontal="center" vertical="center" wrapText="1"/>
    </xf>
    <xf numFmtId="166" fontId="23" fillId="26" borderId="2" xfId="36" applyNumberFormat="1" applyFont="1" applyFill="1" applyBorder="1" applyAlignment="1">
      <alignment horizontal="center" vertical="center" wrapText="1"/>
    </xf>
    <xf numFmtId="0" fontId="23" fillId="27" borderId="2" xfId="36" applyFont="1" applyFill="1" applyBorder="1" applyAlignment="1">
      <alignment horizontal="center" vertical="center" wrapText="1"/>
    </xf>
    <xf numFmtId="0" fontId="14" fillId="24" borderId="2" xfId="0" applyFont="1" applyFill="1" applyBorder="1" applyAlignment="1">
      <alignment horizontal="center" vertical="center"/>
    </xf>
    <xf numFmtId="49" fontId="3" fillId="0" borderId="0" xfId="169" applyNumberFormat="1" applyFont="1" applyAlignment="1">
      <alignment horizontal="left" vertical="center"/>
    </xf>
    <xf numFmtId="0" fontId="23" fillId="0" borderId="0" xfId="36" applyFont="1" applyAlignment="1">
      <alignment horizontal="center" vertical="center" wrapText="1"/>
    </xf>
    <xf numFmtId="0" fontId="23" fillId="0" borderId="14" xfId="36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16" borderId="14" xfId="36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/>
    </xf>
    <xf numFmtId="0" fontId="23" fillId="9" borderId="14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18" borderId="0" xfId="36" applyFont="1" applyFill="1" applyAlignment="1">
      <alignment horizontal="center" vertical="center" wrapText="1"/>
    </xf>
    <xf numFmtId="0" fontId="23" fillId="17" borderId="14" xfId="36" applyFont="1" applyFill="1" applyBorder="1" applyAlignment="1">
      <alignment horizontal="center" vertical="center" wrapText="1"/>
    </xf>
    <xf numFmtId="0" fontId="23" fillId="0" borderId="4" xfId="36" applyFont="1" applyBorder="1" applyAlignment="1">
      <alignment horizontal="center" vertical="center" wrapText="1"/>
    </xf>
    <xf numFmtId="0" fontId="23" fillId="20" borderId="0" xfId="36" applyFont="1" applyFill="1" applyAlignment="1">
      <alignment horizontal="center" vertical="center" wrapText="1"/>
    </xf>
    <xf numFmtId="0" fontId="23" fillId="19" borderId="14" xfId="36" applyFont="1" applyFill="1" applyBorder="1" applyAlignment="1">
      <alignment horizontal="center" vertical="center" wrapText="1"/>
    </xf>
    <xf numFmtId="0" fontId="23" fillId="11" borderId="0" xfId="36" applyFont="1" applyFill="1" applyAlignment="1">
      <alignment horizontal="center" vertical="center" wrapText="1"/>
    </xf>
    <xf numFmtId="0" fontId="23" fillId="11" borderId="14" xfId="36" applyFont="1" applyFill="1" applyBorder="1" applyAlignment="1">
      <alignment horizontal="center" vertical="center" wrapText="1"/>
    </xf>
    <xf numFmtId="0" fontId="23" fillId="0" borderId="12" xfId="36" applyFont="1" applyBorder="1" applyAlignment="1">
      <alignment horizontal="center" vertical="center" wrapText="1"/>
    </xf>
    <xf numFmtId="0" fontId="23" fillId="21" borderId="0" xfId="36" applyFont="1" applyFill="1" applyAlignment="1">
      <alignment horizontal="center" vertical="center" wrapText="1"/>
    </xf>
    <xf numFmtId="0" fontId="23" fillId="16" borderId="4" xfId="36" applyFont="1" applyFill="1" applyBorder="1" applyAlignment="1">
      <alignment horizontal="center" vertical="center" wrapText="1"/>
    </xf>
    <xf numFmtId="0" fontId="23" fillId="22" borderId="0" xfId="36" applyFont="1" applyFill="1" applyAlignment="1">
      <alignment horizontal="center" vertical="center" wrapText="1"/>
    </xf>
    <xf numFmtId="0" fontId="23" fillId="7" borderId="14" xfId="36" applyFont="1" applyFill="1" applyBorder="1" applyAlignment="1">
      <alignment horizontal="center" vertical="center" wrapText="1"/>
    </xf>
    <xf numFmtId="0" fontId="23" fillId="18" borderId="12" xfId="36" applyFont="1" applyFill="1" applyBorder="1" applyAlignment="1">
      <alignment horizontal="center" vertical="center" wrapText="1"/>
    </xf>
    <xf numFmtId="0" fontId="23" fillId="10" borderId="0" xfId="36" applyFont="1" applyFill="1" applyAlignment="1">
      <alignment horizontal="center" vertical="center" wrapText="1"/>
    </xf>
    <xf numFmtId="0" fontId="23" fillId="10" borderId="14" xfId="36" applyFont="1" applyFill="1" applyBorder="1" applyAlignment="1">
      <alignment horizontal="center" vertical="center" wrapText="1"/>
    </xf>
    <xf numFmtId="0" fontId="23" fillId="27" borderId="0" xfId="36" applyFont="1" applyFill="1" applyAlignment="1">
      <alignment horizontal="center" vertical="center" wrapText="1"/>
    </xf>
    <xf numFmtId="0" fontId="23" fillId="26" borderId="14" xfId="36" applyFont="1" applyFill="1" applyBorder="1" applyAlignment="1">
      <alignment horizontal="center" vertical="center" wrapText="1"/>
    </xf>
    <xf numFmtId="167" fontId="14" fillId="11" borderId="2" xfId="0" applyNumberFormat="1" applyFont="1" applyFill="1" applyBorder="1" applyAlignment="1">
      <alignment horizontal="center"/>
    </xf>
    <xf numFmtId="167" fontId="14" fillId="0" borderId="2" xfId="0" applyNumberFormat="1" applyFont="1" applyBorder="1" applyAlignment="1">
      <alignment horizontal="center"/>
    </xf>
    <xf numFmtId="167" fontId="14" fillId="10" borderId="2" xfId="0" applyNumberFormat="1" applyFont="1" applyFill="1" applyBorder="1" applyAlignment="1">
      <alignment horizontal="center"/>
    </xf>
    <xf numFmtId="167" fontId="14" fillId="0" borderId="2" xfId="0" applyNumberFormat="1" applyFont="1" applyBorder="1" applyAlignment="1">
      <alignment horizontal="center" vertical="center"/>
    </xf>
    <xf numFmtId="167" fontId="14" fillId="14" borderId="2" xfId="0" applyNumberFormat="1" applyFont="1" applyFill="1" applyBorder="1" applyAlignment="1">
      <alignment horizontal="center"/>
    </xf>
    <xf numFmtId="167" fontId="14" fillId="24" borderId="2" xfId="0" applyNumberFormat="1" applyFont="1" applyFill="1" applyBorder="1" applyAlignment="1">
      <alignment horizontal="center"/>
    </xf>
    <xf numFmtId="0" fontId="19" fillId="0" borderId="7" xfId="36" applyFont="1" applyBorder="1" applyAlignment="1">
      <alignment horizontal="center" vertical="center" wrapText="1"/>
    </xf>
    <xf numFmtId="0" fontId="19" fillId="0" borderId="0" xfId="36" applyFont="1" applyAlignment="1">
      <alignment horizontal="center" vertical="center" wrapText="1"/>
    </xf>
    <xf numFmtId="0" fontId="19" fillId="8" borderId="7" xfId="36" applyFont="1" applyFill="1" applyBorder="1" applyAlignment="1">
      <alignment horizontal="center" vertical="center" wrapText="1"/>
    </xf>
    <xf numFmtId="0" fontId="19" fillId="8" borderId="0" xfId="36" applyFont="1" applyFill="1" applyAlignment="1">
      <alignment horizontal="center" vertical="center" wrapText="1"/>
    </xf>
    <xf numFmtId="0" fontId="0" fillId="9" borderId="0" xfId="0" applyFill="1"/>
    <xf numFmtId="0" fontId="2" fillId="0" borderId="0" xfId="169" applyFont="1" applyAlignment="1">
      <alignment horizontal="left"/>
    </xf>
    <xf numFmtId="0" fontId="6" fillId="0" borderId="14" xfId="169" applyFont="1" applyBorder="1" applyAlignment="1" applyProtection="1">
      <alignment horizontal="center" vertical="center"/>
      <protection locked="0"/>
    </xf>
    <xf numFmtId="0" fontId="6" fillId="0" borderId="4" xfId="169" applyFont="1" applyBorder="1" applyAlignment="1" applyProtection="1">
      <alignment horizontal="center" vertical="center"/>
      <protection locked="0"/>
    </xf>
    <xf numFmtId="0" fontId="19" fillId="8" borderId="4" xfId="36" applyFont="1" applyFill="1" applyBorder="1" applyAlignment="1">
      <alignment horizontal="center" vertical="center" wrapText="1"/>
    </xf>
    <xf numFmtId="0" fontId="19" fillId="8" borderId="5" xfId="36" applyFont="1" applyFill="1" applyBorder="1" applyAlignment="1">
      <alignment horizontal="center" vertical="center" wrapText="1"/>
    </xf>
    <xf numFmtId="0" fontId="19" fillId="8" borderId="6" xfId="36" applyFont="1" applyFill="1" applyBorder="1" applyAlignment="1">
      <alignment horizontal="center" vertical="center" wrapText="1"/>
    </xf>
    <xf numFmtId="0" fontId="19" fillId="8" borderId="7" xfId="36" applyFont="1" applyFill="1" applyBorder="1" applyAlignment="1">
      <alignment horizontal="center" vertical="center" wrapText="1"/>
    </xf>
    <xf numFmtId="0" fontId="19" fillId="8" borderId="0" xfId="36" applyFont="1" applyFill="1" applyAlignment="1">
      <alignment horizontal="center" vertical="center" wrapText="1"/>
    </xf>
    <xf numFmtId="0" fontId="19" fillId="8" borderId="8" xfId="36" applyFont="1" applyFill="1" applyBorder="1" applyAlignment="1">
      <alignment horizontal="center" vertical="center" wrapText="1"/>
    </xf>
    <xf numFmtId="0" fontId="19" fillId="0" borderId="4" xfId="36" applyFont="1" applyBorder="1" applyAlignment="1">
      <alignment horizontal="center" vertical="center" wrapText="1"/>
    </xf>
    <xf numFmtId="0" fontId="19" fillId="0" borderId="5" xfId="36" applyFont="1" applyBorder="1" applyAlignment="1">
      <alignment horizontal="center" vertical="center" wrapText="1"/>
    </xf>
    <xf numFmtId="0" fontId="19" fillId="0" borderId="6" xfId="36" applyFont="1" applyBorder="1" applyAlignment="1">
      <alignment horizontal="center" vertical="center" wrapText="1"/>
    </xf>
    <xf numFmtId="0" fontId="19" fillId="0" borderId="7" xfId="36" applyFont="1" applyBorder="1" applyAlignment="1">
      <alignment horizontal="center" vertical="center" wrapText="1"/>
    </xf>
    <xf numFmtId="0" fontId="19" fillId="0" borderId="0" xfId="36" applyFont="1" applyAlignment="1">
      <alignment horizontal="center" vertical="center" wrapText="1"/>
    </xf>
    <xf numFmtId="0" fontId="19" fillId="0" borderId="8" xfId="36" applyFont="1" applyBorder="1" applyAlignment="1">
      <alignment horizontal="center" vertical="center" wrapText="1"/>
    </xf>
    <xf numFmtId="0" fontId="19" fillId="0" borderId="10" xfId="36" applyFont="1" applyBorder="1" applyAlignment="1">
      <alignment horizontal="center" vertical="center" wrapText="1"/>
    </xf>
    <xf numFmtId="0" fontId="19" fillId="0" borderId="11" xfId="36" applyFont="1" applyBorder="1" applyAlignment="1">
      <alignment horizontal="center" vertical="center" wrapText="1"/>
    </xf>
    <xf numFmtId="0" fontId="6" fillId="15" borderId="4" xfId="169" applyFont="1" applyFill="1" applyBorder="1" applyAlignment="1" applyProtection="1">
      <alignment horizontal="center" vertical="center"/>
      <protection locked="0"/>
    </xf>
    <xf numFmtId="0" fontId="6" fillId="15" borderId="5" xfId="169" applyFont="1" applyFill="1" applyBorder="1" applyAlignment="1" applyProtection="1">
      <alignment horizontal="center" vertical="center"/>
      <protection locked="0"/>
    </xf>
    <xf numFmtId="0" fontId="6" fillId="15" borderId="6" xfId="169" applyFont="1" applyFill="1" applyBorder="1" applyAlignment="1" applyProtection="1">
      <alignment horizontal="center" vertical="center"/>
      <protection locked="0"/>
    </xf>
    <xf numFmtId="0" fontId="6" fillId="15" borderId="7" xfId="169" applyFont="1" applyFill="1" applyBorder="1" applyAlignment="1" applyProtection="1">
      <alignment horizontal="center" vertical="center"/>
      <protection locked="0"/>
    </xf>
    <xf numFmtId="0" fontId="6" fillId="15" borderId="0" xfId="169" applyFont="1" applyFill="1" applyAlignment="1" applyProtection="1">
      <alignment horizontal="center" vertical="center"/>
      <protection locked="0"/>
    </xf>
    <xf numFmtId="0" fontId="6" fillId="15" borderId="8" xfId="169" applyFont="1" applyFill="1" applyBorder="1" applyAlignment="1" applyProtection="1">
      <alignment horizontal="center" vertical="center"/>
      <protection locked="0"/>
    </xf>
    <xf numFmtId="0" fontId="6" fillId="0" borderId="9" xfId="169" applyFont="1" applyBorder="1" applyAlignment="1" applyProtection="1">
      <alignment horizontal="center" vertical="center"/>
      <protection locked="0"/>
    </xf>
    <xf numFmtId="0" fontId="6" fillId="0" borderId="5" xfId="169" applyFont="1" applyBorder="1" applyAlignment="1" applyProtection="1">
      <alignment horizontal="center" vertical="center"/>
      <protection locked="0"/>
    </xf>
    <xf numFmtId="0" fontId="6" fillId="0" borderId="6" xfId="169" applyFont="1" applyBorder="1" applyAlignment="1" applyProtection="1">
      <alignment horizontal="center" vertical="center"/>
      <protection locked="0"/>
    </xf>
    <xf numFmtId="0" fontId="6" fillId="0" borderId="7" xfId="169" applyFont="1" applyBorder="1" applyAlignment="1" applyProtection="1">
      <alignment horizontal="center" vertical="center"/>
      <protection locked="0"/>
    </xf>
    <xf numFmtId="0" fontId="6" fillId="0" borderId="0" xfId="169" applyFont="1" applyAlignment="1" applyProtection="1">
      <alignment horizontal="center" vertical="center"/>
      <protection locked="0"/>
    </xf>
    <xf numFmtId="0" fontId="6" fillId="0" borderId="8" xfId="169" applyFont="1" applyBorder="1" applyAlignment="1" applyProtection="1">
      <alignment horizontal="center" vertical="center"/>
      <protection locked="0"/>
    </xf>
    <xf numFmtId="0" fontId="6" fillId="0" borderId="10" xfId="169" applyFont="1" applyBorder="1" applyAlignment="1" applyProtection="1">
      <alignment horizontal="center" vertical="center"/>
      <protection locked="0"/>
    </xf>
    <xf numFmtId="0" fontId="6" fillId="0" borderId="11" xfId="169" applyFont="1" applyBorder="1" applyAlignment="1" applyProtection="1">
      <alignment horizontal="center" vertical="center"/>
      <protection locked="0"/>
    </xf>
    <xf numFmtId="0" fontId="6" fillId="9" borderId="14" xfId="169" applyFont="1" applyFill="1" applyBorder="1" applyAlignment="1" applyProtection="1">
      <alignment horizontal="center" vertical="center"/>
      <protection locked="0"/>
    </xf>
    <xf numFmtId="0" fontId="6" fillId="9" borderId="4" xfId="169" applyFont="1" applyFill="1" applyBorder="1" applyAlignment="1" applyProtection="1">
      <alignment horizontal="center" vertical="center"/>
      <protection locked="0"/>
    </xf>
    <xf numFmtId="0" fontId="19" fillId="8" borderId="9" xfId="36" applyFont="1" applyFill="1" applyBorder="1" applyAlignment="1">
      <alignment horizontal="center" vertical="center" wrapText="1"/>
    </xf>
    <xf numFmtId="0" fontId="19" fillId="8" borderId="10" xfId="36" applyFont="1" applyFill="1" applyBorder="1" applyAlignment="1">
      <alignment horizontal="center" vertical="center" wrapText="1"/>
    </xf>
    <xf numFmtId="0" fontId="19" fillId="8" borderId="11" xfId="36" applyFont="1" applyFill="1" applyBorder="1" applyAlignment="1">
      <alignment horizontal="center" vertical="center" wrapText="1"/>
    </xf>
    <xf numFmtId="0" fontId="19" fillId="8" borderId="0" xfId="36" applyFont="1" applyFill="1" applyBorder="1" applyAlignment="1">
      <alignment horizontal="center" vertical="center" wrapText="1"/>
    </xf>
    <xf numFmtId="0" fontId="1" fillId="0" borderId="0" xfId="169" applyFont="1" applyAlignment="1">
      <alignment horizontal="left"/>
    </xf>
  </cellXfs>
  <cellStyles count="180">
    <cellStyle name="Comma 2" xfId="1" xr:uid="{00000000-0005-0000-0000-000000000000}"/>
    <cellStyle name="Explanatory Text 2" xfId="2" xr:uid="{00000000-0005-0000-0000-000001000000}"/>
    <cellStyle name="Explanatory Text 2 2" xfId="3" xr:uid="{00000000-0005-0000-0000-000002000000}"/>
    <cellStyle name="Explanatory Text 3" xfId="4" xr:uid="{00000000-0005-0000-0000-000003000000}"/>
    <cellStyle name="Explanatory Text 3 2" xfId="5" xr:uid="{00000000-0005-0000-0000-000004000000}"/>
    <cellStyle name="Normal" xfId="0" builtinId="0"/>
    <cellStyle name="Normal 10" xfId="6" xr:uid="{00000000-0005-0000-0000-000006000000}"/>
    <cellStyle name="Normal 10 10" xfId="7" xr:uid="{00000000-0005-0000-0000-000007000000}"/>
    <cellStyle name="Normal 10 10 2" xfId="8" xr:uid="{00000000-0005-0000-0000-000008000000}"/>
    <cellStyle name="Normal 10 10 3" xfId="9" xr:uid="{00000000-0005-0000-0000-000009000000}"/>
    <cellStyle name="Normal 10 10 4" xfId="10" xr:uid="{00000000-0005-0000-0000-00000A000000}"/>
    <cellStyle name="Normal 10 10 5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2 3" xfId="16" xr:uid="{00000000-0005-0000-0000-000010000000}"/>
    <cellStyle name="Normal 13" xfId="17" xr:uid="{00000000-0005-0000-0000-000011000000}"/>
    <cellStyle name="Normal 13 2" xfId="18" xr:uid="{00000000-0005-0000-0000-000012000000}"/>
    <cellStyle name="Normal 14" xfId="19" xr:uid="{00000000-0005-0000-0000-000013000000}"/>
    <cellStyle name="Normal 15" xfId="20" xr:uid="{00000000-0005-0000-0000-000014000000}"/>
    <cellStyle name="Normal 16" xfId="21" xr:uid="{00000000-0005-0000-0000-000015000000}"/>
    <cellStyle name="Normal 17" xfId="22" xr:uid="{00000000-0005-0000-0000-000016000000}"/>
    <cellStyle name="Normal 17 2" xfId="168" xr:uid="{2F436BF8-18E2-4E85-9830-004AD5C822C9}"/>
    <cellStyle name="Normal 17 3" xfId="156" xr:uid="{3849A6BA-538B-4BC2-99B4-2A6757617F1C}"/>
    <cellStyle name="Normal 18" xfId="23" xr:uid="{00000000-0005-0000-0000-000017000000}"/>
    <cellStyle name="Normal 18 2" xfId="169" xr:uid="{5A81D4BC-527E-455B-9C4D-FE02F9EF6AE5}"/>
    <cellStyle name="Normal 18 3" xfId="157" xr:uid="{57A073B5-8D4F-4F4F-AA05-E61184094CC0}"/>
    <cellStyle name="Normal 2" xfId="24" xr:uid="{00000000-0005-0000-0000-000018000000}"/>
    <cellStyle name="Normal 2 10" xfId="25" xr:uid="{00000000-0005-0000-0000-000019000000}"/>
    <cellStyle name="Normal 2 11" xfId="26" xr:uid="{00000000-0005-0000-0000-00001A000000}"/>
    <cellStyle name="Normal 2 12" xfId="27" xr:uid="{00000000-0005-0000-0000-00001B000000}"/>
    <cellStyle name="Normal 2 13" xfId="28" xr:uid="{00000000-0005-0000-0000-00001C000000}"/>
    <cellStyle name="Normal 2 14" xfId="29" xr:uid="{00000000-0005-0000-0000-00001D000000}"/>
    <cellStyle name="Normal 2 15" xfId="30" xr:uid="{00000000-0005-0000-0000-00001E000000}"/>
    <cellStyle name="Normal 2 16" xfId="31" xr:uid="{00000000-0005-0000-0000-00001F000000}"/>
    <cellStyle name="Normal 2 17" xfId="32" xr:uid="{00000000-0005-0000-0000-000020000000}"/>
    <cellStyle name="Normal 2 18" xfId="33" xr:uid="{00000000-0005-0000-0000-000021000000}"/>
    <cellStyle name="Normal 2 18 2" xfId="170" xr:uid="{6E88F37B-130F-4FFC-98EF-F22C1E2E4BD3}"/>
    <cellStyle name="Normal 2 18 3" xfId="158" xr:uid="{6CA4BF7A-34FA-47AC-9B14-576E38FD5A3C}"/>
    <cellStyle name="Normal 2 19" xfId="34" xr:uid="{00000000-0005-0000-0000-000022000000}"/>
    <cellStyle name="Normal 2 19 2" xfId="171" xr:uid="{D8C8CC9E-05BB-4E59-95B0-2CE8C0B07045}"/>
    <cellStyle name="Normal 2 19 3" xfId="159" xr:uid="{29A072A0-B62A-42E7-ADE4-78B4160004D5}"/>
    <cellStyle name="Normal 2 2" xfId="35" xr:uid="{00000000-0005-0000-0000-000023000000}"/>
    <cellStyle name="Normal 2 2 2" xfId="36" xr:uid="{00000000-0005-0000-0000-000024000000}"/>
    <cellStyle name="Normal 2 2 2 2" xfId="37" xr:uid="{00000000-0005-0000-0000-000025000000}"/>
    <cellStyle name="Normal 2 2 2 3" xfId="38" xr:uid="{00000000-0005-0000-0000-000026000000}"/>
    <cellStyle name="Normal 2 2 3" xfId="39" xr:uid="{00000000-0005-0000-0000-000027000000}"/>
    <cellStyle name="Normal 2 2 3 2" xfId="40" xr:uid="{00000000-0005-0000-0000-000028000000}"/>
    <cellStyle name="Normal 2 2 3 2 2" xfId="41" xr:uid="{00000000-0005-0000-0000-000029000000}"/>
    <cellStyle name="Normal 2 2 3 3" xfId="42" xr:uid="{00000000-0005-0000-0000-00002A000000}"/>
    <cellStyle name="Normal 2 2 3 4" xfId="43" xr:uid="{00000000-0005-0000-0000-00002B000000}"/>
    <cellStyle name="Normal 2 2 4" xfId="44" xr:uid="{00000000-0005-0000-0000-00002C000000}"/>
    <cellStyle name="Normal 2 2 4 2" xfId="45" xr:uid="{00000000-0005-0000-0000-00002D000000}"/>
    <cellStyle name="Normal 2 2 5" xfId="46" xr:uid="{00000000-0005-0000-0000-00002E000000}"/>
    <cellStyle name="Normal 2 2 6" xfId="47" xr:uid="{00000000-0005-0000-0000-00002F000000}"/>
    <cellStyle name="Normal 2 2 7" xfId="48" xr:uid="{00000000-0005-0000-0000-000030000000}"/>
    <cellStyle name="Normal 2 2 8" xfId="49" xr:uid="{00000000-0005-0000-0000-000031000000}"/>
    <cellStyle name="Normal 2 2 9" xfId="50" xr:uid="{00000000-0005-0000-0000-000032000000}"/>
    <cellStyle name="Normal 2 3" xfId="51" xr:uid="{00000000-0005-0000-0000-000033000000}"/>
    <cellStyle name="Normal 2 3 2" xfId="52" xr:uid="{00000000-0005-0000-0000-000034000000}"/>
    <cellStyle name="Normal 2 3 2 2" xfId="53" xr:uid="{00000000-0005-0000-0000-000035000000}"/>
    <cellStyle name="Normal 2 3 2 2 2" xfId="54" xr:uid="{00000000-0005-0000-0000-000036000000}"/>
    <cellStyle name="Normal 2 3 2 3" xfId="55" xr:uid="{00000000-0005-0000-0000-000037000000}"/>
    <cellStyle name="Normal 2 3 3" xfId="56" xr:uid="{00000000-0005-0000-0000-000038000000}"/>
    <cellStyle name="Normal 2 3 3 2" xfId="57" xr:uid="{00000000-0005-0000-0000-000039000000}"/>
    <cellStyle name="Normal 2 3 4" xfId="58" xr:uid="{00000000-0005-0000-0000-00003A000000}"/>
    <cellStyle name="Normal 2 4" xfId="59" xr:uid="{00000000-0005-0000-0000-00003B000000}"/>
    <cellStyle name="Normal 2 4 2" xfId="60" xr:uid="{00000000-0005-0000-0000-00003C000000}"/>
    <cellStyle name="Normal 2 4 2 2" xfId="61" xr:uid="{00000000-0005-0000-0000-00003D000000}"/>
    <cellStyle name="Normal 2 4 2 2 2" xfId="62" xr:uid="{00000000-0005-0000-0000-00003E000000}"/>
    <cellStyle name="Normal 2 4 2 3" xfId="63" xr:uid="{00000000-0005-0000-0000-00003F000000}"/>
    <cellStyle name="Normal 2 4 3" xfId="64" xr:uid="{00000000-0005-0000-0000-000040000000}"/>
    <cellStyle name="Normal 2 4 3 2" xfId="65" xr:uid="{00000000-0005-0000-0000-000041000000}"/>
    <cellStyle name="Normal 2 4 4" xfId="66" xr:uid="{00000000-0005-0000-0000-000042000000}"/>
    <cellStyle name="Normal 2 5" xfId="67" xr:uid="{00000000-0005-0000-0000-000043000000}"/>
    <cellStyle name="Normal 2 5 2" xfId="68" xr:uid="{00000000-0005-0000-0000-000044000000}"/>
    <cellStyle name="Normal 2 5 2 2" xfId="69" xr:uid="{00000000-0005-0000-0000-000045000000}"/>
    <cellStyle name="Normal 2 5 3" xfId="70" xr:uid="{00000000-0005-0000-0000-000046000000}"/>
    <cellStyle name="Normal 2 5 4" xfId="71" xr:uid="{00000000-0005-0000-0000-000047000000}"/>
    <cellStyle name="Normal 2 6" xfId="72" xr:uid="{00000000-0005-0000-0000-000048000000}"/>
    <cellStyle name="Normal 2 6 2" xfId="73" xr:uid="{00000000-0005-0000-0000-000049000000}"/>
    <cellStyle name="Normal 2 6 2 2" xfId="74" xr:uid="{00000000-0005-0000-0000-00004A000000}"/>
    <cellStyle name="Normal 2 6 3" xfId="75" xr:uid="{00000000-0005-0000-0000-00004B000000}"/>
    <cellStyle name="Normal 2 7" xfId="76" xr:uid="{00000000-0005-0000-0000-00004C000000}"/>
    <cellStyle name="Normal 2 7 2" xfId="77" xr:uid="{00000000-0005-0000-0000-00004D000000}"/>
    <cellStyle name="Normal 2 7 3" xfId="78" xr:uid="{00000000-0005-0000-0000-00004E000000}"/>
    <cellStyle name="Normal 2 8" xfId="79" xr:uid="{00000000-0005-0000-0000-00004F000000}"/>
    <cellStyle name="Normal 2 8 2" xfId="80" xr:uid="{00000000-0005-0000-0000-000050000000}"/>
    <cellStyle name="Normal 2 8 2 2" xfId="81" xr:uid="{00000000-0005-0000-0000-000051000000}"/>
    <cellStyle name="Normal 2 8 3" xfId="82" xr:uid="{00000000-0005-0000-0000-000052000000}"/>
    <cellStyle name="Normal 2 9" xfId="83" xr:uid="{00000000-0005-0000-0000-000053000000}"/>
    <cellStyle name="Normal 2 9 2" xfId="84" xr:uid="{00000000-0005-0000-0000-000054000000}"/>
    <cellStyle name="Normal 22" xfId="85" xr:uid="{00000000-0005-0000-0000-000055000000}"/>
    <cellStyle name="Normal 22 2" xfId="86" xr:uid="{00000000-0005-0000-0000-000056000000}"/>
    <cellStyle name="Normal 24" xfId="87" xr:uid="{00000000-0005-0000-0000-000057000000}"/>
    <cellStyle name="Normal 3" xfId="88" xr:uid="{00000000-0005-0000-0000-000058000000}"/>
    <cellStyle name="Normal 3 2" xfId="89" xr:uid="{00000000-0005-0000-0000-000059000000}"/>
    <cellStyle name="Normal 3 2 2" xfId="90" xr:uid="{00000000-0005-0000-0000-00005A000000}"/>
    <cellStyle name="Normal 3 2 2 2" xfId="91" xr:uid="{00000000-0005-0000-0000-00005B000000}"/>
    <cellStyle name="Normal 3 2 3" xfId="92" xr:uid="{00000000-0005-0000-0000-00005C000000}"/>
    <cellStyle name="Normal 3 2 4" xfId="93" xr:uid="{00000000-0005-0000-0000-00005D000000}"/>
    <cellStyle name="Normal 3 3" xfId="94" xr:uid="{00000000-0005-0000-0000-00005E000000}"/>
    <cellStyle name="Normal 3 3 2" xfId="95" xr:uid="{00000000-0005-0000-0000-00005F000000}"/>
    <cellStyle name="Normal 3 4" xfId="96" xr:uid="{00000000-0005-0000-0000-000060000000}"/>
    <cellStyle name="Normal 3 5" xfId="97" xr:uid="{00000000-0005-0000-0000-000061000000}"/>
    <cellStyle name="Normal 3 6" xfId="98" xr:uid="{00000000-0005-0000-0000-000062000000}"/>
    <cellStyle name="Normal 3 7" xfId="99" xr:uid="{00000000-0005-0000-0000-000063000000}"/>
    <cellStyle name="Normal 3 8" xfId="100" xr:uid="{00000000-0005-0000-0000-000064000000}"/>
    <cellStyle name="Normal 4" xfId="101" xr:uid="{00000000-0005-0000-0000-000065000000}"/>
    <cellStyle name="Normal 4 2" xfId="102" xr:uid="{00000000-0005-0000-0000-000066000000}"/>
    <cellStyle name="Normal 4 2 2" xfId="103" xr:uid="{00000000-0005-0000-0000-000067000000}"/>
    <cellStyle name="Normal 4 2 3" xfId="104" xr:uid="{00000000-0005-0000-0000-000068000000}"/>
    <cellStyle name="Normal 4 2 3 2" xfId="172" xr:uid="{AFC0EDE0-32AD-4101-A5CD-94AF7B0EBC76}"/>
    <cellStyle name="Normal 4 2 3 3" xfId="160" xr:uid="{E4A07807-2F11-4959-B319-1B4339DB5181}"/>
    <cellStyle name="Normal 4 2 4" xfId="105" xr:uid="{00000000-0005-0000-0000-000069000000}"/>
    <cellStyle name="Normal 4 2 4 2" xfId="173" xr:uid="{A5A82DDA-77C1-4839-8096-51D6EF4E099E}"/>
    <cellStyle name="Normal 4 2 4 3" xfId="161" xr:uid="{EFE0DAC9-336A-41A4-8A61-5D8AA12A8438}"/>
    <cellStyle name="Normal 4 3" xfId="106" xr:uid="{00000000-0005-0000-0000-00006A000000}"/>
    <cellStyle name="Normal 4 4" xfId="107" xr:uid="{00000000-0005-0000-0000-00006B000000}"/>
    <cellStyle name="Normal 4 5" xfId="108" xr:uid="{00000000-0005-0000-0000-00006C000000}"/>
    <cellStyle name="Normal 4 5 2" xfId="174" xr:uid="{CBC6421D-A3E7-4AB9-BF81-124B9E802C93}"/>
    <cellStyle name="Normal 4 5 3" xfId="162" xr:uid="{C8B8FC28-2DA3-4086-BF21-3A603DBAC9F9}"/>
    <cellStyle name="Normal 4 6" xfId="109" xr:uid="{00000000-0005-0000-0000-00006D000000}"/>
    <cellStyle name="Normal 4 6 2" xfId="175" xr:uid="{E8F0117B-CAD8-4524-B2B6-DD479D40900B}"/>
    <cellStyle name="Normal 4 6 3" xfId="163" xr:uid="{D3412A13-30AB-4BE2-9BCE-3DB8B1207DE4}"/>
    <cellStyle name="Normal 5" xfId="110" xr:uid="{00000000-0005-0000-0000-00006E000000}"/>
    <cellStyle name="Normal 5 2" xfId="111" xr:uid="{00000000-0005-0000-0000-00006F000000}"/>
    <cellStyle name="Normal 5 2 2" xfId="112" xr:uid="{00000000-0005-0000-0000-000070000000}"/>
    <cellStyle name="Normal 5 2 2 2" xfId="113" xr:uid="{00000000-0005-0000-0000-000071000000}"/>
    <cellStyle name="Normal 5 2 3" xfId="114" xr:uid="{00000000-0005-0000-0000-000072000000}"/>
    <cellStyle name="Normal 5 3" xfId="115" xr:uid="{00000000-0005-0000-0000-000073000000}"/>
    <cellStyle name="Normal 5 3 2" xfId="116" xr:uid="{00000000-0005-0000-0000-000074000000}"/>
    <cellStyle name="Normal 5 4" xfId="117" xr:uid="{00000000-0005-0000-0000-000075000000}"/>
    <cellStyle name="Normal 5 5" xfId="118" xr:uid="{00000000-0005-0000-0000-000076000000}"/>
    <cellStyle name="Normal 5 6" xfId="119" xr:uid="{00000000-0005-0000-0000-000077000000}"/>
    <cellStyle name="Normal 5 7" xfId="120" xr:uid="{00000000-0005-0000-0000-000078000000}"/>
    <cellStyle name="Normal 5 8" xfId="121" xr:uid="{00000000-0005-0000-0000-000079000000}"/>
    <cellStyle name="Normal 5 8 2" xfId="176" xr:uid="{854B47CA-1CB0-4CFA-9A1C-D25E383E732B}"/>
    <cellStyle name="Normal 5 8 3" xfId="164" xr:uid="{C73EB257-5365-42CD-BE0A-7A3A36826D67}"/>
    <cellStyle name="Normal 5 9" xfId="122" xr:uid="{00000000-0005-0000-0000-00007A000000}"/>
    <cellStyle name="Normal 5 9 2" xfId="177" xr:uid="{A819FA5D-7D0C-4933-B098-372232F7D394}"/>
    <cellStyle name="Normal 5 9 3" xfId="165" xr:uid="{4FA4F30E-DB3A-4848-B677-1089C1112A5D}"/>
    <cellStyle name="Normal 50 2 2" xfId="123" xr:uid="{00000000-0005-0000-0000-00007B000000}"/>
    <cellStyle name="Normal 50 2 2 2" xfId="124" xr:uid="{00000000-0005-0000-0000-00007C000000}"/>
    <cellStyle name="Normal 50 2 2 2 2" xfId="179" xr:uid="{C17A82E1-D69F-4BC4-A48D-B744C78D3186}"/>
    <cellStyle name="Normal 50 2 2 2 3" xfId="167" xr:uid="{EA88F661-050D-41A9-999E-21CA84F02C0E}"/>
    <cellStyle name="Normal 50 2 2 3" xfId="178" xr:uid="{F858FB8F-3202-44A6-894A-F9AF886B7E39}"/>
    <cellStyle name="Normal 50 2 2 4" xfId="166" xr:uid="{B2E7EC60-4690-4565-88E2-FD7388D788C7}"/>
    <cellStyle name="Normal 6" xfId="125" xr:uid="{00000000-0005-0000-0000-00007D000000}"/>
    <cellStyle name="Normal 6 2" xfId="126" xr:uid="{00000000-0005-0000-0000-00007E000000}"/>
    <cellStyle name="Normal 6 2 2" xfId="127" xr:uid="{00000000-0005-0000-0000-00007F000000}"/>
    <cellStyle name="Normal 6 2 2 2" xfId="128" xr:uid="{00000000-0005-0000-0000-000080000000}"/>
    <cellStyle name="Normal 6 2 3" xfId="129" xr:uid="{00000000-0005-0000-0000-000081000000}"/>
    <cellStyle name="Normal 6 3" xfId="130" xr:uid="{00000000-0005-0000-0000-000082000000}"/>
    <cellStyle name="Normal 6 3 2" xfId="131" xr:uid="{00000000-0005-0000-0000-000083000000}"/>
    <cellStyle name="Normal 6 4" xfId="132" xr:uid="{00000000-0005-0000-0000-000084000000}"/>
    <cellStyle name="Normal 7" xfId="133" xr:uid="{00000000-0005-0000-0000-000085000000}"/>
    <cellStyle name="Normal 7 2" xfId="134" xr:uid="{00000000-0005-0000-0000-000086000000}"/>
    <cellStyle name="Normal 7 2 2" xfId="135" xr:uid="{00000000-0005-0000-0000-000087000000}"/>
    <cellStyle name="Normal 7 2 2 2" xfId="136" xr:uid="{00000000-0005-0000-0000-000088000000}"/>
    <cellStyle name="Normal 7 2 3" xfId="137" xr:uid="{00000000-0005-0000-0000-000089000000}"/>
    <cellStyle name="Normal 7 3" xfId="138" xr:uid="{00000000-0005-0000-0000-00008A000000}"/>
    <cellStyle name="Normal 7 3 2" xfId="139" xr:uid="{00000000-0005-0000-0000-00008B000000}"/>
    <cellStyle name="Normal 7 4" xfId="140" xr:uid="{00000000-0005-0000-0000-00008C000000}"/>
    <cellStyle name="Normal 8" xfId="141" xr:uid="{00000000-0005-0000-0000-00008D000000}"/>
    <cellStyle name="Normal 9" xfId="142" xr:uid="{00000000-0005-0000-0000-00008E000000}"/>
    <cellStyle name="Normal 9 2" xfId="143" xr:uid="{00000000-0005-0000-0000-00008F000000}"/>
    <cellStyle name="Normal 9 2 2" xfId="144" xr:uid="{00000000-0005-0000-0000-000090000000}"/>
    <cellStyle name="Normal 9 3" xfId="145" xr:uid="{00000000-0005-0000-0000-000091000000}"/>
    <cellStyle name="Note 2" xfId="146" xr:uid="{00000000-0005-0000-0000-000092000000}"/>
    <cellStyle name="Percent 2" xfId="147" xr:uid="{00000000-0005-0000-0000-000093000000}"/>
    <cellStyle name="常规 2" xfId="148" xr:uid="{00000000-0005-0000-0000-000094000000}"/>
    <cellStyle name="常规 2 2" xfId="149" xr:uid="{00000000-0005-0000-0000-000095000000}"/>
    <cellStyle name="常规 2 2 2" xfId="150" xr:uid="{00000000-0005-0000-0000-000096000000}"/>
    <cellStyle name="常规 2 3" xfId="151" xr:uid="{00000000-0005-0000-0000-000097000000}"/>
    <cellStyle name="常规 2 4" xfId="152" xr:uid="{00000000-0005-0000-0000-000098000000}"/>
    <cellStyle name="常规 2 5" xfId="153" xr:uid="{00000000-0005-0000-0000-000099000000}"/>
    <cellStyle name="常规 2 6" xfId="154" xr:uid="{00000000-0005-0000-0000-00009A000000}"/>
    <cellStyle name="常规 2 7" xfId="155" xr:uid="{00000000-0005-0000-0000-00009B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99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CC3300"/>
      <rgbColor rgb="00993366"/>
      <rgbColor rgb="00333399"/>
      <rgbColor rgb="00333333"/>
    </indexed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C4E9-A023-449D-82EB-098CE265BB65}">
  <dimension ref="A1:BE400"/>
  <sheetViews>
    <sheetView tabSelected="1" zoomScale="70" zoomScaleNormal="70" zoomScaleSheetLayoutView="100" workbookViewId="0">
      <pane xSplit="7" ySplit="8" topLeftCell="H379" activePane="bottomRight" state="frozen"/>
      <selection pane="topRight" activeCell="H1" sqref="H1"/>
      <selection pane="bottomLeft" activeCell="A9" sqref="A9"/>
      <selection pane="bottomRight" activeCell="J394" sqref="J394"/>
    </sheetView>
  </sheetViews>
  <sheetFormatPr defaultColWidth="9.109375" defaultRowHeight="18" customHeight="1"/>
  <cols>
    <col min="1" max="1" width="10.33203125" customWidth="1"/>
    <col min="2" max="2" width="7.33203125" customWidth="1"/>
    <col min="3" max="3" width="7.109375" customWidth="1"/>
    <col min="4" max="5" width="8.6640625" customWidth="1"/>
    <col min="6" max="6" width="16.33203125" bestFit="1" customWidth="1"/>
    <col min="7" max="7" width="8.33203125" bestFit="1" customWidth="1"/>
    <col min="8" max="8" width="18.109375" bestFit="1" customWidth="1"/>
    <col min="9" max="9" width="24.88671875" bestFit="1" customWidth="1"/>
    <col min="10" max="10" width="16.6640625" bestFit="1" customWidth="1"/>
    <col min="11" max="11" width="17.33203125" bestFit="1" customWidth="1"/>
    <col min="12" max="12" width="23" customWidth="1"/>
    <col min="13" max="13" width="21.6640625" bestFit="1" customWidth="1"/>
    <col min="14" max="14" width="21.88671875" bestFit="1" customWidth="1"/>
    <col min="15" max="15" width="22.6640625" bestFit="1" customWidth="1"/>
    <col min="16" max="16" width="19.33203125" bestFit="1" customWidth="1"/>
    <col min="17" max="17" width="8.109375" customWidth="1"/>
    <col min="18" max="18" width="9.109375" bestFit="1" customWidth="1"/>
    <col min="19" max="19" width="12" customWidth="1"/>
    <col min="20" max="20" width="12.6640625" customWidth="1"/>
    <col min="21" max="21" width="10.6640625" customWidth="1"/>
    <col min="22" max="22" width="9.109375" bestFit="1" customWidth="1"/>
    <col min="23" max="23" width="15" customWidth="1"/>
    <col min="24" max="24" width="15.6640625" bestFit="1" customWidth="1"/>
    <col min="25" max="26" width="45.88671875" bestFit="1" customWidth="1"/>
    <col min="27" max="28" width="9.109375" bestFit="1" customWidth="1"/>
    <col min="29" max="29" width="15.6640625" customWidth="1"/>
    <col min="30" max="30" width="44.5546875" bestFit="1" customWidth="1"/>
    <col min="31" max="31" width="12" hidden="1" customWidth="1"/>
    <col min="32" max="32" width="16.6640625" hidden="1" customWidth="1"/>
    <col min="33" max="33" width="12.109375" hidden="1" customWidth="1"/>
    <col min="34" max="34" width="15.44140625" hidden="1" customWidth="1"/>
    <col min="35" max="35" width="9.44140625" customWidth="1"/>
    <col min="36" max="36" width="17.33203125" bestFit="1" customWidth="1"/>
    <col min="37" max="37" width="8.33203125" customWidth="1"/>
    <col min="38" max="38" width="12.6640625" hidden="1" customWidth="1"/>
    <col min="39" max="39" width="26.44140625" hidden="1" customWidth="1"/>
    <col min="40" max="40" width="31" hidden="1" customWidth="1"/>
    <col min="41" max="41" width="14.6640625" hidden="1" customWidth="1"/>
    <col min="42" max="42" width="13.6640625" hidden="1" customWidth="1"/>
    <col min="43" max="43" width="7.6640625" customWidth="1"/>
    <col min="44" max="44" width="26.33203125" customWidth="1"/>
    <col min="45" max="45" width="20.44140625" bestFit="1" customWidth="1"/>
    <col min="46" max="46" width="25.5546875" customWidth="1"/>
    <col min="47" max="47" width="11.44140625" style="1" customWidth="1"/>
    <col min="48" max="48" width="18.6640625" customWidth="1"/>
    <col min="49" max="49" width="23.33203125" bestFit="1" customWidth="1"/>
    <col min="50" max="50" width="7.44140625" customWidth="1"/>
    <col min="51" max="51" width="9.109375" customWidth="1"/>
    <col min="52" max="52" width="11.109375" customWidth="1"/>
    <col min="53" max="53" width="14.44140625" customWidth="1"/>
    <col min="54" max="54" width="13.6640625" customWidth="1"/>
    <col min="55" max="55" width="10.6640625" bestFit="1" customWidth="1"/>
    <col min="56" max="56" width="9" customWidth="1"/>
    <col min="57" max="57" width="36" bestFit="1" customWidth="1"/>
  </cols>
  <sheetData>
    <row r="1" spans="1:57" ht="18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26"/>
      <c r="N1" s="17"/>
      <c r="O1" s="18"/>
      <c r="P1" s="20"/>
      <c r="Q1" s="20"/>
      <c r="R1" s="27"/>
      <c r="S1" s="29"/>
    </row>
    <row r="2" spans="1:57" ht="18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6"/>
      <c r="N2" s="17"/>
      <c r="O2" s="18"/>
      <c r="P2" s="20"/>
      <c r="Q2" s="20"/>
      <c r="R2" s="27"/>
      <c r="S2" s="29"/>
    </row>
    <row r="3" spans="1:57" ht="18" customHeight="1">
      <c r="A3" s="17" t="s">
        <v>1</v>
      </c>
      <c r="B3" s="19"/>
      <c r="C3" s="19" t="s">
        <v>2</v>
      </c>
      <c r="D3" s="17" t="s">
        <v>105</v>
      </c>
      <c r="E3" s="18"/>
      <c r="F3" s="18"/>
      <c r="G3" s="18"/>
      <c r="H3" s="18"/>
      <c r="I3" s="18"/>
      <c r="J3" s="18"/>
      <c r="K3" s="18"/>
      <c r="L3" s="17" t="s">
        <v>3</v>
      </c>
      <c r="M3" s="19" t="s">
        <v>2</v>
      </c>
      <c r="N3" s="18" t="s">
        <v>90</v>
      </c>
      <c r="O3" s="18"/>
      <c r="P3" s="20"/>
      <c r="Q3" s="20"/>
      <c r="R3" s="27"/>
      <c r="S3" s="29"/>
    </row>
    <row r="4" spans="1:57" ht="18" customHeight="1">
      <c r="A4" s="17" t="s">
        <v>4</v>
      </c>
      <c r="B4" s="19"/>
      <c r="C4" s="19" t="s">
        <v>2</v>
      </c>
      <c r="D4" s="17" t="s">
        <v>347</v>
      </c>
      <c r="E4" s="18"/>
      <c r="F4" s="18"/>
      <c r="G4" s="18"/>
      <c r="H4" s="18"/>
      <c r="I4" s="18"/>
      <c r="J4" s="18"/>
      <c r="K4" s="18"/>
      <c r="L4" s="17" t="s">
        <v>5</v>
      </c>
      <c r="M4" s="19" t="s">
        <v>2</v>
      </c>
      <c r="N4" s="212" t="s">
        <v>974</v>
      </c>
      <c r="O4" s="18"/>
      <c r="P4" s="20"/>
      <c r="Q4" s="20"/>
      <c r="R4" s="27"/>
      <c r="S4" s="29"/>
      <c r="AJ4" t="s">
        <v>344</v>
      </c>
      <c r="AK4" t="s">
        <v>345</v>
      </c>
      <c r="AQ4" t="s">
        <v>346</v>
      </c>
    </row>
    <row r="5" spans="1:57" ht="18" customHeight="1">
      <c r="A5" s="17" t="s">
        <v>6</v>
      </c>
      <c r="B5" s="19"/>
      <c r="C5" s="19" t="s">
        <v>2</v>
      </c>
      <c r="D5" s="17" t="s">
        <v>106</v>
      </c>
      <c r="E5" s="18"/>
      <c r="F5" s="18"/>
      <c r="G5" s="18"/>
      <c r="H5" s="18"/>
      <c r="I5" s="18"/>
      <c r="J5" s="18"/>
      <c r="K5" s="18"/>
      <c r="L5" s="17" t="s">
        <v>7</v>
      </c>
      <c r="M5" s="19" t="s">
        <v>2</v>
      </c>
      <c r="N5" s="18" t="s">
        <v>8</v>
      </c>
      <c r="O5" s="18"/>
      <c r="Q5" s="20"/>
      <c r="R5" s="27"/>
      <c r="S5" s="29"/>
      <c r="AD5" s="20"/>
      <c r="AJ5">
        <f>AJ7+'FDT 2'!AJ7</f>
        <v>796</v>
      </c>
      <c r="AK5">
        <f>AJ7</f>
        <v>392</v>
      </c>
      <c r="AQ5">
        <f>'FDT 2'!AJ7</f>
        <v>404</v>
      </c>
    </row>
    <row r="6" spans="1:57" ht="18" customHeight="1">
      <c r="A6" s="17" t="s">
        <v>9</v>
      </c>
      <c r="B6" s="19"/>
      <c r="C6" s="19" t="s">
        <v>2</v>
      </c>
      <c r="D6" s="17" t="s">
        <v>107</v>
      </c>
      <c r="E6" s="18"/>
      <c r="F6" s="18"/>
      <c r="G6" s="18"/>
      <c r="H6" s="18"/>
      <c r="I6" s="18"/>
      <c r="J6" s="18"/>
      <c r="K6" s="18"/>
      <c r="L6" s="17" t="s">
        <v>10</v>
      </c>
      <c r="M6" s="19" t="s">
        <v>2</v>
      </c>
      <c r="N6" s="145" t="s">
        <v>251</v>
      </c>
      <c r="O6" s="27"/>
      <c r="Q6" s="20"/>
      <c r="R6" s="27"/>
      <c r="S6" s="29"/>
      <c r="AD6" s="20"/>
    </row>
    <row r="7" spans="1:57" ht="18" customHeight="1">
      <c r="A7" s="20"/>
      <c r="B7" s="20"/>
      <c r="C7" s="20"/>
      <c r="D7" s="144"/>
      <c r="E7" s="20"/>
      <c r="F7" s="20"/>
      <c r="G7" s="20"/>
      <c r="H7" s="20"/>
      <c r="I7" s="28"/>
      <c r="J7" s="28"/>
      <c r="K7" s="28"/>
      <c r="L7" s="28"/>
      <c r="M7" s="27"/>
      <c r="N7" s="20"/>
      <c r="O7" s="20"/>
      <c r="P7" s="20"/>
      <c r="Q7" s="20"/>
      <c r="R7" s="27"/>
      <c r="S7" s="29"/>
      <c r="AJ7">
        <f>COUNTA(AJ9:AJ400)</f>
        <v>392</v>
      </c>
    </row>
    <row r="8" spans="1:57" ht="73.5" customHeight="1">
      <c r="A8" s="2" t="s">
        <v>11</v>
      </c>
      <c r="B8" s="2" t="s">
        <v>12</v>
      </c>
      <c r="C8" s="3" t="s">
        <v>13</v>
      </c>
      <c r="D8" s="3" t="s">
        <v>14</v>
      </c>
      <c r="E8" s="3" t="s">
        <v>15</v>
      </c>
      <c r="F8" s="2" t="s">
        <v>16</v>
      </c>
      <c r="G8" s="3" t="s">
        <v>17</v>
      </c>
      <c r="H8" s="2" t="s">
        <v>18</v>
      </c>
      <c r="I8" s="3" t="s">
        <v>19</v>
      </c>
      <c r="J8" s="2" t="s">
        <v>20</v>
      </c>
      <c r="K8" s="2" t="s">
        <v>21</v>
      </c>
      <c r="L8" s="3" t="s">
        <v>22</v>
      </c>
      <c r="M8" s="4" t="s">
        <v>23</v>
      </c>
      <c r="N8" s="4" t="s">
        <v>24</v>
      </c>
      <c r="O8" s="5" t="s">
        <v>25</v>
      </c>
      <c r="P8" s="5" t="s">
        <v>26</v>
      </c>
      <c r="Q8" s="5" t="s">
        <v>27</v>
      </c>
      <c r="R8" s="4" t="s">
        <v>28</v>
      </c>
      <c r="S8" s="5" t="s">
        <v>29</v>
      </c>
      <c r="T8" s="4" t="s">
        <v>30</v>
      </c>
      <c r="U8" s="5" t="s">
        <v>31</v>
      </c>
      <c r="V8" s="4" t="s">
        <v>32</v>
      </c>
      <c r="W8" s="4" t="s">
        <v>33</v>
      </c>
      <c r="X8" s="5" t="s">
        <v>34</v>
      </c>
      <c r="Y8" s="4" t="s">
        <v>35</v>
      </c>
      <c r="Z8" s="4" t="s">
        <v>36</v>
      </c>
      <c r="AA8" s="5" t="s">
        <v>37</v>
      </c>
      <c r="AB8" s="5" t="s">
        <v>38</v>
      </c>
      <c r="AC8" s="5" t="s">
        <v>39</v>
      </c>
      <c r="AD8" s="5" t="s">
        <v>40</v>
      </c>
      <c r="AE8" s="7" t="s">
        <v>41</v>
      </c>
      <c r="AF8" s="7" t="s">
        <v>42</v>
      </c>
      <c r="AG8" s="7" t="s">
        <v>43</v>
      </c>
      <c r="AH8" s="7" t="s">
        <v>44</v>
      </c>
      <c r="AI8" s="5" t="s">
        <v>45</v>
      </c>
      <c r="AJ8" s="5" t="s">
        <v>46</v>
      </c>
      <c r="AK8" s="5" t="s">
        <v>47</v>
      </c>
      <c r="AL8" s="7" t="s">
        <v>48</v>
      </c>
      <c r="AM8" s="7" t="s">
        <v>49</v>
      </c>
      <c r="AN8" s="7" t="s">
        <v>50</v>
      </c>
      <c r="AO8" s="7" t="s">
        <v>51</v>
      </c>
      <c r="AP8" s="7" t="s">
        <v>52</v>
      </c>
      <c r="AQ8" s="5" t="s">
        <v>53</v>
      </c>
      <c r="AR8" s="30" t="s">
        <v>54</v>
      </c>
      <c r="AS8" s="4" t="s">
        <v>55</v>
      </c>
      <c r="AT8" s="4" t="s">
        <v>56</v>
      </c>
      <c r="AU8" s="8" t="s">
        <v>57</v>
      </c>
      <c r="AV8" s="5" t="s">
        <v>58</v>
      </c>
      <c r="AW8" s="5" t="s">
        <v>59</v>
      </c>
      <c r="AX8" s="31" t="s">
        <v>60</v>
      </c>
      <c r="AY8" s="7" t="s">
        <v>61</v>
      </c>
      <c r="AZ8" s="7" t="s">
        <v>62</v>
      </c>
      <c r="BA8" s="7" t="s">
        <v>63</v>
      </c>
      <c r="BB8" s="7" t="s">
        <v>64</v>
      </c>
      <c r="BC8" s="7" t="s">
        <v>65</v>
      </c>
      <c r="BD8" s="7" t="s">
        <v>66</v>
      </c>
    </row>
    <row r="9" spans="1:57" s="211" customFormat="1" ht="15.75" customHeight="1">
      <c r="A9" s="36" t="s">
        <v>67</v>
      </c>
      <c r="B9" s="36">
        <v>1</v>
      </c>
      <c r="C9" s="33" t="s">
        <v>68</v>
      </c>
      <c r="D9" s="37" t="s">
        <v>348</v>
      </c>
      <c r="E9" s="38">
        <v>1</v>
      </c>
      <c r="F9" s="39">
        <v>1</v>
      </c>
      <c r="G9" s="213" t="s">
        <v>69</v>
      </c>
      <c r="H9" s="35">
        <v>1</v>
      </c>
      <c r="I9" s="48" t="s">
        <v>975</v>
      </c>
      <c r="J9" s="54">
        <v>0.71332555580000001</v>
      </c>
      <c r="K9" s="54">
        <v>124.32444310690001</v>
      </c>
      <c r="L9" s="112" t="s">
        <v>116</v>
      </c>
      <c r="M9" s="56" t="s">
        <v>352</v>
      </c>
      <c r="N9" s="76" t="s">
        <v>105</v>
      </c>
      <c r="O9" s="49" t="s">
        <v>118</v>
      </c>
      <c r="P9" s="76" t="s">
        <v>119</v>
      </c>
      <c r="Q9" s="49">
        <v>95717</v>
      </c>
      <c r="R9" s="51"/>
      <c r="S9" s="52"/>
      <c r="T9" s="53"/>
      <c r="U9" s="52"/>
      <c r="V9" s="53"/>
      <c r="W9" s="50" t="s">
        <v>105</v>
      </c>
      <c r="X9" s="54"/>
      <c r="Y9" s="56" t="s">
        <v>106</v>
      </c>
      <c r="Z9" s="56" t="s">
        <v>106</v>
      </c>
      <c r="AA9" s="55"/>
      <c r="AB9" s="55"/>
      <c r="AC9" s="55" t="s">
        <v>70</v>
      </c>
      <c r="AD9" s="116" t="s">
        <v>119</v>
      </c>
      <c r="AE9" s="57"/>
      <c r="AF9" s="57"/>
      <c r="AG9" s="57"/>
      <c r="AH9" s="57"/>
      <c r="AI9" s="58"/>
      <c r="AJ9" s="114" t="s">
        <v>353</v>
      </c>
      <c r="AK9" s="55" t="s">
        <v>96</v>
      </c>
      <c r="AL9" s="62"/>
      <c r="AM9" s="184"/>
      <c r="AN9" s="184"/>
      <c r="AO9" s="184"/>
      <c r="AP9" s="184"/>
      <c r="AQ9" s="185" t="s">
        <v>97</v>
      </c>
      <c r="AR9" s="59" t="s">
        <v>349</v>
      </c>
      <c r="AS9" s="60" t="str">
        <f>AS389</f>
        <v>KPBS-1.019</v>
      </c>
      <c r="AT9" s="60" t="str">
        <f>G9</f>
        <v>A01</v>
      </c>
      <c r="AU9" s="61"/>
      <c r="AV9" s="201">
        <v>0.71346105599999898</v>
      </c>
      <c r="AW9" s="201">
        <v>124.32426006839999</v>
      </c>
      <c r="AX9" s="62" t="s">
        <v>98</v>
      </c>
      <c r="AY9" s="62" t="s">
        <v>94</v>
      </c>
      <c r="AZ9" s="62" t="s">
        <v>94</v>
      </c>
      <c r="BA9" s="63" t="s">
        <v>77</v>
      </c>
      <c r="BB9" s="62" t="s">
        <v>98</v>
      </c>
      <c r="BC9" s="62">
        <v>31</v>
      </c>
      <c r="BD9" s="62" t="s">
        <v>98</v>
      </c>
      <c r="BE9" s="211" t="str">
        <f t="shared" ref="BE9:BE23" si="0">AJ9&amp;", "&amp;AD9&amp;","&amp;AI9</f>
        <v>10, POYOWA BESAR,</v>
      </c>
    </row>
    <row r="10" spans="1:57" s="211" customFormat="1" ht="15.75" customHeight="1">
      <c r="A10" s="46"/>
      <c r="B10" s="46"/>
      <c r="C10" s="22" t="s">
        <v>68</v>
      </c>
      <c r="D10" s="22" t="s">
        <v>348</v>
      </c>
      <c r="E10" s="33">
        <v>1</v>
      </c>
      <c r="F10" s="47">
        <f>F9+1</f>
        <v>2</v>
      </c>
      <c r="G10" s="214"/>
      <c r="H10" s="23">
        <v>2</v>
      </c>
      <c r="I10" s="64" t="str">
        <f t="shared" ref="I10:L24" si="1">I9</f>
        <v>EXT.MR.KTG.KPBD.P002</v>
      </c>
      <c r="J10" s="64">
        <f t="shared" si="1"/>
        <v>0.71332555580000001</v>
      </c>
      <c r="K10" s="64">
        <f t="shared" si="1"/>
        <v>124.32444310690001</v>
      </c>
      <c r="L10" s="64" t="str">
        <f t="shared" si="1"/>
        <v>JL. RAYA POYOWA BESAR</v>
      </c>
      <c r="M10" s="64" t="str">
        <f t="shared" ref="M10:M42" si="2">M9</f>
        <v>SULAWESU UTARA</v>
      </c>
      <c r="N10" s="65" t="s">
        <v>105</v>
      </c>
      <c r="O10" s="66" t="s">
        <v>118</v>
      </c>
      <c r="P10" s="65" t="s">
        <v>119</v>
      </c>
      <c r="Q10" s="66">
        <v>95717</v>
      </c>
      <c r="R10" s="67"/>
      <c r="S10" s="68"/>
      <c r="T10" s="68"/>
      <c r="U10" s="68"/>
      <c r="V10" s="68"/>
      <c r="W10" s="65" t="s">
        <v>105</v>
      </c>
      <c r="X10" s="64"/>
      <c r="Y10" s="64" t="s">
        <v>106</v>
      </c>
      <c r="Z10" s="64" t="str">
        <f t="shared" ref="Z10" si="3">Z9</f>
        <v>KELURAHAN POYOWA BESAR SATU KOTAMOBAGU</v>
      </c>
      <c r="AA10" s="65"/>
      <c r="AB10" s="65"/>
      <c r="AC10" s="65" t="s">
        <v>70</v>
      </c>
      <c r="AD10" s="64" t="str">
        <f t="shared" ref="AD10:AD24" si="4">AD9</f>
        <v>POYOWA BESAR</v>
      </c>
      <c r="AE10" s="67"/>
      <c r="AF10" s="67"/>
      <c r="AG10" s="67"/>
      <c r="AH10" s="67"/>
      <c r="AI10" s="69"/>
      <c r="AJ10" s="11" t="s">
        <v>354</v>
      </c>
      <c r="AK10" s="65" t="s">
        <v>96</v>
      </c>
      <c r="AL10" s="65"/>
      <c r="AM10" s="176"/>
      <c r="AN10" s="176"/>
      <c r="AO10" s="176"/>
      <c r="AP10" s="176"/>
      <c r="AQ10" s="177" t="s">
        <v>97</v>
      </c>
      <c r="AR10" s="70" t="s">
        <v>349</v>
      </c>
      <c r="AS10" s="71" t="str">
        <f t="shared" ref="AS10:AT24" si="5">AS9</f>
        <v>KPBS-1.019</v>
      </c>
      <c r="AT10" s="71" t="str">
        <f t="shared" si="5"/>
        <v>A01</v>
      </c>
      <c r="AU10" s="72"/>
      <c r="AV10" s="202">
        <v>0.71376410779999999</v>
      </c>
      <c r="AW10" s="202">
        <v>124.3244874586</v>
      </c>
      <c r="AX10" s="65" t="s">
        <v>98</v>
      </c>
      <c r="AY10" s="65" t="s">
        <v>94</v>
      </c>
      <c r="AZ10" s="65" t="s">
        <v>94</v>
      </c>
      <c r="BA10" s="73" t="s">
        <v>77</v>
      </c>
      <c r="BB10" s="65" t="s">
        <v>98</v>
      </c>
      <c r="BC10" s="65">
        <v>31</v>
      </c>
      <c r="BD10" s="65" t="s">
        <v>98</v>
      </c>
      <c r="BE10" s="211" t="str">
        <f t="shared" si="0"/>
        <v>1, POYOWA BESAR,</v>
      </c>
    </row>
    <row r="11" spans="1:57" s="211" customFormat="1" ht="15.75" customHeight="1">
      <c r="A11" s="221"/>
      <c r="B11" s="222"/>
      <c r="C11" s="222"/>
      <c r="D11" s="222"/>
      <c r="E11" s="222"/>
      <c r="F11" s="222"/>
      <c r="G11" s="223"/>
      <c r="H11" s="23">
        <v>3</v>
      </c>
      <c r="I11" s="64" t="str">
        <f t="shared" si="1"/>
        <v>EXT.MR.KTG.KPBD.P002</v>
      </c>
      <c r="J11" s="64">
        <f t="shared" si="1"/>
        <v>0.71332555580000001</v>
      </c>
      <c r="K11" s="64">
        <f t="shared" si="1"/>
        <v>124.32444310690001</v>
      </c>
      <c r="L11" s="64" t="str">
        <f t="shared" si="1"/>
        <v>JL. RAYA POYOWA BESAR</v>
      </c>
      <c r="M11" s="64" t="str">
        <f t="shared" si="2"/>
        <v>SULAWESU UTARA</v>
      </c>
      <c r="N11" s="65" t="s">
        <v>105</v>
      </c>
      <c r="O11" s="66" t="s">
        <v>118</v>
      </c>
      <c r="P11" s="65" t="s">
        <v>119</v>
      </c>
      <c r="Q11" s="66">
        <v>95717</v>
      </c>
      <c r="R11" s="67"/>
      <c r="S11" s="68"/>
      <c r="T11" s="68"/>
      <c r="U11" s="68"/>
      <c r="V11" s="68"/>
      <c r="W11" s="65" t="s">
        <v>105</v>
      </c>
      <c r="X11" s="64"/>
      <c r="Y11" s="64" t="s">
        <v>106</v>
      </c>
      <c r="Z11" s="64" t="str">
        <f t="shared" ref="Z11:Z73" si="6">Z10</f>
        <v>KELURAHAN POYOWA BESAR SATU KOTAMOBAGU</v>
      </c>
      <c r="AA11" s="65"/>
      <c r="AB11" s="65"/>
      <c r="AC11" s="65" t="s">
        <v>70</v>
      </c>
      <c r="AD11" s="64" t="str">
        <f t="shared" si="4"/>
        <v>POYOWA BESAR</v>
      </c>
      <c r="AE11" s="67"/>
      <c r="AF11" s="67"/>
      <c r="AG11" s="67"/>
      <c r="AH11" s="67"/>
      <c r="AI11" s="69"/>
      <c r="AJ11" s="11" t="s">
        <v>355</v>
      </c>
      <c r="AK11" s="65" t="s">
        <v>96</v>
      </c>
      <c r="AL11" s="65"/>
      <c r="AM11" s="176"/>
      <c r="AN11" s="176"/>
      <c r="AO11" s="176"/>
      <c r="AP11" s="176"/>
      <c r="AQ11" s="177" t="s">
        <v>97</v>
      </c>
      <c r="AR11" s="70" t="s">
        <v>349</v>
      </c>
      <c r="AS11" s="71" t="str">
        <f t="shared" si="5"/>
        <v>KPBS-1.019</v>
      </c>
      <c r="AT11" s="71" t="str">
        <f t="shared" si="5"/>
        <v>A01</v>
      </c>
      <c r="AU11" s="72"/>
      <c r="AV11" s="202">
        <v>0.71370172369999896</v>
      </c>
      <c r="AW11" s="202">
        <v>124.32448480959999</v>
      </c>
      <c r="AX11" s="65" t="s">
        <v>98</v>
      </c>
      <c r="AY11" s="65" t="s">
        <v>94</v>
      </c>
      <c r="AZ11" s="65" t="s">
        <v>94</v>
      </c>
      <c r="BA11" s="73" t="s">
        <v>77</v>
      </c>
      <c r="BB11" s="65" t="s">
        <v>98</v>
      </c>
      <c r="BC11" s="65">
        <v>31</v>
      </c>
      <c r="BD11" s="65" t="s">
        <v>98</v>
      </c>
      <c r="BE11" s="211" t="str">
        <f t="shared" si="0"/>
        <v>2, POYOWA BESAR,</v>
      </c>
    </row>
    <row r="12" spans="1:57" s="211" customFormat="1" ht="15.75" customHeight="1">
      <c r="A12" s="224"/>
      <c r="B12" s="225"/>
      <c r="C12" s="225"/>
      <c r="D12" s="225"/>
      <c r="E12" s="225"/>
      <c r="F12" s="225"/>
      <c r="G12" s="226"/>
      <c r="H12" s="23">
        <v>4</v>
      </c>
      <c r="I12" s="64" t="str">
        <f t="shared" si="1"/>
        <v>EXT.MR.KTG.KPBD.P002</v>
      </c>
      <c r="J12" s="64">
        <f t="shared" si="1"/>
        <v>0.71332555580000001</v>
      </c>
      <c r="K12" s="64">
        <f t="shared" si="1"/>
        <v>124.32444310690001</v>
      </c>
      <c r="L12" s="64" t="str">
        <f t="shared" si="1"/>
        <v>JL. RAYA POYOWA BESAR</v>
      </c>
      <c r="M12" s="64" t="str">
        <f t="shared" si="2"/>
        <v>SULAWESU UTARA</v>
      </c>
      <c r="N12" s="65" t="s">
        <v>105</v>
      </c>
      <c r="O12" s="66" t="s">
        <v>118</v>
      </c>
      <c r="P12" s="65" t="s">
        <v>119</v>
      </c>
      <c r="Q12" s="66">
        <v>95717</v>
      </c>
      <c r="R12" s="67"/>
      <c r="S12" s="68"/>
      <c r="T12" s="68"/>
      <c r="U12" s="68"/>
      <c r="V12" s="68"/>
      <c r="W12" s="65" t="s">
        <v>105</v>
      </c>
      <c r="X12" s="64"/>
      <c r="Y12" s="64" t="s">
        <v>106</v>
      </c>
      <c r="Z12" s="64" t="str">
        <f t="shared" si="6"/>
        <v>KELURAHAN POYOWA BESAR SATU KOTAMOBAGU</v>
      </c>
      <c r="AA12" s="65"/>
      <c r="AB12" s="65"/>
      <c r="AC12" s="65" t="s">
        <v>70</v>
      </c>
      <c r="AD12" s="64" t="str">
        <f t="shared" si="4"/>
        <v>POYOWA BESAR</v>
      </c>
      <c r="AE12" s="67"/>
      <c r="AF12" s="67"/>
      <c r="AG12" s="67"/>
      <c r="AH12" s="67"/>
      <c r="AI12" s="69"/>
      <c r="AJ12" s="11" t="s">
        <v>356</v>
      </c>
      <c r="AK12" s="65" t="s">
        <v>96</v>
      </c>
      <c r="AL12" s="65"/>
      <c r="AM12" s="176"/>
      <c r="AN12" s="176"/>
      <c r="AO12" s="176"/>
      <c r="AP12" s="176"/>
      <c r="AQ12" s="177" t="s">
        <v>97</v>
      </c>
      <c r="AR12" s="70" t="s">
        <v>349</v>
      </c>
      <c r="AS12" s="71" t="str">
        <f t="shared" si="5"/>
        <v>KPBS-1.019</v>
      </c>
      <c r="AT12" s="71" t="str">
        <f t="shared" si="5"/>
        <v>A01</v>
      </c>
      <c r="AU12" s="72"/>
      <c r="AV12" s="202">
        <v>0.71363917980000002</v>
      </c>
      <c r="AW12" s="202">
        <v>124.3244940809</v>
      </c>
      <c r="AX12" s="65" t="s">
        <v>98</v>
      </c>
      <c r="AY12" s="65" t="s">
        <v>94</v>
      </c>
      <c r="AZ12" s="65" t="s">
        <v>94</v>
      </c>
      <c r="BA12" s="73" t="s">
        <v>77</v>
      </c>
      <c r="BB12" s="65" t="s">
        <v>98</v>
      </c>
      <c r="BC12" s="65">
        <v>31</v>
      </c>
      <c r="BD12" s="65" t="s">
        <v>98</v>
      </c>
      <c r="BE12" s="211" t="str">
        <f t="shared" si="0"/>
        <v>3, POYOWA BESAR,</v>
      </c>
    </row>
    <row r="13" spans="1:57" s="211" customFormat="1" ht="15.75" customHeight="1">
      <c r="A13" s="224"/>
      <c r="B13" s="225"/>
      <c r="C13" s="225"/>
      <c r="D13" s="225"/>
      <c r="E13" s="225"/>
      <c r="F13" s="225"/>
      <c r="G13" s="226"/>
      <c r="H13" s="23">
        <v>5</v>
      </c>
      <c r="I13" s="64" t="str">
        <f t="shared" si="1"/>
        <v>EXT.MR.KTG.KPBD.P002</v>
      </c>
      <c r="J13" s="64">
        <f t="shared" si="1"/>
        <v>0.71332555580000001</v>
      </c>
      <c r="K13" s="64">
        <f t="shared" si="1"/>
        <v>124.32444310690001</v>
      </c>
      <c r="L13" s="64" t="str">
        <f t="shared" si="1"/>
        <v>JL. RAYA POYOWA BESAR</v>
      </c>
      <c r="M13" s="64" t="str">
        <f t="shared" si="2"/>
        <v>SULAWESU UTARA</v>
      </c>
      <c r="N13" s="65" t="s">
        <v>105</v>
      </c>
      <c r="O13" s="66" t="s">
        <v>118</v>
      </c>
      <c r="P13" s="65" t="s">
        <v>119</v>
      </c>
      <c r="Q13" s="66">
        <v>95717</v>
      </c>
      <c r="R13" s="67"/>
      <c r="S13" s="68"/>
      <c r="T13" s="68"/>
      <c r="U13" s="68"/>
      <c r="V13" s="68"/>
      <c r="W13" s="65" t="s">
        <v>105</v>
      </c>
      <c r="X13" s="64"/>
      <c r="Y13" s="64" t="s">
        <v>106</v>
      </c>
      <c r="Z13" s="64" t="str">
        <f t="shared" si="6"/>
        <v>KELURAHAN POYOWA BESAR SATU KOTAMOBAGU</v>
      </c>
      <c r="AA13" s="65"/>
      <c r="AB13" s="65"/>
      <c r="AC13" s="65" t="s">
        <v>70</v>
      </c>
      <c r="AD13" s="64" t="str">
        <f t="shared" si="4"/>
        <v>POYOWA BESAR</v>
      </c>
      <c r="AE13" s="67"/>
      <c r="AF13" s="67"/>
      <c r="AG13" s="67"/>
      <c r="AH13" s="67"/>
      <c r="AI13" s="69"/>
      <c r="AJ13" s="11" t="s">
        <v>357</v>
      </c>
      <c r="AK13" s="65" t="s">
        <v>96</v>
      </c>
      <c r="AL13" s="65"/>
      <c r="AM13" s="176"/>
      <c r="AN13" s="176"/>
      <c r="AO13" s="176"/>
      <c r="AP13" s="176"/>
      <c r="AQ13" s="177" t="s">
        <v>97</v>
      </c>
      <c r="AR13" s="70" t="s">
        <v>349</v>
      </c>
      <c r="AS13" s="71" t="str">
        <f t="shared" si="5"/>
        <v>KPBS-1.019</v>
      </c>
      <c r="AT13" s="71" t="str">
        <f t="shared" si="5"/>
        <v>A01</v>
      </c>
      <c r="AU13" s="72"/>
      <c r="AV13" s="202">
        <v>0.71356762740000002</v>
      </c>
      <c r="AW13" s="202">
        <v>124.3245086503</v>
      </c>
      <c r="AX13" s="65" t="s">
        <v>98</v>
      </c>
      <c r="AY13" s="65" t="s">
        <v>94</v>
      </c>
      <c r="AZ13" s="65" t="s">
        <v>94</v>
      </c>
      <c r="BA13" s="73" t="s">
        <v>77</v>
      </c>
      <c r="BB13" s="65" t="s">
        <v>98</v>
      </c>
      <c r="BC13" s="65">
        <v>31</v>
      </c>
      <c r="BD13" s="65" t="s">
        <v>98</v>
      </c>
      <c r="BE13" s="211" t="str">
        <f t="shared" si="0"/>
        <v>4, POYOWA BESAR,</v>
      </c>
    </row>
    <row r="14" spans="1:57" s="211" customFormat="1" ht="15.75" customHeight="1">
      <c r="A14" s="224"/>
      <c r="B14" s="225"/>
      <c r="C14" s="225"/>
      <c r="D14" s="225"/>
      <c r="E14" s="225"/>
      <c r="F14" s="225"/>
      <c r="G14" s="226"/>
      <c r="H14" s="23">
        <v>6</v>
      </c>
      <c r="I14" s="64" t="str">
        <f t="shared" si="1"/>
        <v>EXT.MR.KTG.KPBD.P002</v>
      </c>
      <c r="J14" s="64">
        <f t="shared" si="1"/>
        <v>0.71332555580000001</v>
      </c>
      <c r="K14" s="64">
        <f t="shared" si="1"/>
        <v>124.32444310690001</v>
      </c>
      <c r="L14" s="64" t="str">
        <f t="shared" si="1"/>
        <v>JL. RAYA POYOWA BESAR</v>
      </c>
      <c r="M14" s="64" t="str">
        <f t="shared" si="2"/>
        <v>SULAWESU UTARA</v>
      </c>
      <c r="N14" s="65" t="s">
        <v>105</v>
      </c>
      <c r="O14" s="66" t="s">
        <v>118</v>
      </c>
      <c r="P14" s="65" t="s">
        <v>119</v>
      </c>
      <c r="Q14" s="66">
        <v>95717</v>
      </c>
      <c r="R14" s="67"/>
      <c r="S14" s="68"/>
      <c r="T14" s="74"/>
      <c r="U14" s="74"/>
      <c r="V14" s="74"/>
      <c r="W14" s="65" t="s">
        <v>105</v>
      </c>
      <c r="X14" s="64"/>
      <c r="Y14" s="64" t="s">
        <v>106</v>
      </c>
      <c r="Z14" s="64" t="str">
        <f t="shared" si="6"/>
        <v>KELURAHAN POYOWA BESAR SATU KOTAMOBAGU</v>
      </c>
      <c r="AA14" s="65"/>
      <c r="AB14" s="65"/>
      <c r="AC14" s="65" t="s">
        <v>70</v>
      </c>
      <c r="AD14" s="64" t="str">
        <f t="shared" si="4"/>
        <v>POYOWA BESAR</v>
      </c>
      <c r="AE14" s="75"/>
      <c r="AF14" s="75"/>
      <c r="AG14" s="75"/>
      <c r="AH14" s="75"/>
      <c r="AI14" s="69"/>
      <c r="AJ14" s="11" t="s">
        <v>358</v>
      </c>
      <c r="AK14" s="65" t="s">
        <v>96</v>
      </c>
      <c r="AL14" s="65"/>
      <c r="AM14" s="176"/>
      <c r="AN14" s="176"/>
      <c r="AO14" s="176"/>
      <c r="AP14" s="176"/>
      <c r="AQ14" s="186" t="s">
        <v>97</v>
      </c>
      <c r="AR14" s="70" t="s">
        <v>349</v>
      </c>
      <c r="AS14" s="71" t="str">
        <f t="shared" si="5"/>
        <v>KPBS-1.019</v>
      </c>
      <c r="AT14" s="71" t="str">
        <f t="shared" si="5"/>
        <v>A01</v>
      </c>
      <c r="AU14" s="72"/>
      <c r="AV14" s="202">
        <v>0.71354080450000001</v>
      </c>
      <c r="AW14" s="202">
        <v>124.3244225589</v>
      </c>
      <c r="AX14" s="65" t="s">
        <v>98</v>
      </c>
      <c r="AY14" s="65" t="s">
        <v>94</v>
      </c>
      <c r="AZ14" s="65" t="s">
        <v>94</v>
      </c>
      <c r="BA14" s="73" t="s">
        <v>77</v>
      </c>
      <c r="BB14" s="65" t="s">
        <v>98</v>
      </c>
      <c r="BC14" s="65">
        <v>31</v>
      </c>
      <c r="BD14" s="65" t="s">
        <v>98</v>
      </c>
      <c r="BE14" s="211" t="str">
        <f t="shared" si="0"/>
        <v>5, POYOWA BESAR,</v>
      </c>
    </row>
    <row r="15" spans="1:57" s="211" customFormat="1" ht="15.75" customHeight="1">
      <c r="A15" s="224"/>
      <c r="B15" s="225"/>
      <c r="C15" s="225"/>
      <c r="D15" s="225"/>
      <c r="E15" s="225"/>
      <c r="F15" s="225"/>
      <c r="G15" s="226"/>
      <c r="H15" s="23">
        <v>7</v>
      </c>
      <c r="I15" s="64" t="str">
        <f t="shared" si="1"/>
        <v>EXT.MR.KTG.KPBD.P002</v>
      </c>
      <c r="J15" s="64">
        <f t="shared" si="1"/>
        <v>0.71332555580000001</v>
      </c>
      <c r="K15" s="64">
        <f t="shared" si="1"/>
        <v>124.32444310690001</v>
      </c>
      <c r="L15" s="64" t="str">
        <f t="shared" si="1"/>
        <v>JL. RAYA POYOWA BESAR</v>
      </c>
      <c r="M15" s="64" t="str">
        <f t="shared" si="2"/>
        <v>SULAWESU UTARA</v>
      </c>
      <c r="N15" s="65" t="s">
        <v>105</v>
      </c>
      <c r="O15" s="66" t="s">
        <v>118</v>
      </c>
      <c r="P15" s="65" t="s">
        <v>119</v>
      </c>
      <c r="Q15" s="66">
        <v>95717</v>
      </c>
      <c r="R15" s="67"/>
      <c r="S15" s="68"/>
      <c r="T15" s="68"/>
      <c r="U15" s="68"/>
      <c r="V15" s="68"/>
      <c r="W15" s="65" t="s">
        <v>105</v>
      </c>
      <c r="X15" s="64"/>
      <c r="Y15" s="64" t="s">
        <v>106</v>
      </c>
      <c r="Z15" s="64" t="str">
        <f t="shared" si="6"/>
        <v>KELURAHAN POYOWA BESAR SATU KOTAMOBAGU</v>
      </c>
      <c r="AA15" s="65"/>
      <c r="AB15" s="65"/>
      <c r="AC15" s="65" t="s">
        <v>70</v>
      </c>
      <c r="AD15" s="64" t="str">
        <f t="shared" si="4"/>
        <v>POYOWA BESAR</v>
      </c>
      <c r="AE15" s="67"/>
      <c r="AF15" s="67"/>
      <c r="AG15" s="67"/>
      <c r="AH15" s="67"/>
      <c r="AI15" s="69"/>
      <c r="AJ15" s="11" t="s">
        <v>359</v>
      </c>
      <c r="AK15" s="65" t="s">
        <v>96</v>
      </c>
      <c r="AL15" s="65"/>
      <c r="AM15" s="65"/>
      <c r="AN15" s="65"/>
      <c r="AO15" s="65"/>
      <c r="AP15" s="65"/>
      <c r="AQ15" s="177" t="s">
        <v>97</v>
      </c>
      <c r="AR15" s="70" t="s">
        <v>349</v>
      </c>
      <c r="AS15" s="71" t="str">
        <f t="shared" si="5"/>
        <v>KPBS-1.019</v>
      </c>
      <c r="AT15" s="71" t="str">
        <f t="shared" si="5"/>
        <v>A01</v>
      </c>
      <c r="AU15" s="72"/>
      <c r="AV15" s="202">
        <v>0.71349185329999998</v>
      </c>
      <c r="AW15" s="202">
        <v>124.3243391167</v>
      </c>
      <c r="AX15" s="65" t="s">
        <v>98</v>
      </c>
      <c r="AY15" s="65" t="s">
        <v>94</v>
      </c>
      <c r="AZ15" s="65" t="s">
        <v>94</v>
      </c>
      <c r="BA15" s="73" t="s">
        <v>77</v>
      </c>
      <c r="BB15" s="65" t="s">
        <v>98</v>
      </c>
      <c r="BC15" s="65">
        <v>31</v>
      </c>
      <c r="BD15" s="65" t="s">
        <v>98</v>
      </c>
      <c r="BE15" s="211" t="str">
        <f t="shared" si="0"/>
        <v>6, POYOWA BESAR,</v>
      </c>
    </row>
    <row r="16" spans="1:57" s="211" customFormat="1" ht="15.75" customHeight="1">
      <c r="A16" s="224"/>
      <c r="B16" s="225"/>
      <c r="C16" s="225"/>
      <c r="D16" s="225"/>
      <c r="E16" s="225"/>
      <c r="F16" s="225"/>
      <c r="G16" s="226"/>
      <c r="H16" s="23">
        <v>8</v>
      </c>
      <c r="I16" s="64" t="str">
        <f t="shared" si="1"/>
        <v>EXT.MR.KTG.KPBD.P002</v>
      </c>
      <c r="J16" s="64">
        <f t="shared" si="1"/>
        <v>0.71332555580000001</v>
      </c>
      <c r="K16" s="64">
        <f t="shared" si="1"/>
        <v>124.32444310690001</v>
      </c>
      <c r="L16" s="64" t="str">
        <f t="shared" si="1"/>
        <v>JL. RAYA POYOWA BESAR</v>
      </c>
      <c r="M16" s="64" t="str">
        <f t="shared" si="2"/>
        <v>SULAWESU UTARA</v>
      </c>
      <c r="N16" s="65" t="s">
        <v>105</v>
      </c>
      <c r="O16" s="66" t="s">
        <v>118</v>
      </c>
      <c r="P16" s="65" t="s">
        <v>119</v>
      </c>
      <c r="Q16" s="66">
        <v>95717</v>
      </c>
      <c r="R16" s="67"/>
      <c r="S16" s="68"/>
      <c r="T16" s="68"/>
      <c r="U16" s="68"/>
      <c r="V16" s="68"/>
      <c r="W16" s="64" t="s">
        <v>105</v>
      </c>
      <c r="X16" s="64"/>
      <c r="Y16" s="64" t="s">
        <v>106</v>
      </c>
      <c r="Z16" s="64" t="str">
        <f t="shared" si="6"/>
        <v>KELURAHAN POYOWA BESAR SATU KOTAMOBAGU</v>
      </c>
      <c r="AA16" s="65"/>
      <c r="AB16" s="65"/>
      <c r="AC16" s="65" t="s">
        <v>70</v>
      </c>
      <c r="AD16" s="64" t="str">
        <f t="shared" si="4"/>
        <v>POYOWA BESAR</v>
      </c>
      <c r="AE16" s="67"/>
      <c r="AF16" s="67"/>
      <c r="AG16" s="67"/>
      <c r="AH16" s="67"/>
      <c r="AI16" s="69"/>
      <c r="AJ16" s="11" t="s">
        <v>360</v>
      </c>
      <c r="AK16" s="65" t="s">
        <v>96</v>
      </c>
      <c r="AL16" s="65"/>
      <c r="AM16" s="65"/>
      <c r="AN16" s="65"/>
      <c r="AO16" s="65"/>
      <c r="AP16" s="65"/>
      <c r="AQ16" s="177" t="s">
        <v>97</v>
      </c>
      <c r="AR16" s="70" t="s">
        <v>349</v>
      </c>
      <c r="AS16" s="71" t="str">
        <f t="shared" si="5"/>
        <v>KPBS-1.019</v>
      </c>
      <c r="AT16" s="71" t="str">
        <f t="shared" si="5"/>
        <v>A01</v>
      </c>
      <c r="AU16" s="72"/>
      <c r="AV16" s="202">
        <v>0.71324337530000004</v>
      </c>
      <c r="AW16" s="202">
        <v>124.324589507</v>
      </c>
      <c r="AX16" s="65" t="s">
        <v>98</v>
      </c>
      <c r="AY16" s="65" t="s">
        <v>94</v>
      </c>
      <c r="AZ16" s="65" t="s">
        <v>94</v>
      </c>
      <c r="BA16" s="73" t="s">
        <v>77</v>
      </c>
      <c r="BB16" s="65" t="s">
        <v>98</v>
      </c>
      <c r="BC16" s="65">
        <v>31</v>
      </c>
      <c r="BD16" s="65" t="s">
        <v>98</v>
      </c>
      <c r="BE16" s="211" t="str">
        <f t="shared" si="0"/>
        <v>7, POYOWA BESAR,</v>
      </c>
    </row>
    <row r="17" spans="1:57" s="211" customFormat="1" ht="15.75" customHeight="1">
      <c r="A17" s="224"/>
      <c r="B17" s="225"/>
      <c r="C17" s="225"/>
      <c r="D17" s="225"/>
      <c r="E17" s="225"/>
      <c r="F17" s="225"/>
      <c r="G17" s="226"/>
      <c r="H17" s="23">
        <v>9</v>
      </c>
      <c r="I17" s="64" t="str">
        <f t="shared" si="1"/>
        <v>EXT.MR.KTG.KPBD.P002</v>
      </c>
      <c r="J17" s="64">
        <f t="shared" si="1"/>
        <v>0.71332555580000001</v>
      </c>
      <c r="K17" s="64">
        <f t="shared" si="1"/>
        <v>124.32444310690001</v>
      </c>
      <c r="L17" s="64" t="str">
        <f t="shared" si="1"/>
        <v>JL. RAYA POYOWA BESAR</v>
      </c>
      <c r="M17" s="64" t="str">
        <f t="shared" si="2"/>
        <v>SULAWESU UTARA</v>
      </c>
      <c r="N17" s="65" t="s">
        <v>105</v>
      </c>
      <c r="O17" s="66" t="s">
        <v>118</v>
      </c>
      <c r="P17" s="65" t="s">
        <v>119</v>
      </c>
      <c r="Q17" s="66">
        <v>95717</v>
      </c>
      <c r="R17" s="67"/>
      <c r="S17" s="68"/>
      <c r="T17" s="68"/>
      <c r="U17" s="68"/>
      <c r="V17" s="68"/>
      <c r="W17" s="64" t="s">
        <v>105</v>
      </c>
      <c r="X17" s="64"/>
      <c r="Y17" s="64" t="s">
        <v>106</v>
      </c>
      <c r="Z17" s="64" t="str">
        <f t="shared" si="6"/>
        <v>KELURAHAN POYOWA BESAR SATU KOTAMOBAGU</v>
      </c>
      <c r="AA17" s="65"/>
      <c r="AB17" s="65"/>
      <c r="AC17" s="65" t="s">
        <v>70</v>
      </c>
      <c r="AD17" s="64" t="str">
        <f t="shared" si="4"/>
        <v>POYOWA BESAR</v>
      </c>
      <c r="AE17" s="67"/>
      <c r="AF17" s="67"/>
      <c r="AG17" s="67"/>
      <c r="AH17" s="67"/>
      <c r="AI17" s="69"/>
      <c r="AJ17" s="11" t="s">
        <v>361</v>
      </c>
      <c r="AK17" s="65" t="s">
        <v>96</v>
      </c>
      <c r="AL17" s="65"/>
      <c r="AM17" s="65"/>
      <c r="AN17" s="65"/>
      <c r="AO17" s="65"/>
      <c r="AP17" s="65"/>
      <c r="AQ17" s="177" t="s">
        <v>97</v>
      </c>
      <c r="AR17" s="70" t="s">
        <v>349</v>
      </c>
      <c r="AS17" s="71" t="str">
        <f t="shared" si="5"/>
        <v>KPBS-1.019</v>
      </c>
      <c r="AT17" s="71" t="str">
        <f t="shared" si="5"/>
        <v>A01</v>
      </c>
      <c r="AU17" s="72"/>
      <c r="AV17" s="202">
        <v>0.71320488289999895</v>
      </c>
      <c r="AW17" s="202">
        <v>124.3245272563</v>
      </c>
      <c r="AX17" s="65" t="s">
        <v>98</v>
      </c>
      <c r="AY17" s="65" t="s">
        <v>94</v>
      </c>
      <c r="AZ17" s="65" t="s">
        <v>94</v>
      </c>
      <c r="BA17" s="73" t="s">
        <v>77</v>
      </c>
      <c r="BB17" s="65" t="s">
        <v>98</v>
      </c>
      <c r="BC17" s="65">
        <v>31</v>
      </c>
      <c r="BD17" s="65" t="s">
        <v>98</v>
      </c>
      <c r="BE17" s="211" t="str">
        <f t="shared" si="0"/>
        <v>8, POYOWA BESAR,</v>
      </c>
    </row>
    <row r="18" spans="1:57" s="211" customFormat="1" ht="15.75" customHeight="1">
      <c r="A18" s="224"/>
      <c r="B18" s="225"/>
      <c r="C18" s="225"/>
      <c r="D18" s="225"/>
      <c r="E18" s="225"/>
      <c r="F18" s="225"/>
      <c r="G18" s="226"/>
      <c r="H18" s="23">
        <v>10</v>
      </c>
      <c r="I18" s="64" t="str">
        <f t="shared" si="1"/>
        <v>EXT.MR.KTG.KPBD.P002</v>
      </c>
      <c r="J18" s="64">
        <f t="shared" si="1"/>
        <v>0.71332555580000001</v>
      </c>
      <c r="K18" s="64">
        <f t="shared" si="1"/>
        <v>124.32444310690001</v>
      </c>
      <c r="L18" s="64" t="str">
        <f t="shared" si="1"/>
        <v>JL. RAYA POYOWA BESAR</v>
      </c>
      <c r="M18" s="64" t="str">
        <f t="shared" si="2"/>
        <v>SULAWESU UTARA</v>
      </c>
      <c r="N18" s="65" t="s">
        <v>105</v>
      </c>
      <c r="O18" s="66" t="s">
        <v>118</v>
      </c>
      <c r="P18" s="65" t="s">
        <v>119</v>
      </c>
      <c r="Q18" s="66">
        <v>95717</v>
      </c>
      <c r="R18" s="67"/>
      <c r="S18" s="68"/>
      <c r="T18" s="68"/>
      <c r="U18" s="68"/>
      <c r="V18" s="68"/>
      <c r="W18" s="64" t="s">
        <v>105</v>
      </c>
      <c r="X18" s="64"/>
      <c r="Y18" s="64" t="s">
        <v>106</v>
      </c>
      <c r="Z18" s="64" t="str">
        <f t="shared" si="6"/>
        <v>KELURAHAN POYOWA BESAR SATU KOTAMOBAGU</v>
      </c>
      <c r="AA18" s="65"/>
      <c r="AB18" s="65"/>
      <c r="AC18" s="65" t="s">
        <v>70</v>
      </c>
      <c r="AD18" s="64" t="str">
        <f t="shared" si="4"/>
        <v>POYOWA BESAR</v>
      </c>
      <c r="AE18" s="67"/>
      <c r="AF18" s="67"/>
      <c r="AG18" s="67"/>
      <c r="AH18" s="67"/>
      <c r="AI18" s="69"/>
      <c r="AJ18" s="11" t="s">
        <v>362</v>
      </c>
      <c r="AK18" s="65" t="s">
        <v>96</v>
      </c>
      <c r="AL18" s="65"/>
      <c r="AM18" s="65"/>
      <c r="AN18" s="65"/>
      <c r="AO18" s="65"/>
      <c r="AP18" s="65"/>
      <c r="AQ18" s="177" t="s">
        <v>97</v>
      </c>
      <c r="AR18" s="70" t="s">
        <v>349</v>
      </c>
      <c r="AS18" s="71" t="str">
        <f t="shared" si="5"/>
        <v>KPBS-1.019</v>
      </c>
      <c r="AT18" s="71" t="str">
        <f t="shared" si="5"/>
        <v>A01</v>
      </c>
      <c r="AU18" s="72"/>
      <c r="AV18" s="202">
        <v>0.713200901</v>
      </c>
      <c r="AW18" s="202">
        <v>124.3244279203</v>
      </c>
      <c r="AX18" s="65" t="s">
        <v>98</v>
      </c>
      <c r="AY18" s="65" t="s">
        <v>94</v>
      </c>
      <c r="AZ18" s="65" t="s">
        <v>94</v>
      </c>
      <c r="BA18" s="73" t="s">
        <v>77</v>
      </c>
      <c r="BB18" s="65" t="s">
        <v>98</v>
      </c>
      <c r="BC18" s="65">
        <v>31</v>
      </c>
      <c r="BD18" s="65" t="s">
        <v>98</v>
      </c>
      <c r="BE18" s="211" t="str">
        <f t="shared" si="0"/>
        <v>9, POYOWA BESAR,</v>
      </c>
    </row>
    <row r="19" spans="1:57" s="211" customFormat="1" ht="15.75" customHeight="1">
      <c r="A19" s="224"/>
      <c r="B19" s="225"/>
      <c r="C19" s="225"/>
      <c r="D19" s="225"/>
      <c r="E19" s="225"/>
      <c r="F19" s="225"/>
      <c r="G19" s="226"/>
      <c r="H19" s="23">
        <v>11</v>
      </c>
      <c r="I19" s="64" t="str">
        <f t="shared" ref="I19:L19" si="7">I18</f>
        <v>EXT.MR.KTG.KPBD.P002</v>
      </c>
      <c r="J19" s="64">
        <f t="shared" si="7"/>
        <v>0.71332555580000001</v>
      </c>
      <c r="K19" s="64">
        <f t="shared" si="7"/>
        <v>124.32444310690001</v>
      </c>
      <c r="L19" s="64" t="str">
        <f t="shared" si="7"/>
        <v>JL. RAYA POYOWA BESAR</v>
      </c>
      <c r="M19" s="64" t="str">
        <f t="shared" ref="M19:M21" si="8">M18</f>
        <v>SULAWESU UTARA</v>
      </c>
      <c r="N19" s="65" t="s">
        <v>105</v>
      </c>
      <c r="O19" s="66" t="s">
        <v>118</v>
      </c>
      <c r="P19" s="65" t="s">
        <v>119</v>
      </c>
      <c r="Q19" s="66">
        <v>95717</v>
      </c>
      <c r="R19" s="67"/>
      <c r="S19" s="68"/>
      <c r="T19" s="68"/>
      <c r="U19" s="68"/>
      <c r="V19" s="68"/>
      <c r="W19" s="64" t="s">
        <v>105</v>
      </c>
      <c r="X19" s="64"/>
      <c r="Y19" s="64" t="s">
        <v>106</v>
      </c>
      <c r="Z19" s="64" t="str">
        <f t="shared" ref="Z19:Z21" si="9">Z18</f>
        <v>KELURAHAN POYOWA BESAR SATU KOTAMOBAGU</v>
      </c>
      <c r="AA19" s="65"/>
      <c r="AB19" s="65"/>
      <c r="AC19" s="65" t="s">
        <v>70</v>
      </c>
      <c r="AD19" s="64" t="str">
        <f t="shared" si="4"/>
        <v>POYOWA BESAR</v>
      </c>
      <c r="AE19" s="66"/>
      <c r="AF19" s="66"/>
      <c r="AG19" s="66"/>
      <c r="AH19" s="66"/>
      <c r="AI19" s="69"/>
      <c r="AJ19" s="11" t="s">
        <v>363</v>
      </c>
      <c r="AK19" s="65" t="s">
        <v>96</v>
      </c>
      <c r="AL19" s="65"/>
      <c r="AM19" s="65"/>
      <c r="AN19" s="65"/>
      <c r="AO19" s="65"/>
      <c r="AP19" s="65"/>
      <c r="AQ19" s="177" t="s">
        <v>97</v>
      </c>
      <c r="AR19" s="70" t="s">
        <v>349</v>
      </c>
      <c r="AS19" s="71" t="str">
        <f t="shared" si="5"/>
        <v>KPBS-1.019</v>
      </c>
      <c r="AT19" s="71" t="str">
        <f t="shared" si="5"/>
        <v>A01</v>
      </c>
      <c r="AU19" s="72"/>
      <c r="AV19" s="202">
        <v>0.71315327110000004</v>
      </c>
      <c r="AW19" s="202">
        <v>124.32437794720001</v>
      </c>
      <c r="AX19" s="65" t="s">
        <v>98</v>
      </c>
      <c r="AY19" s="65" t="s">
        <v>94</v>
      </c>
      <c r="AZ19" s="65" t="s">
        <v>94</v>
      </c>
      <c r="BA19" s="73" t="s">
        <v>77</v>
      </c>
      <c r="BB19" s="65" t="s">
        <v>98</v>
      </c>
      <c r="BC19" s="65">
        <v>31</v>
      </c>
      <c r="BD19" s="65" t="s">
        <v>98</v>
      </c>
      <c r="BE19" s="211" t="str">
        <f t="shared" si="0"/>
        <v>11, POYOWA BESAR,</v>
      </c>
    </row>
    <row r="20" spans="1:57" s="211" customFormat="1" ht="15.75" customHeight="1">
      <c r="A20" s="224"/>
      <c r="B20" s="225"/>
      <c r="C20" s="225"/>
      <c r="D20" s="225"/>
      <c r="E20" s="225"/>
      <c r="F20" s="225"/>
      <c r="G20" s="226"/>
      <c r="H20" s="23">
        <v>12</v>
      </c>
      <c r="I20" s="64" t="str">
        <f t="shared" ref="I20:L20" si="10">I19</f>
        <v>EXT.MR.KTG.KPBD.P002</v>
      </c>
      <c r="J20" s="64">
        <f t="shared" si="10"/>
        <v>0.71332555580000001</v>
      </c>
      <c r="K20" s="64">
        <f t="shared" si="10"/>
        <v>124.32444310690001</v>
      </c>
      <c r="L20" s="64" t="str">
        <f t="shared" si="10"/>
        <v>JL. RAYA POYOWA BESAR</v>
      </c>
      <c r="M20" s="64" t="str">
        <f t="shared" si="8"/>
        <v>SULAWESU UTARA</v>
      </c>
      <c r="N20" s="65" t="s">
        <v>105</v>
      </c>
      <c r="O20" s="66" t="s">
        <v>118</v>
      </c>
      <c r="P20" s="65" t="s">
        <v>119</v>
      </c>
      <c r="Q20" s="66">
        <v>95717</v>
      </c>
      <c r="R20" s="67"/>
      <c r="S20" s="68"/>
      <c r="T20" s="68"/>
      <c r="U20" s="68"/>
      <c r="V20" s="68"/>
      <c r="W20" s="64" t="s">
        <v>105</v>
      </c>
      <c r="X20" s="64"/>
      <c r="Y20" s="64" t="s">
        <v>106</v>
      </c>
      <c r="Z20" s="64" t="str">
        <f t="shared" si="9"/>
        <v>KELURAHAN POYOWA BESAR SATU KOTAMOBAGU</v>
      </c>
      <c r="AA20" s="65"/>
      <c r="AB20" s="65"/>
      <c r="AC20" s="65" t="s">
        <v>70</v>
      </c>
      <c r="AD20" s="64" t="str">
        <f t="shared" si="4"/>
        <v>POYOWA BESAR</v>
      </c>
      <c r="AE20" s="66"/>
      <c r="AF20" s="66"/>
      <c r="AG20" s="66"/>
      <c r="AH20" s="66"/>
      <c r="AI20" s="69"/>
      <c r="AJ20" s="11" t="s">
        <v>364</v>
      </c>
      <c r="AK20" s="65" t="s">
        <v>96</v>
      </c>
      <c r="AL20" s="65"/>
      <c r="AM20" s="65"/>
      <c r="AN20" s="65"/>
      <c r="AO20" s="65"/>
      <c r="AP20" s="65"/>
      <c r="AQ20" s="177" t="s">
        <v>97</v>
      </c>
      <c r="AR20" s="70" t="s">
        <v>349</v>
      </c>
      <c r="AS20" s="71" t="str">
        <f t="shared" ref="AS20:AT21" si="11">AS19</f>
        <v>KPBS-1.019</v>
      </c>
      <c r="AT20" s="71" t="str">
        <f t="shared" si="11"/>
        <v>A01</v>
      </c>
      <c r="AU20" s="72"/>
      <c r="AV20" s="202">
        <v>0.71342784889999999</v>
      </c>
      <c r="AW20" s="202">
        <v>124.3241699382</v>
      </c>
      <c r="AX20" s="65" t="s">
        <v>98</v>
      </c>
      <c r="AY20" s="65" t="s">
        <v>94</v>
      </c>
      <c r="AZ20" s="65" t="s">
        <v>94</v>
      </c>
      <c r="BA20" s="73" t="s">
        <v>77</v>
      </c>
      <c r="BB20" s="65" t="s">
        <v>98</v>
      </c>
      <c r="BC20" s="65">
        <v>31</v>
      </c>
      <c r="BD20" s="65" t="s">
        <v>98</v>
      </c>
      <c r="BE20" s="211" t="str">
        <f t="shared" ref="BE20:BE21" si="12">AJ20&amp;", "&amp;AD20&amp;","&amp;AI20</f>
        <v>12, POYOWA BESAR,</v>
      </c>
    </row>
    <row r="21" spans="1:57" s="211" customFormat="1" ht="15.75" customHeight="1">
      <c r="A21" s="224"/>
      <c r="B21" s="225"/>
      <c r="C21" s="225"/>
      <c r="D21" s="225"/>
      <c r="E21" s="225"/>
      <c r="F21" s="225"/>
      <c r="G21" s="226"/>
      <c r="H21" s="23">
        <v>13</v>
      </c>
      <c r="I21" s="64" t="str">
        <f t="shared" ref="I21:L21" si="13">I20</f>
        <v>EXT.MR.KTG.KPBD.P002</v>
      </c>
      <c r="J21" s="64">
        <f t="shared" si="13"/>
        <v>0.71332555580000001</v>
      </c>
      <c r="K21" s="64">
        <f t="shared" si="13"/>
        <v>124.32444310690001</v>
      </c>
      <c r="L21" s="64" t="str">
        <f t="shared" si="13"/>
        <v>JL. RAYA POYOWA BESAR</v>
      </c>
      <c r="M21" s="64" t="str">
        <f t="shared" si="8"/>
        <v>SULAWESU UTARA</v>
      </c>
      <c r="N21" s="65" t="s">
        <v>105</v>
      </c>
      <c r="O21" s="66" t="s">
        <v>118</v>
      </c>
      <c r="P21" s="65" t="s">
        <v>119</v>
      </c>
      <c r="Q21" s="66">
        <v>95717</v>
      </c>
      <c r="R21" s="67"/>
      <c r="S21" s="68"/>
      <c r="T21" s="68"/>
      <c r="U21" s="68"/>
      <c r="V21" s="68"/>
      <c r="W21" s="64" t="s">
        <v>105</v>
      </c>
      <c r="X21" s="64"/>
      <c r="Y21" s="64" t="s">
        <v>106</v>
      </c>
      <c r="Z21" s="64" t="str">
        <f t="shared" si="9"/>
        <v>KELURAHAN POYOWA BESAR SATU KOTAMOBAGU</v>
      </c>
      <c r="AA21" s="65"/>
      <c r="AB21" s="65"/>
      <c r="AC21" s="65" t="s">
        <v>70</v>
      </c>
      <c r="AD21" s="64" t="str">
        <f t="shared" si="4"/>
        <v>POYOWA BESAR</v>
      </c>
      <c r="AE21" s="67"/>
      <c r="AF21" s="67"/>
      <c r="AG21" s="67"/>
      <c r="AH21" s="67"/>
      <c r="AI21" s="69"/>
      <c r="AJ21" s="11" t="s">
        <v>365</v>
      </c>
      <c r="AK21" s="65" t="s">
        <v>96</v>
      </c>
      <c r="AL21" s="65"/>
      <c r="AM21" s="65"/>
      <c r="AN21" s="65"/>
      <c r="AO21" s="65"/>
      <c r="AP21" s="65"/>
      <c r="AQ21" s="177" t="s">
        <v>97</v>
      </c>
      <c r="AR21" s="70" t="s">
        <v>349</v>
      </c>
      <c r="AS21" s="71" t="str">
        <f t="shared" si="11"/>
        <v>KPBS-1.019</v>
      </c>
      <c r="AT21" s="71" t="str">
        <f t="shared" si="11"/>
        <v>A01</v>
      </c>
      <c r="AU21" s="72"/>
      <c r="AV21" s="202">
        <v>0.71309453150000002</v>
      </c>
      <c r="AW21" s="202">
        <v>124.3243050352</v>
      </c>
      <c r="AX21" s="65" t="s">
        <v>98</v>
      </c>
      <c r="AY21" s="65" t="s">
        <v>94</v>
      </c>
      <c r="AZ21" s="65" t="s">
        <v>94</v>
      </c>
      <c r="BA21" s="73" t="s">
        <v>77</v>
      </c>
      <c r="BB21" s="65" t="s">
        <v>98</v>
      </c>
      <c r="BC21" s="65">
        <v>31</v>
      </c>
      <c r="BD21" s="65" t="s">
        <v>98</v>
      </c>
      <c r="BE21" s="211" t="str">
        <f t="shared" si="12"/>
        <v>13, POYOWA BESAR,</v>
      </c>
    </row>
    <row r="22" spans="1:57" s="211" customFormat="1" ht="15.75" customHeight="1">
      <c r="A22" s="224"/>
      <c r="B22" s="225"/>
      <c r="C22" s="225"/>
      <c r="D22" s="225"/>
      <c r="E22" s="225"/>
      <c r="F22" s="225"/>
      <c r="G22" s="226"/>
      <c r="H22" s="23">
        <v>14</v>
      </c>
      <c r="I22" s="64" t="str">
        <f t="shared" si="1"/>
        <v>EXT.MR.KTG.KPBD.P002</v>
      </c>
      <c r="J22" s="64">
        <f t="shared" si="1"/>
        <v>0.71332555580000001</v>
      </c>
      <c r="K22" s="64">
        <f t="shared" si="1"/>
        <v>124.32444310690001</v>
      </c>
      <c r="L22" s="64" t="str">
        <f t="shared" si="1"/>
        <v>JL. RAYA POYOWA BESAR</v>
      </c>
      <c r="M22" s="64" t="str">
        <f t="shared" si="2"/>
        <v>SULAWESU UTARA</v>
      </c>
      <c r="N22" s="65" t="s">
        <v>105</v>
      </c>
      <c r="O22" s="66" t="s">
        <v>118</v>
      </c>
      <c r="P22" s="65" t="s">
        <v>119</v>
      </c>
      <c r="Q22" s="66">
        <v>95717</v>
      </c>
      <c r="R22" s="66"/>
      <c r="S22" s="66"/>
      <c r="T22" s="66"/>
      <c r="U22" s="66"/>
      <c r="V22" s="66"/>
      <c r="W22" s="64" t="s">
        <v>105</v>
      </c>
      <c r="X22" s="64"/>
      <c r="Y22" s="64" t="s">
        <v>106</v>
      </c>
      <c r="Z22" s="64" t="str">
        <f t="shared" si="6"/>
        <v>KELURAHAN POYOWA BESAR SATU KOTAMOBAGU</v>
      </c>
      <c r="AA22" s="65"/>
      <c r="AB22" s="65"/>
      <c r="AC22" s="65" t="s">
        <v>70</v>
      </c>
      <c r="AD22" s="64" t="str">
        <f t="shared" si="4"/>
        <v>POYOWA BESAR</v>
      </c>
      <c r="AE22" s="66"/>
      <c r="AF22" s="66"/>
      <c r="AG22" s="66"/>
      <c r="AH22" s="66"/>
      <c r="AI22" s="69"/>
      <c r="AJ22" s="11" t="s">
        <v>366</v>
      </c>
      <c r="AK22" s="65" t="s">
        <v>96</v>
      </c>
      <c r="AL22" s="65"/>
      <c r="AM22" s="65"/>
      <c r="AN22" s="65"/>
      <c r="AO22" s="65"/>
      <c r="AP22" s="65"/>
      <c r="AQ22" s="177" t="s">
        <v>97</v>
      </c>
      <c r="AR22" s="70" t="s">
        <v>349</v>
      </c>
      <c r="AS22" s="71" t="str">
        <f t="shared" si="5"/>
        <v>KPBS-1.019</v>
      </c>
      <c r="AT22" s="71" t="str">
        <f t="shared" si="5"/>
        <v>A01</v>
      </c>
      <c r="AU22" s="72"/>
      <c r="AV22" s="202">
        <v>0.71340262980000002</v>
      </c>
      <c r="AW22" s="202">
        <v>124.32409046940001</v>
      </c>
      <c r="AX22" s="65" t="s">
        <v>98</v>
      </c>
      <c r="AY22" s="65" t="s">
        <v>94</v>
      </c>
      <c r="AZ22" s="65" t="s">
        <v>94</v>
      </c>
      <c r="BA22" s="73" t="s">
        <v>77</v>
      </c>
      <c r="BB22" s="65" t="s">
        <v>98</v>
      </c>
      <c r="BC22" s="65">
        <v>31</v>
      </c>
      <c r="BD22" s="65" t="s">
        <v>98</v>
      </c>
      <c r="BE22" s="211" t="str">
        <f t="shared" si="0"/>
        <v>14, POYOWA BESAR,</v>
      </c>
    </row>
    <row r="23" spans="1:57" s="211" customFormat="1" ht="15.75" customHeight="1">
      <c r="A23" s="224"/>
      <c r="B23" s="225"/>
      <c r="C23" s="225"/>
      <c r="D23" s="225"/>
      <c r="E23" s="225"/>
      <c r="F23" s="225"/>
      <c r="G23" s="226"/>
      <c r="H23" s="23">
        <v>15</v>
      </c>
      <c r="I23" s="64" t="str">
        <f t="shared" si="1"/>
        <v>EXT.MR.KTG.KPBD.P002</v>
      </c>
      <c r="J23" s="64">
        <f t="shared" si="1"/>
        <v>0.71332555580000001</v>
      </c>
      <c r="K23" s="64">
        <f t="shared" si="1"/>
        <v>124.32444310690001</v>
      </c>
      <c r="L23" s="64" t="str">
        <f t="shared" si="1"/>
        <v>JL. RAYA POYOWA BESAR</v>
      </c>
      <c r="M23" s="64" t="str">
        <f t="shared" si="2"/>
        <v>SULAWESU UTARA</v>
      </c>
      <c r="N23" s="65" t="s">
        <v>105</v>
      </c>
      <c r="O23" s="66" t="s">
        <v>118</v>
      </c>
      <c r="P23" s="65" t="s">
        <v>119</v>
      </c>
      <c r="Q23" s="66">
        <v>95717</v>
      </c>
      <c r="R23" s="67"/>
      <c r="S23" s="68"/>
      <c r="T23" s="68"/>
      <c r="U23" s="68"/>
      <c r="V23" s="68"/>
      <c r="W23" s="64" t="s">
        <v>105</v>
      </c>
      <c r="X23" s="64"/>
      <c r="Y23" s="64" t="s">
        <v>106</v>
      </c>
      <c r="Z23" s="64" t="str">
        <f t="shared" si="6"/>
        <v>KELURAHAN POYOWA BESAR SATU KOTAMOBAGU</v>
      </c>
      <c r="AA23" s="65"/>
      <c r="AB23" s="65"/>
      <c r="AC23" s="65" t="s">
        <v>70</v>
      </c>
      <c r="AD23" s="64" t="str">
        <f t="shared" si="4"/>
        <v>POYOWA BESAR</v>
      </c>
      <c r="AE23" s="67"/>
      <c r="AF23" s="67"/>
      <c r="AG23" s="67"/>
      <c r="AH23" s="67"/>
      <c r="AI23" s="69"/>
      <c r="AJ23" s="11" t="s">
        <v>367</v>
      </c>
      <c r="AK23" s="65" t="s">
        <v>96</v>
      </c>
      <c r="AL23" s="65"/>
      <c r="AM23" s="65"/>
      <c r="AN23" s="65"/>
      <c r="AO23" s="65"/>
      <c r="AP23" s="65"/>
      <c r="AQ23" s="177" t="s">
        <v>97</v>
      </c>
      <c r="AR23" s="70" t="s">
        <v>349</v>
      </c>
      <c r="AS23" s="71" t="str">
        <f t="shared" si="5"/>
        <v>KPBS-1.019</v>
      </c>
      <c r="AT23" s="71" t="str">
        <f t="shared" si="5"/>
        <v>A01</v>
      </c>
      <c r="AU23" s="72"/>
      <c r="AV23" s="202">
        <v>0.71306268189999999</v>
      </c>
      <c r="AW23" s="202">
        <v>124.32421497049999</v>
      </c>
      <c r="AX23" s="65" t="s">
        <v>98</v>
      </c>
      <c r="AY23" s="65" t="s">
        <v>94</v>
      </c>
      <c r="AZ23" s="65" t="s">
        <v>94</v>
      </c>
      <c r="BA23" s="73" t="s">
        <v>77</v>
      </c>
      <c r="BB23" s="65" t="s">
        <v>98</v>
      </c>
      <c r="BC23" s="65">
        <v>31</v>
      </c>
      <c r="BD23" s="65" t="s">
        <v>98</v>
      </c>
      <c r="BE23" s="211" t="str">
        <f t="shared" si="0"/>
        <v>15, POYOWA BESAR,</v>
      </c>
    </row>
    <row r="24" spans="1:57" s="211" customFormat="1" ht="15.75" customHeight="1">
      <c r="A24" s="224"/>
      <c r="B24" s="225"/>
      <c r="C24" s="225"/>
      <c r="D24" s="225"/>
      <c r="E24" s="225"/>
      <c r="F24" s="225"/>
      <c r="G24" s="226"/>
      <c r="H24" s="23">
        <v>16</v>
      </c>
      <c r="I24" s="64" t="str">
        <f t="shared" si="1"/>
        <v>EXT.MR.KTG.KPBD.P002</v>
      </c>
      <c r="J24" s="64">
        <f t="shared" si="1"/>
        <v>0.71332555580000001</v>
      </c>
      <c r="K24" s="64">
        <f t="shared" si="1"/>
        <v>124.32444310690001</v>
      </c>
      <c r="L24" s="64" t="str">
        <f t="shared" si="1"/>
        <v>JL. RAYA POYOWA BESAR</v>
      </c>
      <c r="M24" s="64" t="str">
        <f t="shared" si="2"/>
        <v>SULAWESU UTARA</v>
      </c>
      <c r="N24" s="65" t="s">
        <v>105</v>
      </c>
      <c r="O24" s="66" t="s">
        <v>118</v>
      </c>
      <c r="P24" s="65" t="s">
        <v>119</v>
      </c>
      <c r="Q24" s="66">
        <v>95717</v>
      </c>
      <c r="R24" s="67"/>
      <c r="S24" s="68"/>
      <c r="T24" s="68"/>
      <c r="U24" s="68"/>
      <c r="V24" s="68"/>
      <c r="W24" s="65" t="s">
        <v>105</v>
      </c>
      <c r="X24" s="64"/>
      <c r="Y24" s="64" t="s">
        <v>106</v>
      </c>
      <c r="Z24" s="64" t="str">
        <f t="shared" si="6"/>
        <v>KELURAHAN POYOWA BESAR SATU KOTAMOBAGU</v>
      </c>
      <c r="AA24" s="65"/>
      <c r="AB24" s="65"/>
      <c r="AC24" s="65" t="s">
        <v>70</v>
      </c>
      <c r="AD24" s="64" t="str">
        <f t="shared" si="4"/>
        <v>POYOWA BESAR</v>
      </c>
      <c r="AE24" s="67"/>
      <c r="AF24" s="67"/>
      <c r="AG24" s="67"/>
      <c r="AH24" s="67"/>
      <c r="AI24" s="69"/>
      <c r="AJ24" s="11" t="s">
        <v>368</v>
      </c>
      <c r="AK24" s="65" t="s">
        <v>96</v>
      </c>
      <c r="AL24" s="65"/>
      <c r="AM24" s="65"/>
      <c r="AN24" s="65"/>
      <c r="AO24" s="65"/>
      <c r="AP24" s="65"/>
      <c r="AQ24" s="177" t="s">
        <v>97</v>
      </c>
      <c r="AR24" s="70" t="s">
        <v>349</v>
      </c>
      <c r="AS24" s="71" t="str">
        <f t="shared" si="5"/>
        <v>KPBS-1.019</v>
      </c>
      <c r="AT24" s="71" t="str">
        <f t="shared" si="5"/>
        <v>A01</v>
      </c>
      <c r="AU24" s="72"/>
      <c r="AV24" s="202">
        <v>0.71335313789999999</v>
      </c>
      <c r="AW24" s="202">
        <v>124.3240043207</v>
      </c>
      <c r="AX24" s="65" t="s">
        <v>98</v>
      </c>
      <c r="AY24" s="65" t="s">
        <v>94</v>
      </c>
      <c r="AZ24" s="65" t="s">
        <v>94</v>
      </c>
      <c r="BA24" s="73" t="s">
        <v>77</v>
      </c>
      <c r="BB24" s="65" t="s">
        <v>98</v>
      </c>
      <c r="BC24" s="65">
        <v>31</v>
      </c>
      <c r="BD24" s="65" t="s">
        <v>98</v>
      </c>
      <c r="BE24" s="211" t="str">
        <f>AJ24&amp;", "&amp;AD24&amp;","&amp;AI24</f>
        <v>16, POYOWA BESAR,</v>
      </c>
    </row>
    <row r="25" spans="1:57" s="211" customFormat="1" ht="15.75" customHeight="1">
      <c r="A25" s="36" t="s">
        <v>67</v>
      </c>
      <c r="B25" s="36">
        <f>B9+1</f>
        <v>2</v>
      </c>
      <c r="C25" s="33" t="s">
        <v>68</v>
      </c>
      <c r="D25" s="37" t="s">
        <v>348</v>
      </c>
      <c r="E25" s="38">
        <v>1</v>
      </c>
      <c r="F25" s="39">
        <f>F10+1</f>
        <v>3</v>
      </c>
      <c r="G25" s="213" t="s">
        <v>71</v>
      </c>
      <c r="H25" s="35">
        <v>1</v>
      </c>
      <c r="I25" s="48" t="s">
        <v>976</v>
      </c>
      <c r="J25" s="54">
        <v>0.71305228949999999</v>
      </c>
      <c r="K25" s="54">
        <v>124.32386408550001</v>
      </c>
      <c r="L25" s="116" t="s">
        <v>116</v>
      </c>
      <c r="M25" s="56" t="str">
        <f t="shared" si="2"/>
        <v>SULAWESU UTARA</v>
      </c>
      <c r="N25" s="76" t="s">
        <v>105</v>
      </c>
      <c r="O25" s="49" t="s">
        <v>118</v>
      </c>
      <c r="P25" s="76" t="s">
        <v>119</v>
      </c>
      <c r="Q25" s="49">
        <v>95717</v>
      </c>
      <c r="R25" s="51"/>
      <c r="S25" s="52"/>
      <c r="T25" s="53"/>
      <c r="U25" s="52"/>
      <c r="V25" s="53"/>
      <c r="W25" s="50" t="s">
        <v>105</v>
      </c>
      <c r="X25" s="54"/>
      <c r="Y25" s="56" t="s">
        <v>106</v>
      </c>
      <c r="Z25" s="56" t="str">
        <f t="shared" si="6"/>
        <v>KELURAHAN POYOWA BESAR SATU KOTAMOBAGU</v>
      </c>
      <c r="AA25" s="55"/>
      <c r="AB25" s="55"/>
      <c r="AC25" s="55" t="s">
        <v>70</v>
      </c>
      <c r="AD25" s="116" t="s">
        <v>119</v>
      </c>
      <c r="AE25" s="57"/>
      <c r="AF25" s="57"/>
      <c r="AG25" s="57"/>
      <c r="AH25" s="57"/>
      <c r="AI25" s="58"/>
      <c r="AJ25" s="114" t="s">
        <v>133</v>
      </c>
      <c r="AK25" s="55" t="s">
        <v>96</v>
      </c>
      <c r="AL25" s="62"/>
      <c r="AM25" s="184"/>
      <c r="AN25" s="184"/>
      <c r="AO25" s="184"/>
      <c r="AP25" s="184"/>
      <c r="AQ25" s="185" t="s">
        <v>97</v>
      </c>
      <c r="AR25" s="59" t="s">
        <v>349</v>
      </c>
      <c r="AS25" s="60" t="str">
        <f>AS9</f>
        <v>KPBS-1.019</v>
      </c>
      <c r="AT25" s="60" t="str">
        <f>G25</f>
        <v>A02</v>
      </c>
      <c r="AU25" s="61"/>
      <c r="AV25" s="201">
        <v>0.71301880660000005</v>
      </c>
      <c r="AW25" s="201">
        <v>124.3241142527</v>
      </c>
      <c r="AX25" s="62" t="s">
        <v>98</v>
      </c>
      <c r="AY25" s="62" t="s">
        <v>94</v>
      </c>
      <c r="AZ25" s="62" t="s">
        <v>94</v>
      </c>
      <c r="BA25" s="63" t="s">
        <v>77</v>
      </c>
      <c r="BB25" s="62" t="s">
        <v>98</v>
      </c>
      <c r="BC25" s="62">
        <v>31</v>
      </c>
      <c r="BD25" s="62" t="s">
        <v>98</v>
      </c>
      <c r="BE25" s="211" t="str">
        <f t="shared" ref="BE25:BE39" si="14">AJ25&amp;", "&amp;AD25&amp;","&amp;AI25</f>
        <v>17, POYOWA BESAR,</v>
      </c>
    </row>
    <row r="26" spans="1:57" s="211" customFormat="1" ht="15.75" customHeight="1">
      <c r="A26" s="46"/>
      <c r="B26" s="46"/>
      <c r="C26" s="22" t="s">
        <v>68</v>
      </c>
      <c r="D26" s="22" t="s">
        <v>348</v>
      </c>
      <c r="E26" s="33">
        <v>1</v>
      </c>
      <c r="F26" s="47">
        <f>F25+1</f>
        <v>4</v>
      </c>
      <c r="G26" s="214"/>
      <c r="H26" s="23">
        <v>2</v>
      </c>
      <c r="I26" s="64" t="str">
        <f t="shared" ref="I26:L40" si="15">I25</f>
        <v>EXT.MR.KTG.KPBD.P005</v>
      </c>
      <c r="J26" s="64">
        <f t="shared" si="15"/>
        <v>0.71305228949999999</v>
      </c>
      <c r="K26" s="64">
        <f t="shared" si="15"/>
        <v>124.32386408550001</v>
      </c>
      <c r="L26" s="64" t="str">
        <f t="shared" si="15"/>
        <v>JL. RAYA POYOWA BESAR</v>
      </c>
      <c r="M26" s="64" t="str">
        <f t="shared" si="2"/>
        <v>SULAWESU UTARA</v>
      </c>
      <c r="N26" s="65" t="s">
        <v>105</v>
      </c>
      <c r="O26" s="66" t="s">
        <v>118</v>
      </c>
      <c r="P26" s="65" t="s">
        <v>119</v>
      </c>
      <c r="Q26" s="66">
        <v>95717</v>
      </c>
      <c r="R26" s="67"/>
      <c r="S26" s="68"/>
      <c r="T26" s="68"/>
      <c r="U26" s="68"/>
      <c r="V26" s="68"/>
      <c r="W26" s="65" t="s">
        <v>105</v>
      </c>
      <c r="X26" s="64"/>
      <c r="Y26" s="64" t="s">
        <v>106</v>
      </c>
      <c r="Z26" s="64" t="str">
        <f t="shared" si="6"/>
        <v>KELURAHAN POYOWA BESAR SATU KOTAMOBAGU</v>
      </c>
      <c r="AA26" s="65"/>
      <c r="AB26" s="65"/>
      <c r="AC26" s="65" t="s">
        <v>70</v>
      </c>
      <c r="AD26" s="64" t="str">
        <f t="shared" ref="AD26:AD40" si="16">AD25</f>
        <v>POYOWA BESAR</v>
      </c>
      <c r="AE26" s="67"/>
      <c r="AF26" s="67"/>
      <c r="AG26" s="67"/>
      <c r="AH26" s="67"/>
      <c r="AI26" s="69"/>
      <c r="AJ26" s="11" t="s">
        <v>134</v>
      </c>
      <c r="AK26" s="65" t="s">
        <v>96</v>
      </c>
      <c r="AL26" s="65"/>
      <c r="AM26" s="176"/>
      <c r="AN26" s="176"/>
      <c r="AO26" s="176"/>
      <c r="AP26" s="176"/>
      <c r="AQ26" s="177" t="s">
        <v>97</v>
      </c>
      <c r="AR26" s="70" t="s">
        <v>349</v>
      </c>
      <c r="AS26" s="71" t="str">
        <f t="shared" ref="AS26:AT40" si="17">AS25</f>
        <v>KPBS-1.019</v>
      </c>
      <c r="AT26" s="71" t="str">
        <f t="shared" si="17"/>
        <v>A02</v>
      </c>
      <c r="AU26" s="72"/>
      <c r="AV26" s="202">
        <v>0.71334517399999897</v>
      </c>
      <c r="AW26" s="202">
        <v>124.3239036603</v>
      </c>
      <c r="AX26" s="65" t="s">
        <v>98</v>
      </c>
      <c r="AY26" s="65" t="s">
        <v>94</v>
      </c>
      <c r="AZ26" s="65" t="s">
        <v>94</v>
      </c>
      <c r="BA26" s="73" t="s">
        <v>77</v>
      </c>
      <c r="BB26" s="65" t="s">
        <v>98</v>
      </c>
      <c r="BC26" s="65">
        <v>31</v>
      </c>
      <c r="BD26" s="65" t="s">
        <v>98</v>
      </c>
      <c r="BE26" s="211" t="str">
        <f t="shared" si="14"/>
        <v>18, POYOWA BESAR,</v>
      </c>
    </row>
    <row r="27" spans="1:57" s="211" customFormat="1" ht="15.75" customHeight="1">
      <c r="A27" s="221"/>
      <c r="B27" s="222"/>
      <c r="C27" s="222"/>
      <c r="D27" s="222"/>
      <c r="E27" s="222"/>
      <c r="F27" s="222"/>
      <c r="G27" s="223"/>
      <c r="H27" s="23">
        <v>3</v>
      </c>
      <c r="I27" s="64" t="str">
        <f t="shared" si="15"/>
        <v>EXT.MR.KTG.KPBD.P005</v>
      </c>
      <c r="J27" s="64">
        <f t="shared" si="15"/>
        <v>0.71305228949999999</v>
      </c>
      <c r="K27" s="64">
        <f t="shared" si="15"/>
        <v>124.32386408550001</v>
      </c>
      <c r="L27" s="64" t="str">
        <f t="shared" si="15"/>
        <v>JL. RAYA POYOWA BESAR</v>
      </c>
      <c r="M27" s="64" t="str">
        <f t="shared" si="2"/>
        <v>SULAWESU UTARA</v>
      </c>
      <c r="N27" s="65" t="s">
        <v>105</v>
      </c>
      <c r="O27" s="66" t="s">
        <v>118</v>
      </c>
      <c r="P27" s="65" t="s">
        <v>119</v>
      </c>
      <c r="Q27" s="66">
        <v>95717</v>
      </c>
      <c r="R27" s="67"/>
      <c r="S27" s="68"/>
      <c r="T27" s="68"/>
      <c r="U27" s="68"/>
      <c r="V27" s="68"/>
      <c r="W27" s="65" t="s">
        <v>105</v>
      </c>
      <c r="X27" s="64"/>
      <c r="Y27" s="64" t="s">
        <v>106</v>
      </c>
      <c r="Z27" s="64" t="str">
        <f t="shared" si="6"/>
        <v>KELURAHAN POYOWA BESAR SATU KOTAMOBAGU</v>
      </c>
      <c r="AA27" s="65"/>
      <c r="AB27" s="65"/>
      <c r="AC27" s="65" t="s">
        <v>70</v>
      </c>
      <c r="AD27" s="64" t="str">
        <f t="shared" si="16"/>
        <v>POYOWA BESAR</v>
      </c>
      <c r="AE27" s="67"/>
      <c r="AF27" s="67"/>
      <c r="AG27" s="67"/>
      <c r="AH27" s="67"/>
      <c r="AI27" s="69"/>
      <c r="AJ27" s="11" t="s">
        <v>135</v>
      </c>
      <c r="AK27" s="65" t="s">
        <v>96</v>
      </c>
      <c r="AL27" s="65"/>
      <c r="AM27" s="176"/>
      <c r="AN27" s="176"/>
      <c r="AO27" s="176"/>
      <c r="AP27" s="176"/>
      <c r="AQ27" s="177" t="s">
        <v>97</v>
      </c>
      <c r="AR27" s="70" t="s">
        <v>349</v>
      </c>
      <c r="AS27" s="71" t="str">
        <f t="shared" si="17"/>
        <v>KPBS-1.019</v>
      </c>
      <c r="AT27" s="71" t="str">
        <f t="shared" si="17"/>
        <v>A02</v>
      </c>
      <c r="AU27" s="72"/>
      <c r="AV27" s="202">
        <v>0.71328146250000002</v>
      </c>
      <c r="AW27" s="202">
        <v>124.3238599524</v>
      </c>
      <c r="AX27" s="65" t="s">
        <v>98</v>
      </c>
      <c r="AY27" s="65" t="s">
        <v>94</v>
      </c>
      <c r="AZ27" s="65" t="s">
        <v>94</v>
      </c>
      <c r="BA27" s="73" t="s">
        <v>77</v>
      </c>
      <c r="BB27" s="65" t="s">
        <v>98</v>
      </c>
      <c r="BC27" s="65">
        <v>31</v>
      </c>
      <c r="BD27" s="65" t="s">
        <v>98</v>
      </c>
      <c r="BE27" s="211" t="str">
        <f t="shared" si="14"/>
        <v>19, POYOWA BESAR,</v>
      </c>
    </row>
    <row r="28" spans="1:57" s="211" customFormat="1" ht="15.75" customHeight="1">
      <c r="A28" s="224"/>
      <c r="B28" s="225"/>
      <c r="C28" s="225"/>
      <c r="D28" s="225"/>
      <c r="E28" s="225"/>
      <c r="F28" s="225"/>
      <c r="G28" s="226"/>
      <c r="H28" s="23">
        <v>4</v>
      </c>
      <c r="I28" s="64" t="str">
        <f t="shared" si="15"/>
        <v>EXT.MR.KTG.KPBD.P005</v>
      </c>
      <c r="J28" s="64">
        <f t="shared" si="15"/>
        <v>0.71305228949999999</v>
      </c>
      <c r="K28" s="64">
        <f t="shared" si="15"/>
        <v>124.32386408550001</v>
      </c>
      <c r="L28" s="64" t="str">
        <f t="shared" si="15"/>
        <v>JL. RAYA POYOWA BESAR</v>
      </c>
      <c r="M28" s="64" t="str">
        <f t="shared" si="2"/>
        <v>SULAWESU UTARA</v>
      </c>
      <c r="N28" s="65" t="s">
        <v>105</v>
      </c>
      <c r="O28" s="66" t="s">
        <v>118</v>
      </c>
      <c r="P28" s="65" t="s">
        <v>119</v>
      </c>
      <c r="Q28" s="66">
        <v>95717</v>
      </c>
      <c r="R28" s="67"/>
      <c r="S28" s="68"/>
      <c r="T28" s="68"/>
      <c r="U28" s="68"/>
      <c r="V28" s="68"/>
      <c r="W28" s="65" t="s">
        <v>105</v>
      </c>
      <c r="X28" s="64"/>
      <c r="Y28" s="64" t="s">
        <v>106</v>
      </c>
      <c r="Z28" s="64" t="str">
        <f t="shared" si="6"/>
        <v>KELURAHAN POYOWA BESAR SATU KOTAMOBAGU</v>
      </c>
      <c r="AA28" s="65"/>
      <c r="AB28" s="65"/>
      <c r="AC28" s="65" t="s">
        <v>70</v>
      </c>
      <c r="AD28" s="64" t="str">
        <f t="shared" si="16"/>
        <v>POYOWA BESAR</v>
      </c>
      <c r="AE28" s="67"/>
      <c r="AF28" s="67"/>
      <c r="AG28" s="67"/>
      <c r="AH28" s="67"/>
      <c r="AI28" s="69"/>
      <c r="AJ28" s="11" t="s">
        <v>136</v>
      </c>
      <c r="AK28" s="65" t="s">
        <v>96</v>
      </c>
      <c r="AL28" s="65"/>
      <c r="AM28" s="176"/>
      <c r="AN28" s="176"/>
      <c r="AO28" s="176"/>
      <c r="AP28" s="176"/>
      <c r="AQ28" s="177" t="s">
        <v>97</v>
      </c>
      <c r="AR28" s="70" t="s">
        <v>349</v>
      </c>
      <c r="AS28" s="71" t="str">
        <f t="shared" si="17"/>
        <v>KPBS-1.019</v>
      </c>
      <c r="AT28" s="71" t="str">
        <f t="shared" si="17"/>
        <v>A02</v>
      </c>
      <c r="AU28" s="72"/>
      <c r="AV28" s="202">
        <v>0.71296025079999903</v>
      </c>
      <c r="AW28" s="202">
        <v>124.3240347838</v>
      </c>
      <c r="AX28" s="65" t="s">
        <v>98</v>
      </c>
      <c r="AY28" s="65" t="s">
        <v>94</v>
      </c>
      <c r="AZ28" s="65" t="s">
        <v>94</v>
      </c>
      <c r="BA28" s="73" t="s">
        <v>77</v>
      </c>
      <c r="BB28" s="65" t="s">
        <v>98</v>
      </c>
      <c r="BC28" s="65">
        <v>31</v>
      </c>
      <c r="BD28" s="65" t="s">
        <v>98</v>
      </c>
      <c r="BE28" s="211" t="str">
        <f t="shared" si="14"/>
        <v>20, POYOWA BESAR,</v>
      </c>
    </row>
    <row r="29" spans="1:57" s="211" customFormat="1" ht="15.75" customHeight="1">
      <c r="A29" s="224"/>
      <c r="B29" s="225"/>
      <c r="C29" s="225"/>
      <c r="D29" s="225"/>
      <c r="E29" s="225"/>
      <c r="F29" s="225"/>
      <c r="G29" s="226"/>
      <c r="H29" s="23">
        <v>5</v>
      </c>
      <c r="I29" s="64" t="str">
        <f t="shared" si="15"/>
        <v>EXT.MR.KTG.KPBD.P005</v>
      </c>
      <c r="J29" s="64">
        <f t="shared" si="15"/>
        <v>0.71305228949999999</v>
      </c>
      <c r="K29" s="64">
        <f t="shared" si="15"/>
        <v>124.32386408550001</v>
      </c>
      <c r="L29" s="64" t="str">
        <f t="shared" si="15"/>
        <v>JL. RAYA POYOWA BESAR</v>
      </c>
      <c r="M29" s="64" t="str">
        <f t="shared" si="2"/>
        <v>SULAWESU UTARA</v>
      </c>
      <c r="N29" s="65" t="s">
        <v>105</v>
      </c>
      <c r="O29" s="66" t="s">
        <v>118</v>
      </c>
      <c r="P29" s="65" t="s">
        <v>119</v>
      </c>
      <c r="Q29" s="66">
        <v>95717</v>
      </c>
      <c r="R29" s="67"/>
      <c r="S29" s="68"/>
      <c r="T29" s="68"/>
      <c r="U29" s="68"/>
      <c r="V29" s="68"/>
      <c r="W29" s="65" t="s">
        <v>105</v>
      </c>
      <c r="X29" s="64"/>
      <c r="Y29" s="64" t="s">
        <v>106</v>
      </c>
      <c r="Z29" s="64" t="str">
        <f t="shared" si="6"/>
        <v>KELURAHAN POYOWA BESAR SATU KOTAMOBAGU</v>
      </c>
      <c r="AA29" s="65"/>
      <c r="AB29" s="65"/>
      <c r="AC29" s="65" t="s">
        <v>70</v>
      </c>
      <c r="AD29" s="64" t="str">
        <f t="shared" si="16"/>
        <v>POYOWA BESAR</v>
      </c>
      <c r="AE29" s="67"/>
      <c r="AF29" s="67"/>
      <c r="AG29" s="67"/>
      <c r="AH29" s="67"/>
      <c r="AI29" s="69"/>
      <c r="AJ29" s="11" t="s">
        <v>137</v>
      </c>
      <c r="AK29" s="65" t="s">
        <v>96</v>
      </c>
      <c r="AL29" s="65"/>
      <c r="AM29" s="176"/>
      <c r="AN29" s="176"/>
      <c r="AO29" s="176"/>
      <c r="AP29" s="176"/>
      <c r="AQ29" s="177" t="s">
        <v>97</v>
      </c>
      <c r="AR29" s="70" t="s">
        <v>349</v>
      </c>
      <c r="AS29" s="71" t="str">
        <f t="shared" si="17"/>
        <v>KPBS-1.019</v>
      </c>
      <c r="AT29" s="71" t="str">
        <f t="shared" si="17"/>
        <v>A02</v>
      </c>
      <c r="AU29" s="72"/>
      <c r="AV29" s="202">
        <v>0.71324179659999898</v>
      </c>
      <c r="AW29" s="202">
        <v>124.3237871059</v>
      </c>
      <c r="AX29" s="65" t="s">
        <v>98</v>
      </c>
      <c r="AY29" s="65" t="s">
        <v>94</v>
      </c>
      <c r="AZ29" s="65" t="s">
        <v>94</v>
      </c>
      <c r="BA29" s="73" t="s">
        <v>77</v>
      </c>
      <c r="BB29" s="65" t="s">
        <v>98</v>
      </c>
      <c r="BC29" s="65">
        <v>31</v>
      </c>
      <c r="BD29" s="65" t="s">
        <v>98</v>
      </c>
      <c r="BE29" s="211" t="str">
        <f t="shared" si="14"/>
        <v>21, POYOWA BESAR,</v>
      </c>
    </row>
    <row r="30" spans="1:57" s="211" customFormat="1" ht="15.75" customHeight="1">
      <c r="A30" s="224"/>
      <c r="B30" s="225"/>
      <c r="C30" s="225"/>
      <c r="D30" s="225"/>
      <c r="E30" s="225"/>
      <c r="F30" s="225"/>
      <c r="G30" s="226"/>
      <c r="H30" s="23">
        <v>6</v>
      </c>
      <c r="I30" s="64" t="str">
        <f t="shared" si="15"/>
        <v>EXT.MR.KTG.KPBD.P005</v>
      </c>
      <c r="J30" s="64">
        <f t="shared" si="15"/>
        <v>0.71305228949999999</v>
      </c>
      <c r="K30" s="64">
        <f t="shared" si="15"/>
        <v>124.32386408550001</v>
      </c>
      <c r="L30" s="64" t="str">
        <f t="shared" si="15"/>
        <v>JL. RAYA POYOWA BESAR</v>
      </c>
      <c r="M30" s="64" t="str">
        <f t="shared" si="2"/>
        <v>SULAWESU UTARA</v>
      </c>
      <c r="N30" s="65" t="s">
        <v>105</v>
      </c>
      <c r="O30" s="66" t="s">
        <v>118</v>
      </c>
      <c r="P30" s="65" t="s">
        <v>119</v>
      </c>
      <c r="Q30" s="66">
        <v>95717</v>
      </c>
      <c r="R30" s="67"/>
      <c r="S30" s="68"/>
      <c r="T30" s="74"/>
      <c r="U30" s="74"/>
      <c r="V30" s="74"/>
      <c r="W30" s="65" t="s">
        <v>105</v>
      </c>
      <c r="X30" s="64"/>
      <c r="Y30" s="64" t="s">
        <v>106</v>
      </c>
      <c r="Z30" s="64" t="str">
        <f t="shared" si="6"/>
        <v>KELURAHAN POYOWA BESAR SATU KOTAMOBAGU</v>
      </c>
      <c r="AA30" s="65"/>
      <c r="AB30" s="65"/>
      <c r="AC30" s="65" t="s">
        <v>70</v>
      </c>
      <c r="AD30" s="64" t="str">
        <f t="shared" si="16"/>
        <v>POYOWA BESAR</v>
      </c>
      <c r="AE30" s="75"/>
      <c r="AF30" s="75"/>
      <c r="AG30" s="75"/>
      <c r="AH30" s="75"/>
      <c r="AI30" s="69"/>
      <c r="AJ30" s="11" t="s">
        <v>138</v>
      </c>
      <c r="AK30" s="65" t="s">
        <v>96</v>
      </c>
      <c r="AL30" s="65"/>
      <c r="AM30" s="176"/>
      <c r="AN30" s="176"/>
      <c r="AO30" s="176"/>
      <c r="AP30" s="176"/>
      <c r="AQ30" s="186" t="s">
        <v>97</v>
      </c>
      <c r="AR30" s="70" t="s">
        <v>349</v>
      </c>
      <c r="AS30" s="71" t="str">
        <f t="shared" si="17"/>
        <v>KPBS-1.019</v>
      </c>
      <c r="AT30" s="71" t="str">
        <f t="shared" si="17"/>
        <v>A02</v>
      </c>
      <c r="AU30" s="72"/>
      <c r="AV30" s="202">
        <v>0.71291793020000005</v>
      </c>
      <c r="AW30" s="202">
        <v>124.32395531500001</v>
      </c>
      <c r="AX30" s="65" t="s">
        <v>98</v>
      </c>
      <c r="AY30" s="65" t="s">
        <v>94</v>
      </c>
      <c r="AZ30" s="65" t="s">
        <v>94</v>
      </c>
      <c r="BA30" s="73" t="s">
        <v>77</v>
      </c>
      <c r="BB30" s="65" t="s">
        <v>98</v>
      </c>
      <c r="BC30" s="65">
        <v>31</v>
      </c>
      <c r="BD30" s="65" t="s">
        <v>98</v>
      </c>
      <c r="BE30" s="211" t="str">
        <f t="shared" si="14"/>
        <v>22, POYOWA BESAR,</v>
      </c>
    </row>
    <row r="31" spans="1:57" s="211" customFormat="1" ht="15.75" customHeight="1">
      <c r="A31" s="224"/>
      <c r="B31" s="225"/>
      <c r="C31" s="225"/>
      <c r="D31" s="225"/>
      <c r="E31" s="225"/>
      <c r="F31" s="225"/>
      <c r="G31" s="226"/>
      <c r="H31" s="23">
        <v>7</v>
      </c>
      <c r="I31" s="64" t="str">
        <f t="shared" si="15"/>
        <v>EXT.MR.KTG.KPBD.P005</v>
      </c>
      <c r="J31" s="64">
        <f t="shared" si="15"/>
        <v>0.71305228949999999</v>
      </c>
      <c r="K31" s="64">
        <f t="shared" si="15"/>
        <v>124.32386408550001</v>
      </c>
      <c r="L31" s="64" t="str">
        <f t="shared" si="15"/>
        <v>JL. RAYA POYOWA BESAR</v>
      </c>
      <c r="M31" s="64" t="str">
        <f t="shared" si="2"/>
        <v>SULAWESU UTARA</v>
      </c>
      <c r="N31" s="65" t="s">
        <v>105</v>
      </c>
      <c r="O31" s="66" t="s">
        <v>118</v>
      </c>
      <c r="P31" s="65" t="s">
        <v>119</v>
      </c>
      <c r="Q31" s="66">
        <v>95717</v>
      </c>
      <c r="R31" s="67"/>
      <c r="S31" s="68"/>
      <c r="T31" s="68"/>
      <c r="U31" s="68"/>
      <c r="V31" s="68"/>
      <c r="W31" s="65" t="s">
        <v>105</v>
      </c>
      <c r="X31" s="64"/>
      <c r="Y31" s="64" t="s">
        <v>106</v>
      </c>
      <c r="Z31" s="64" t="str">
        <f t="shared" si="6"/>
        <v>KELURAHAN POYOWA BESAR SATU KOTAMOBAGU</v>
      </c>
      <c r="AA31" s="65"/>
      <c r="AB31" s="65"/>
      <c r="AC31" s="65" t="s">
        <v>70</v>
      </c>
      <c r="AD31" s="64" t="str">
        <f t="shared" si="16"/>
        <v>POYOWA BESAR</v>
      </c>
      <c r="AE31" s="67"/>
      <c r="AF31" s="67"/>
      <c r="AG31" s="67"/>
      <c r="AH31" s="67"/>
      <c r="AI31" s="69"/>
      <c r="AJ31" s="11" t="s">
        <v>139</v>
      </c>
      <c r="AK31" s="65" t="s">
        <v>96</v>
      </c>
      <c r="AL31" s="65"/>
      <c r="AM31" s="65"/>
      <c r="AN31" s="65"/>
      <c r="AO31" s="65"/>
      <c r="AP31" s="65"/>
      <c r="AQ31" s="177" t="s">
        <v>97</v>
      </c>
      <c r="AR31" s="70" t="s">
        <v>349</v>
      </c>
      <c r="AS31" s="71" t="str">
        <f t="shared" si="17"/>
        <v>KPBS-1.019</v>
      </c>
      <c r="AT31" s="71" t="str">
        <f t="shared" si="17"/>
        <v>A02</v>
      </c>
      <c r="AU31" s="72"/>
      <c r="AV31" s="202">
        <v>0.71290715189999898</v>
      </c>
      <c r="AW31" s="202">
        <v>124.3238678993</v>
      </c>
      <c r="AX31" s="65" t="s">
        <v>98</v>
      </c>
      <c r="AY31" s="65" t="s">
        <v>94</v>
      </c>
      <c r="AZ31" s="65" t="s">
        <v>94</v>
      </c>
      <c r="BA31" s="73" t="s">
        <v>77</v>
      </c>
      <c r="BB31" s="65" t="s">
        <v>98</v>
      </c>
      <c r="BC31" s="65">
        <v>31</v>
      </c>
      <c r="BD31" s="65" t="s">
        <v>98</v>
      </c>
      <c r="BE31" s="211" t="str">
        <f t="shared" si="14"/>
        <v>23, POYOWA BESAR,</v>
      </c>
    </row>
    <row r="32" spans="1:57" s="211" customFormat="1" ht="15.75" customHeight="1">
      <c r="A32" s="224"/>
      <c r="B32" s="225"/>
      <c r="C32" s="225"/>
      <c r="D32" s="225"/>
      <c r="E32" s="225"/>
      <c r="F32" s="225"/>
      <c r="G32" s="226"/>
      <c r="H32" s="23">
        <v>8</v>
      </c>
      <c r="I32" s="64" t="str">
        <f t="shared" ref="I32:L32" si="18">I31</f>
        <v>EXT.MR.KTG.KPBD.P005</v>
      </c>
      <c r="J32" s="64">
        <f t="shared" si="18"/>
        <v>0.71305228949999999</v>
      </c>
      <c r="K32" s="64">
        <f t="shared" si="18"/>
        <v>124.32386408550001</v>
      </c>
      <c r="L32" s="64" t="str">
        <f t="shared" si="18"/>
        <v>JL. RAYA POYOWA BESAR</v>
      </c>
      <c r="M32" s="64" t="str">
        <f t="shared" ref="M32:M33" si="19">M31</f>
        <v>SULAWESU UTARA</v>
      </c>
      <c r="N32" s="65" t="s">
        <v>105</v>
      </c>
      <c r="O32" s="66" t="s">
        <v>118</v>
      </c>
      <c r="P32" s="65" t="s">
        <v>119</v>
      </c>
      <c r="Q32" s="66">
        <v>95717</v>
      </c>
      <c r="R32" s="67"/>
      <c r="S32" s="68"/>
      <c r="T32" s="68"/>
      <c r="U32" s="68"/>
      <c r="V32" s="68"/>
      <c r="W32" s="65" t="s">
        <v>105</v>
      </c>
      <c r="X32" s="64"/>
      <c r="Y32" s="64" t="s">
        <v>106</v>
      </c>
      <c r="Z32" s="64" t="str">
        <f t="shared" ref="Z32:Z33" si="20">Z31</f>
        <v>KELURAHAN POYOWA BESAR SATU KOTAMOBAGU</v>
      </c>
      <c r="AA32" s="65"/>
      <c r="AB32" s="65"/>
      <c r="AC32" s="65" t="s">
        <v>70</v>
      </c>
      <c r="AD32" s="64" t="str">
        <f t="shared" si="16"/>
        <v>POYOWA BESAR</v>
      </c>
      <c r="AE32" s="67"/>
      <c r="AF32" s="67"/>
      <c r="AG32" s="67"/>
      <c r="AH32" s="67"/>
      <c r="AI32" s="69"/>
      <c r="AJ32" s="11" t="s">
        <v>140</v>
      </c>
      <c r="AK32" s="65" t="s">
        <v>96</v>
      </c>
      <c r="AL32" s="65"/>
      <c r="AM32" s="65"/>
      <c r="AN32" s="65"/>
      <c r="AO32" s="65"/>
      <c r="AP32" s="65"/>
      <c r="AQ32" s="177" t="s">
        <v>97</v>
      </c>
      <c r="AR32" s="70" t="s">
        <v>349</v>
      </c>
      <c r="AS32" s="71" t="str">
        <f t="shared" ref="AS32:AT33" si="21">AS31</f>
        <v>KPBS-1.019</v>
      </c>
      <c r="AT32" s="71" t="str">
        <f t="shared" si="21"/>
        <v>A02</v>
      </c>
      <c r="AU32" s="72"/>
      <c r="AV32" s="202">
        <v>0.71289173260000005</v>
      </c>
      <c r="AW32" s="202">
        <v>124.32379411559999</v>
      </c>
      <c r="AX32" s="65" t="s">
        <v>98</v>
      </c>
      <c r="AY32" s="65" t="s">
        <v>94</v>
      </c>
      <c r="AZ32" s="65" t="s">
        <v>94</v>
      </c>
      <c r="BA32" s="73" t="s">
        <v>77</v>
      </c>
      <c r="BB32" s="65" t="s">
        <v>98</v>
      </c>
      <c r="BC32" s="65">
        <v>31</v>
      </c>
      <c r="BD32" s="65" t="s">
        <v>98</v>
      </c>
      <c r="BE32" s="211" t="str">
        <f t="shared" si="14"/>
        <v>23A, POYOWA BESAR,</v>
      </c>
    </row>
    <row r="33" spans="1:57" s="211" customFormat="1" ht="15.75" customHeight="1">
      <c r="A33" s="224"/>
      <c r="B33" s="225"/>
      <c r="C33" s="225"/>
      <c r="D33" s="225"/>
      <c r="E33" s="225"/>
      <c r="F33" s="225"/>
      <c r="G33" s="226"/>
      <c r="H33" s="23">
        <v>9</v>
      </c>
      <c r="I33" s="64" t="str">
        <f t="shared" ref="I33:L33" si="22">I32</f>
        <v>EXT.MR.KTG.KPBD.P005</v>
      </c>
      <c r="J33" s="64">
        <f t="shared" si="22"/>
        <v>0.71305228949999999</v>
      </c>
      <c r="K33" s="64">
        <f t="shared" si="22"/>
        <v>124.32386408550001</v>
      </c>
      <c r="L33" s="64" t="str">
        <f t="shared" si="22"/>
        <v>JL. RAYA POYOWA BESAR</v>
      </c>
      <c r="M33" s="64" t="str">
        <f t="shared" si="19"/>
        <v>SULAWESU UTARA</v>
      </c>
      <c r="N33" s="65" t="s">
        <v>105</v>
      </c>
      <c r="O33" s="66" t="s">
        <v>118</v>
      </c>
      <c r="P33" s="65" t="s">
        <v>119</v>
      </c>
      <c r="Q33" s="66">
        <v>95717</v>
      </c>
      <c r="R33" s="67"/>
      <c r="S33" s="68"/>
      <c r="T33" s="68"/>
      <c r="U33" s="68"/>
      <c r="V33" s="68"/>
      <c r="W33" s="65" t="s">
        <v>105</v>
      </c>
      <c r="X33" s="64"/>
      <c r="Y33" s="64" t="s">
        <v>106</v>
      </c>
      <c r="Z33" s="64" t="str">
        <f t="shared" si="20"/>
        <v>KELURAHAN POYOWA BESAR SATU KOTAMOBAGU</v>
      </c>
      <c r="AA33" s="65"/>
      <c r="AB33" s="65"/>
      <c r="AC33" s="65" t="s">
        <v>70</v>
      </c>
      <c r="AD33" s="64" t="str">
        <f t="shared" si="16"/>
        <v>POYOWA BESAR</v>
      </c>
      <c r="AE33" s="67"/>
      <c r="AF33" s="67"/>
      <c r="AG33" s="67"/>
      <c r="AH33" s="67"/>
      <c r="AI33" s="69"/>
      <c r="AJ33" s="11" t="s">
        <v>141</v>
      </c>
      <c r="AK33" s="65" t="s">
        <v>96</v>
      </c>
      <c r="AL33" s="65"/>
      <c r="AM33" s="65"/>
      <c r="AN33" s="65"/>
      <c r="AO33" s="65"/>
      <c r="AP33" s="65"/>
      <c r="AQ33" s="177" t="s">
        <v>97</v>
      </c>
      <c r="AR33" s="70" t="s">
        <v>349</v>
      </c>
      <c r="AS33" s="71" t="str">
        <f t="shared" si="21"/>
        <v>KPBS-1.019</v>
      </c>
      <c r="AT33" s="71" t="str">
        <f t="shared" si="21"/>
        <v>A02</v>
      </c>
      <c r="AU33" s="72"/>
      <c r="AV33" s="202">
        <v>0.71319534029999998</v>
      </c>
      <c r="AW33" s="202">
        <v>124.3237248555</v>
      </c>
      <c r="AX33" s="65" t="s">
        <v>98</v>
      </c>
      <c r="AY33" s="65" t="s">
        <v>94</v>
      </c>
      <c r="AZ33" s="65" t="s">
        <v>94</v>
      </c>
      <c r="BA33" s="73" t="s">
        <v>77</v>
      </c>
      <c r="BB33" s="65" t="s">
        <v>98</v>
      </c>
      <c r="BC33" s="65">
        <v>31</v>
      </c>
      <c r="BD33" s="65" t="s">
        <v>98</v>
      </c>
      <c r="BE33" s="211" t="str">
        <f t="shared" si="14"/>
        <v>24, POYOWA BESAR,</v>
      </c>
    </row>
    <row r="34" spans="1:57" s="211" customFormat="1" ht="15.75" customHeight="1">
      <c r="A34" s="224"/>
      <c r="B34" s="225"/>
      <c r="C34" s="225"/>
      <c r="D34" s="225"/>
      <c r="E34" s="225"/>
      <c r="F34" s="225"/>
      <c r="G34" s="226"/>
      <c r="H34" s="23">
        <v>10</v>
      </c>
      <c r="I34" s="64" t="str">
        <f t="shared" si="15"/>
        <v>EXT.MR.KTG.KPBD.P005</v>
      </c>
      <c r="J34" s="64">
        <f t="shared" si="15"/>
        <v>0.71305228949999999</v>
      </c>
      <c r="K34" s="64">
        <f t="shared" si="15"/>
        <v>124.32386408550001</v>
      </c>
      <c r="L34" s="64" t="str">
        <f t="shared" si="15"/>
        <v>JL. RAYA POYOWA BESAR</v>
      </c>
      <c r="M34" s="64" t="str">
        <f t="shared" si="2"/>
        <v>SULAWESU UTARA</v>
      </c>
      <c r="N34" s="65" t="s">
        <v>105</v>
      </c>
      <c r="O34" s="66" t="s">
        <v>118</v>
      </c>
      <c r="P34" s="65" t="s">
        <v>119</v>
      </c>
      <c r="Q34" s="66">
        <v>95717</v>
      </c>
      <c r="R34" s="67"/>
      <c r="S34" s="68"/>
      <c r="T34" s="68"/>
      <c r="U34" s="68"/>
      <c r="V34" s="68"/>
      <c r="W34" s="64" t="s">
        <v>105</v>
      </c>
      <c r="X34" s="64"/>
      <c r="Y34" s="64" t="s">
        <v>106</v>
      </c>
      <c r="Z34" s="64" t="str">
        <f t="shared" si="6"/>
        <v>KELURAHAN POYOWA BESAR SATU KOTAMOBAGU</v>
      </c>
      <c r="AA34" s="65"/>
      <c r="AB34" s="65"/>
      <c r="AC34" s="65" t="s">
        <v>70</v>
      </c>
      <c r="AD34" s="64" t="str">
        <f t="shared" si="16"/>
        <v>POYOWA BESAR</v>
      </c>
      <c r="AE34" s="67"/>
      <c r="AF34" s="67"/>
      <c r="AG34" s="67"/>
      <c r="AH34" s="67"/>
      <c r="AI34" s="69"/>
      <c r="AJ34" s="11" t="s">
        <v>142</v>
      </c>
      <c r="AK34" s="65" t="s">
        <v>96</v>
      </c>
      <c r="AL34" s="65"/>
      <c r="AM34" s="65"/>
      <c r="AN34" s="65"/>
      <c r="AO34" s="65"/>
      <c r="AP34" s="65"/>
      <c r="AQ34" s="177" t="s">
        <v>97</v>
      </c>
      <c r="AR34" s="70" t="s">
        <v>349</v>
      </c>
      <c r="AS34" s="71" t="str">
        <f t="shared" si="17"/>
        <v>KPBS-1.019</v>
      </c>
      <c r="AT34" s="71" t="str">
        <f t="shared" si="17"/>
        <v>A02</v>
      </c>
      <c r="AU34" s="72"/>
      <c r="AV34" s="202">
        <v>0.71316465829999998</v>
      </c>
      <c r="AW34" s="202">
        <v>124.3236334663</v>
      </c>
      <c r="AX34" s="65" t="s">
        <v>98</v>
      </c>
      <c r="AY34" s="65" t="s">
        <v>94</v>
      </c>
      <c r="AZ34" s="65" t="s">
        <v>94</v>
      </c>
      <c r="BA34" s="73" t="s">
        <v>77</v>
      </c>
      <c r="BB34" s="65" t="s">
        <v>98</v>
      </c>
      <c r="BC34" s="65">
        <v>31</v>
      </c>
      <c r="BD34" s="65" t="s">
        <v>98</v>
      </c>
      <c r="BE34" s="211" t="str">
        <f t="shared" si="14"/>
        <v>25, POYOWA BESAR,</v>
      </c>
    </row>
    <row r="35" spans="1:57" s="211" customFormat="1" ht="15.75" customHeight="1">
      <c r="A35" s="224"/>
      <c r="B35" s="225"/>
      <c r="C35" s="225"/>
      <c r="D35" s="225"/>
      <c r="E35" s="225"/>
      <c r="F35" s="225"/>
      <c r="G35" s="226"/>
      <c r="H35" s="23">
        <v>11</v>
      </c>
      <c r="I35" s="64" t="str">
        <f t="shared" si="15"/>
        <v>EXT.MR.KTG.KPBD.P005</v>
      </c>
      <c r="J35" s="64">
        <f t="shared" si="15"/>
        <v>0.71305228949999999</v>
      </c>
      <c r="K35" s="64">
        <f t="shared" si="15"/>
        <v>124.32386408550001</v>
      </c>
      <c r="L35" s="64" t="str">
        <f t="shared" si="15"/>
        <v>JL. RAYA POYOWA BESAR</v>
      </c>
      <c r="M35" s="64" t="str">
        <f t="shared" si="2"/>
        <v>SULAWESU UTARA</v>
      </c>
      <c r="N35" s="65" t="s">
        <v>105</v>
      </c>
      <c r="O35" s="66" t="s">
        <v>118</v>
      </c>
      <c r="P35" s="65" t="s">
        <v>119</v>
      </c>
      <c r="Q35" s="66">
        <v>95717</v>
      </c>
      <c r="R35" s="67"/>
      <c r="S35" s="68"/>
      <c r="T35" s="68"/>
      <c r="U35" s="68"/>
      <c r="V35" s="68"/>
      <c r="W35" s="64" t="s">
        <v>105</v>
      </c>
      <c r="X35" s="64"/>
      <c r="Y35" s="64" t="s">
        <v>106</v>
      </c>
      <c r="Z35" s="64" t="str">
        <f t="shared" si="6"/>
        <v>KELURAHAN POYOWA BESAR SATU KOTAMOBAGU</v>
      </c>
      <c r="AA35" s="65"/>
      <c r="AB35" s="65"/>
      <c r="AC35" s="65" t="s">
        <v>70</v>
      </c>
      <c r="AD35" s="64" t="str">
        <f t="shared" si="16"/>
        <v>POYOWA BESAR</v>
      </c>
      <c r="AE35" s="67"/>
      <c r="AF35" s="67"/>
      <c r="AG35" s="67"/>
      <c r="AH35" s="67"/>
      <c r="AI35" s="69"/>
      <c r="AJ35" s="11" t="s">
        <v>143</v>
      </c>
      <c r="AK35" s="65" t="s">
        <v>96</v>
      </c>
      <c r="AL35" s="65"/>
      <c r="AM35" s="65"/>
      <c r="AN35" s="65"/>
      <c r="AO35" s="65"/>
      <c r="AP35" s="65"/>
      <c r="AQ35" s="177" t="s">
        <v>97</v>
      </c>
      <c r="AR35" s="70" t="s">
        <v>349</v>
      </c>
      <c r="AS35" s="71" t="str">
        <f t="shared" si="17"/>
        <v>KPBS-1.019</v>
      </c>
      <c r="AT35" s="71" t="str">
        <f t="shared" si="17"/>
        <v>A02</v>
      </c>
      <c r="AU35" s="72"/>
      <c r="AV35" s="202">
        <v>0.71284079190000005</v>
      </c>
      <c r="AW35" s="202">
        <v>124.32374339819999</v>
      </c>
      <c r="AX35" s="65" t="s">
        <v>98</v>
      </c>
      <c r="AY35" s="65" t="s">
        <v>94</v>
      </c>
      <c r="AZ35" s="65" t="s">
        <v>94</v>
      </c>
      <c r="BA35" s="73" t="s">
        <v>77</v>
      </c>
      <c r="BB35" s="65" t="s">
        <v>98</v>
      </c>
      <c r="BC35" s="65">
        <v>31</v>
      </c>
      <c r="BD35" s="65" t="s">
        <v>98</v>
      </c>
      <c r="BE35" s="211" t="str">
        <f t="shared" si="14"/>
        <v>26, POYOWA BESAR,</v>
      </c>
    </row>
    <row r="36" spans="1:57" s="211" customFormat="1" ht="15.75" customHeight="1">
      <c r="A36" s="224"/>
      <c r="B36" s="225"/>
      <c r="C36" s="225"/>
      <c r="D36" s="225"/>
      <c r="E36" s="225"/>
      <c r="F36" s="225"/>
      <c r="G36" s="226"/>
      <c r="H36" s="23">
        <v>12</v>
      </c>
      <c r="I36" s="64" t="str">
        <f t="shared" si="15"/>
        <v>EXT.MR.KTG.KPBD.P005</v>
      </c>
      <c r="J36" s="64">
        <f t="shared" si="15"/>
        <v>0.71305228949999999</v>
      </c>
      <c r="K36" s="64">
        <f t="shared" si="15"/>
        <v>124.32386408550001</v>
      </c>
      <c r="L36" s="64" t="str">
        <f t="shared" si="15"/>
        <v>JL. RAYA POYOWA BESAR</v>
      </c>
      <c r="M36" s="64" t="str">
        <f t="shared" si="2"/>
        <v>SULAWESU UTARA</v>
      </c>
      <c r="N36" s="65" t="s">
        <v>105</v>
      </c>
      <c r="O36" s="66" t="s">
        <v>118</v>
      </c>
      <c r="P36" s="65" t="s">
        <v>119</v>
      </c>
      <c r="Q36" s="66">
        <v>95717</v>
      </c>
      <c r="R36" s="66"/>
      <c r="S36" s="66"/>
      <c r="T36" s="66"/>
      <c r="U36" s="66"/>
      <c r="V36" s="66"/>
      <c r="W36" s="64" t="s">
        <v>105</v>
      </c>
      <c r="X36" s="64"/>
      <c r="Y36" s="64" t="s">
        <v>106</v>
      </c>
      <c r="Z36" s="64" t="str">
        <f t="shared" si="6"/>
        <v>KELURAHAN POYOWA BESAR SATU KOTAMOBAGU</v>
      </c>
      <c r="AA36" s="65"/>
      <c r="AB36" s="65"/>
      <c r="AC36" s="65" t="s">
        <v>70</v>
      </c>
      <c r="AD36" s="64" t="str">
        <f t="shared" si="16"/>
        <v>POYOWA BESAR</v>
      </c>
      <c r="AE36" s="66"/>
      <c r="AF36" s="66"/>
      <c r="AG36" s="66"/>
      <c r="AH36" s="66"/>
      <c r="AI36" s="69"/>
      <c r="AJ36" s="11" t="s">
        <v>144</v>
      </c>
      <c r="AK36" s="178" t="s">
        <v>96</v>
      </c>
      <c r="AL36" s="178"/>
      <c r="AM36" s="178"/>
      <c r="AN36" s="178"/>
      <c r="AO36" s="178"/>
      <c r="AP36" s="178"/>
      <c r="AQ36" s="179" t="s">
        <v>97</v>
      </c>
      <c r="AR36" s="70" t="s">
        <v>349</v>
      </c>
      <c r="AS36" s="71" t="str">
        <f t="shared" si="17"/>
        <v>KPBS-1.019</v>
      </c>
      <c r="AT36" s="71" t="str">
        <f t="shared" si="17"/>
        <v>A02</v>
      </c>
      <c r="AU36" s="72"/>
      <c r="AV36" s="202">
        <v>0.7131022709</v>
      </c>
      <c r="AW36" s="202">
        <v>124.323518095</v>
      </c>
      <c r="AX36" s="65" t="s">
        <v>98</v>
      </c>
      <c r="AY36" s="65" t="s">
        <v>94</v>
      </c>
      <c r="AZ36" s="65" t="s">
        <v>94</v>
      </c>
      <c r="BA36" s="73" t="s">
        <v>77</v>
      </c>
      <c r="BB36" s="65" t="s">
        <v>98</v>
      </c>
      <c r="BC36" s="65">
        <v>31</v>
      </c>
      <c r="BD36" s="65" t="s">
        <v>98</v>
      </c>
      <c r="BE36" s="211" t="str">
        <f t="shared" si="14"/>
        <v>27, POYOWA BESAR,</v>
      </c>
    </row>
    <row r="37" spans="1:57" s="211" customFormat="1" ht="15.75" customHeight="1">
      <c r="A37" s="224"/>
      <c r="B37" s="225"/>
      <c r="C37" s="225"/>
      <c r="D37" s="225"/>
      <c r="E37" s="225"/>
      <c r="F37" s="225"/>
      <c r="G37" s="226"/>
      <c r="H37" s="23">
        <v>13</v>
      </c>
      <c r="I37" s="64" t="str">
        <f t="shared" si="15"/>
        <v>EXT.MR.KTG.KPBD.P005</v>
      </c>
      <c r="J37" s="64">
        <f t="shared" si="15"/>
        <v>0.71305228949999999</v>
      </c>
      <c r="K37" s="64">
        <f t="shared" si="15"/>
        <v>124.32386408550001</v>
      </c>
      <c r="L37" s="64" t="str">
        <f t="shared" si="15"/>
        <v>JL. RAYA POYOWA BESAR</v>
      </c>
      <c r="M37" s="64" t="str">
        <f t="shared" si="2"/>
        <v>SULAWESU UTARA</v>
      </c>
      <c r="N37" s="65" t="s">
        <v>105</v>
      </c>
      <c r="O37" s="66" t="s">
        <v>118</v>
      </c>
      <c r="P37" s="65" t="s">
        <v>119</v>
      </c>
      <c r="Q37" s="66">
        <v>95717</v>
      </c>
      <c r="R37" s="67"/>
      <c r="S37" s="68"/>
      <c r="T37" s="68"/>
      <c r="U37" s="68"/>
      <c r="V37" s="68"/>
      <c r="W37" s="64" t="s">
        <v>105</v>
      </c>
      <c r="X37" s="64"/>
      <c r="Y37" s="64" t="s">
        <v>106</v>
      </c>
      <c r="Z37" s="64" t="str">
        <f t="shared" si="6"/>
        <v>KELURAHAN POYOWA BESAR SATU KOTAMOBAGU</v>
      </c>
      <c r="AA37" s="65"/>
      <c r="AB37" s="65"/>
      <c r="AC37" s="65" t="s">
        <v>70</v>
      </c>
      <c r="AD37" s="64" t="str">
        <f t="shared" si="16"/>
        <v>POYOWA BESAR</v>
      </c>
      <c r="AE37" s="67"/>
      <c r="AF37" s="67"/>
      <c r="AG37" s="67"/>
      <c r="AH37" s="67"/>
      <c r="AI37" s="69"/>
      <c r="AJ37" s="11" t="s">
        <v>145</v>
      </c>
      <c r="AK37" s="178" t="s">
        <v>96</v>
      </c>
      <c r="AL37" s="178"/>
      <c r="AM37" s="178"/>
      <c r="AN37" s="178"/>
      <c r="AO37" s="178"/>
      <c r="AP37" s="178"/>
      <c r="AQ37" s="179" t="s">
        <v>97</v>
      </c>
      <c r="AR37" s="70" t="s">
        <v>349</v>
      </c>
      <c r="AS37" s="71" t="str">
        <f t="shared" si="17"/>
        <v>KPBS-1.019</v>
      </c>
      <c r="AT37" s="71" t="str">
        <f t="shared" si="17"/>
        <v>A02</v>
      </c>
      <c r="AU37" s="72"/>
      <c r="AV37" s="202">
        <v>0.71277559629999998</v>
      </c>
      <c r="AW37" s="202">
        <v>124.32363994729999</v>
      </c>
      <c r="AX37" s="65" t="s">
        <v>98</v>
      </c>
      <c r="AY37" s="65" t="s">
        <v>94</v>
      </c>
      <c r="AZ37" s="65" t="s">
        <v>94</v>
      </c>
      <c r="BA37" s="73" t="s">
        <v>77</v>
      </c>
      <c r="BB37" s="65" t="s">
        <v>98</v>
      </c>
      <c r="BC37" s="65">
        <v>31</v>
      </c>
      <c r="BD37" s="65" t="s">
        <v>98</v>
      </c>
      <c r="BE37" s="211" t="str">
        <f t="shared" si="14"/>
        <v>28, POYOWA BESAR,</v>
      </c>
    </row>
    <row r="38" spans="1:57" s="211" customFormat="1" ht="15.75" customHeight="1">
      <c r="A38" s="224"/>
      <c r="B38" s="225"/>
      <c r="C38" s="225"/>
      <c r="D38" s="225"/>
      <c r="E38" s="225"/>
      <c r="F38" s="225"/>
      <c r="G38" s="226"/>
      <c r="H38" s="23">
        <v>14</v>
      </c>
      <c r="I38" s="64" t="str">
        <f t="shared" si="15"/>
        <v>EXT.MR.KTG.KPBD.P005</v>
      </c>
      <c r="J38" s="64">
        <f t="shared" si="15"/>
        <v>0.71305228949999999</v>
      </c>
      <c r="K38" s="64">
        <f t="shared" si="15"/>
        <v>124.32386408550001</v>
      </c>
      <c r="L38" s="64" t="str">
        <f t="shared" si="15"/>
        <v>JL. RAYA POYOWA BESAR</v>
      </c>
      <c r="M38" s="64" t="str">
        <f t="shared" si="2"/>
        <v>SULAWESU UTARA</v>
      </c>
      <c r="N38" s="65" t="s">
        <v>105</v>
      </c>
      <c r="O38" s="66" t="s">
        <v>118</v>
      </c>
      <c r="P38" s="65" t="s">
        <v>119</v>
      </c>
      <c r="Q38" s="66">
        <v>95717</v>
      </c>
      <c r="R38" s="66"/>
      <c r="S38" s="66"/>
      <c r="T38" s="66"/>
      <c r="U38" s="66"/>
      <c r="V38" s="66"/>
      <c r="W38" s="64" t="s">
        <v>105</v>
      </c>
      <c r="X38" s="64"/>
      <c r="Y38" s="64" t="s">
        <v>106</v>
      </c>
      <c r="Z38" s="64" t="str">
        <f t="shared" si="6"/>
        <v>KELURAHAN POYOWA BESAR SATU KOTAMOBAGU</v>
      </c>
      <c r="AA38" s="65"/>
      <c r="AB38" s="65"/>
      <c r="AC38" s="65" t="s">
        <v>70</v>
      </c>
      <c r="AD38" s="64" t="str">
        <f t="shared" si="16"/>
        <v>POYOWA BESAR</v>
      </c>
      <c r="AE38" s="66"/>
      <c r="AF38" s="66"/>
      <c r="AG38" s="66"/>
      <c r="AH38" s="66"/>
      <c r="AI38" s="69"/>
      <c r="AJ38" s="11" t="s">
        <v>146</v>
      </c>
      <c r="AK38" s="178" t="s">
        <v>96</v>
      </c>
      <c r="AL38" s="178"/>
      <c r="AM38" s="178"/>
      <c r="AN38" s="178"/>
      <c r="AO38" s="178"/>
      <c r="AP38" s="178"/>
      <c r="AQ38" s="179" t="s">
        <v>97</v>
      </c>
      <c r="AR38" s="70" t="s">
        <v>349</v>
      </c>
      <c r="AS38" s="71" t="str">
        <f t="shared" si="17"/>
        <v>KPBS-1.019</v>
      </c>
      <c r="AT38" s="71" t="str">
        <f t="shared" si="17"/>
        <v>A02</v>
      </c>
      <c r="AU38" s="72"/>
      <c r="AV38" s="202">
        <v>0.71308220739999895</v>
      </c>
      <c r="AW38" s="202">
        <v>124.32342803029999</v>
      </c>
      <c r="AX38" s="65" t="s">
        <v>98</v>
      </c>
      <c r="AY38" s="65" t="s">
        <v>94</v>
      </c>
      <c r="AZ38" s="65" t="s">
        <v>94</v>
      </c>
      <c r="BA38" s="73" t="s">
        <v>77</v>
      </c>
      <c r="BB38" s="65" t="s">
        <v>98</v>
      </c>
      <c r="BC38" s="65">
        <v>31</v>
      </c>
      <c r="BD38" s="65" t="s">
        <v>98</v>
      </c>
      <c r="BE38" s="211" t="str">
        <f t="shared" si="14"/>
        <v>29, POYOWA BESAR,</v>
      </c>
    </row>
    <row r="39" spans="1:57" s="211" customFormat="1" ht="15.75" customHeight="1">
      <c r="A39" s="224"/>
      <c r="B39" s="225"/>
      <c r="C39" s="225"/>
      <c r="D39" s="225"/>
      <c r="E39" s="225"/>
      <c r="F39" s="225"/>
      <c r="G39" s="226"/>
      <c r="H39" s="23">
        <v>15</v>
      </c>
      <c r="I39" s="64" t="str">
        <f t="shared" si="15"/>
        <v>EXT.MR.KTG.KPBD.P005</v>
      </c>
      <c r="J39" s="64">
        <f t="shared" si="15"/>
        <v>0.71305228949999999</v>
      </c>
      <c r="K39" s="64">
        <f t="shared" si="15"/>
        <v>124.32386408550001</v>
      </c>
      <c r="L39" s="64" t="str">
        <f t="shared" si="15"/>
        <v>JL. RAYA POYOWA BESAR</v>
      </c>
      <c r="M39" s="64" t="str">
        <f t="shared" si="2"/>
        <v>SULAWESU UTARA</v>
      </c>
      <c r="N39" s="65" t="s">
        <v>105</v>
      </c>
      <c r="O39" s="66" t="s">
        <v>118</v>
      </c>
      <c r="P39" s="65" t="s">
        <v>119</v>
      </c>
      <c r="Q39" s="66">
        <v>95717</v>
      </c>
      <c r="R39" s="67"/>
      <c r="S39" s="68"/>
      <c r="T39" s="68"/>
      <c r="U39" s="68"/>
      <c r="V39" s="68"/>
      <c r="W39" s="64" t="s">
        <v>105</v>
      </c>
      <c r="X39" s="64"/>
      <c r="Y39" s="64" t="s">
        <v>106</v>
      </c>
      <c r="Z39" s="64" t="str">
        <f t="shared" si="6"/>
        <v>KELURAHAN POYOWA BESAR SATU KOTAMOBAGU</v>
      </c>
      <c r="AA39" s="65"/>
      <c r="AB39" s="65"/>
      <c r="AC39" s="65" t="s">
        <v>70</v>
      </c>
      <c r="AD39" s="64" t="str">
        <f t="shared" si="16"/>
        <v>POYOWA BESAR</v>
      </c>
      <c r="AE39" s="67"/>
      <c r="AF39" s="67"/>
      <c r="AG39" s="67"/>
      <c r="AH39" s="67"/>
      <c r="AI39" s="69"/>
      <c r="AJ39" s="11" t="s">
        <v>147</v>
      </c>
      <c r="AK39" s="178" t="s">
        <v>96</v>
      </c>
      <c r="AL39" s="178"/>
      <c r="AM39" s="178"/>
      <c r="AN39" s="178"/>
      <c r="AO39" s="178"/>
      <c r="AP39" s="178"/>
      <c r="AQ39" s="179" t="s">
        <v>97</v>
      </c>
      <c r="AR39" s="70" t="s">
        <v>349</v>
      </c>
      <c r="AS39" s="71" t="str">
        <f t="shared" si="17"/>
        <v>KPBS-1.019</v>
      </c>
      <c r="AT39" s="71" t="str">
        <f t="shared" si="17"/>
        <v>A02</v>
      </c>
      <c r="AU39" s="72"/>
      <c r="AV39" s="202">
        <v>0.71273311589999999</v>
      </c>
      <c r="AW39" s="202">
        <v>124.3235604785</v>
      </c>
      <c r="AX39" s="65" t="s">
        <v>98</v>
      </c>
      <c r="AY39" s="65" t="s">
        <v>94</v>
      </c>
      <c r="AZ39" s="65" t="s">
        <v>94</v>
      </c>
      <c r="BA39" s="73" t="s">
        <v>77</v>
      </c>
      <c r="BB39" s="65" t="s">
        <v>98</v>
      </c>
      <c r="BC39" s="65">
        <v>31</v>
      </c>
      <c r="BD39" s="65" t="s">
        <v>98</v>
      </c>
      <c r="BE39" s="211" t="str">
        <f t="shared" si="14"/>
        <v>30, POYOWA BESAR,</v>
      </c>
    </row>
    <row r="40" spans="1:57" s="211" customFormat="1" ht="15.75" customHeight="1">
      <c r="A40" s="224"/>
      <c r="B40" s="225"/>
      <c r="C40" s="225"/>
      <c r="D40" s="225"/>
      <c r="E40" s="225"/>
      <c r="F40" s="225"/>
      <c r="G40" s="226"/>
      <c r="H40" s="23">
        <v>16</v>
      </c>
      <c r="I40" s="64" t="str">
        <f t="shared" si="15"/>
        <v>EXT.MR.KTG.KPBD.P005</v>
      </c>
      <c r="J40" s="64">
        <f t="shared" si="15"/>
        <v>0.71305228949999999</v>
      </c>
      <c r="K40" s="64">
        <f t="shared" si="15"/>
        <v>124.32386408550001</v>
      </c>
      <c r="L40" s="64" t="str">
        <f t="shared" si="15"/>
        <v>JL. RAYA POYOWA BESAR</v>
      </c>
      <c r="M40" s="64" t="str">
        <f t="shared" si="2"/>
        <v>SULAWESU UTARA</v>
      </c>
      <c r="N40" s="65" t="s">
        <v>105</v>
      </c>
      <c r="O40" s="66" t="s">
        <v>118</v>
      </c>
      <c r="P40" s="65" t="s">
        <v>119</v>
      </c>
      <c r="Q40" s="66">
        <v>95717</v>
      </c>
      <c r="R40" s="67"/>
      <c r="S40" s="68"/>
      <c r="T40" s="68"/>
      <c r="U40" s="68"/>
      <c r="V40" s="68"/>
      <c r="W40" s="65" t="s">
        <v>105</v>
      </c>
      <c r="X40" s="64"/>
      <c r="Y40" s="64" t="s">
        <v>106</v>
      </c>
      <c r="Z40" s="64" t="str">
        <f t="shared" si="6"/>
        <v>KELURAHAN POYOWA BESAR SATU KOTAMOBAGU</v>
      </c>
      <c r="AA40" s="65"/>
      <c r="AB40" s="65"/>
      <c r="AC40" s="65" t="s">
        <v>70</v>
      </c>
      <c r="AD40" s="64" t="str">
        <f t="shared" si="16"/>
        <v>POYOWA BESAR</v>
      </c>
      <c r="AE40" s="67"/>
      <c r="AF40" s="67"/>
      <c r="AG40" s="67"/>
      <c r="AH40" s="67"/>
      <c r="AI40" s="69"/>
      <c r="AJ40" s="11" t="s">
        <v>148</v>
      </c>
      <c r="AK40" s="65" t="s">
        <v>96</v>
      </c>
      <c r="AL40" s="65"/>
      <c r="AM40" s="65"/>
      <c r="AN40" s="65"/>
      <c r="AO40" s="65"/>
      <c r="AP40" s="65"/>
      <c r="AQ40" s="177" t="s">
        <v>97</v>
      </c>
      <c r="AR40" s="70" t="s">
        <v>349</v>
      </c>
      <c r="AS40" s="71" t="str">
        <f t="shared" si="17"/>
        <v>KPBS-1.019</v>
      </c>
      <c r="AT40" s="71" t="str">
        <f t="shared" si="17"/>
        <v>A02</v>
      </c>
      <c r="AU40" s="72"/>
      <c r="AV40" s="202">
        <v>0.71305432759999998</v>
      </c>
      <c r="AW40" s="202">
        <v>124.32334723709999</v>
      </c>
      <c r="AX40" s="65" t="s">
        <v>98</v>
      </c>
      <c r="AY40" s="65" t="s">
        <v>94</v>
      </c>
      <c r="AZ40" s="65" t="s">
        <v>94</v>
      </c>
      <c r="BA40" s="73" t="s">
        <v>77</v>
      </c>
      <c r="BB40" s="65" t="s">
        <v>98</v>
      </c>
      <c r="BC40" s="65">
        <v>31</v>
      </c>
      <c r="BD40" s="65" t="s">
        <v>98</v>
      </c>
      <c r="BE40" s="211" t="str">
        <f>AJ40&amp;", "&amp;AD40&amp;","&amp;AI40</f>
        <v>31, POYOWA BESAR,</v>
      </c>
    </row>
    <row r="41" spans="1:57" s="211" customFormat="1" ht="15.75" customHeight="1">
      <c r="A41" s="36" t="s">
        <v>67</v>
      </c>
      <c r="B41" s="36">
        <f>B25+1</f>
        <v>3</v>
      </c>
      <c r="C41" s="33" t="s">
        <v>68</v>
      </c>
      <c r="D41" s="37" t="s">
        <v>348</v>
      </c>
      <c r="E41" s="38">
        <v>1</v>
      </c>
      <c r="F41" s="39">
        <f>F26+1</f>
        <v>5</v>
      </c>
      <c r="G41" s="213" t="s">
        <v>72</v>
      </c>
      <c r="H41" s="35">
        <v>1</v>
      </c>
      <c r="I41" s="48" t="s">
        <v>977</v>
      </c>
      <c r="J41" s="54">
        <v>0.71271963839999997</v>
      </c>
      <c r="K41" s="54">
        <v>124.32312328259999</v>
      </c>
      <c r="L41" s="116" t="s">
        <v>116</v>
      </c>
      <c r="M41" s="56" t="str">
        <f t="shared" si="2"/>
        <v>SULAWESU UTARA</v>
      </c>
      <c r="N41" s="76" t="s">
        <v>105</v>
      </c>
      <c r="O41" s="49" t="s">
        <v>118</v>
      </c>
      <c r="P41" s="76" t="s">
        <v>119</v>
      </c>
      <c r="Q41" s="49">
        <v>95717</v>
      </c>
      <c r="R41" s="51"/>
      <c r="S41" s="52"/>
      <c r="T41" s="53"/>
      <c r="U41" s="52"/>
      <c r="V41" s="53"/>
      <c r="W41" s="50" t="s">
        <v>105</v>
      </c>
      <c r="X41" s="54"/>
      <c r="Y41" s="56" t="s">
        <v>106</v>
      </c>
      <c r="Z41" s="56" t="str">
        <f t="shared" si="6"/>
        <v>KELURAHAN POYOWA BESAR SATU KOTAMOBAGU</v>
      </c>
      <c r="AA41" s="55"/>
      <c r="AB41" s="55"/>
      <c r="AC41" s="55" t="s">
        <v>70</v>
      </c>
      <c r="AD41" s="116" t="s">
        <v>119</v>
      </c>
      <c r="AE41" s="57"/>
      <c r="AF41" s="57"/>
      <c r="AG41" s="57"/>
      <c r="AH41" s="57"/>
      <c r="AI41" s="58"/>
      <c r="AJ41" s="114" t="s">
        <v>369</v>
      </c>
      <c r="AK41" s="55" t="s">
        <v>96</v>
      </c>
      <c r="AL41" s="62"/>
      <c r="AM41" s="184"/>
      <c r="AN41" s="184"/>
      <c r="AO41" s="184"/>
      <c r="AP41" s="184"/>
      <c r="AQ41" s="185" t="s">
        <v>97</v>
      </c>
      <c r="AR41" s="59" t="s">
        <v>349</v>
      </c>
      <c r="AS41" s="60" t="str">
        <f>AS25</f>
        <v>KPBS-1.019</v>
      </c>
      <c r="AT41" s="60" t="str">
        <f>G41</f>
        <v>A03</v>
      </c>
      <c r="AU41" s="61"/>
      <c r="AV41" s="201">
        <v>0.71268533229999897</v>
      </c>
      <c r="AW41" s="201">
        <v>124.32335915740001</v>
      </c>
      <c r="AX41" s="62" t="s">
        <v>98</v>
      </c>
      <c r="AY41" s="62" t="s">
        <v>94</v>
      </c>
      <c r="AZ41" s="62" t="s">
        <v>94</v>
      </c>
      <c r="BA41" s="63" t="s">
        <v>77</v>
      </c>
      <c r="BB41" s="62" t="s">
        <v>98</v>
      </c>
      <c r="BC41" s="62">
        <v>31</v>
      </c>
      <c r="BD41" s="62" t="s">
        <v>98</v>
      </c>
      <c r="BE41" s="211" t="str">
        <f t="shared" ref="BE41:BE52" si="23">AJ41&amp;", "&amp;AD41&amp;","&amp;AI41</f>
        <v>34, POYOWA BESAR,</v>
      </c>
    </row>
    <row r="42" spans="1:57" s="211" customFormat="1" ht="15.75" customHeight="1">
      <c r="A42" s="46"/>
      <c r="B42" s="46"/>
      <c r="C42" s="22" t="s">
        <v>68</v>
      </c>
      <c r="D42" s="22" t="s">
        <v>348</v>
      </c>
      <c r="E42" s="33">
        <v>1</v>
      </c>
      <c r="F42" s="47">
        <f>F41+1</f>
        <v>6</v>
      </c>
      <c r="G42" s="214"/>
      <c r="H42" s="23">
        <v>2</v>
      </c>
      <c r="I42" s="64" t="str">
        <f t="shared" ref="I42:M53" si="24">I41</f>
        <v>EXT.MR.KTG.KPBD.P007</v>
      </c>
      <c r="J42" s="64">
        <f t="shared" si="24"/>
        <v>0.71271963839999997</v>
      </c>
      <c r="K42" s="64">
        <f t="shared" si="24"/>
        <v>124.32312328259999</v>
      </c>
      <c r="L42" s="64" t="str">
        <f t="shared" si="24"/>
        <v>JL. RAYA POYOWA BESAR</v>
      </c>
      <c r="M42" s="64" t="str">
        <f t="shared" si="2"/>
        <v>SULAWESU UTARA</v>
      </c>
      <c r="N42" s="65" t="s">
        <v>105</v>
      </c>
      <c r="O42" s="66" t="s">
        <v>118</v>
      </c>
      <c r="P42" s="65" t="s">
        <v>119</v>
      </c>
      <c r="Q42" s="66">
        <v>95717</v>
      </c>
      <c r="R42" s="67"/>
      <c r="S42" s="68"/>
      <c r="T42" s="68"/>
      <c r="U42" s="68"/>
      <c r="V42" s="68"/>
      <c r="W42" s="65" t="s">
        <v>105</v>
      </c>
      <c r="X42" s="64"/>
      <c r="Y42" s="64" t="s">
        <v>106</v>
      </c>
      <c r="Z42" s="64" t="str">
        <f t="shared" si="6"/>
        <v>KELURAHAN POYOWA BESAR SATU KOTAMOBAGU</v>
      </c>
      <c r="AA42" s="65"/>
      <c r="AB42" s="65"/>
      <c r="AC42" s="65" t="s">
        <v>70</v>
      </c>
      <c r="AD42" s="64" t="str">
        <f t="shared" ref="AD42" si="25">AD41</f>
        <v>POYOWA BESAR</v>
      </c>
      <c r="AE42" s="67"/>
      <c r="AF42" s="67"/>
      <c r="AG42" s="67"/>
      <c r="AH42" s="67"/>
      <c r="AI42" s="69"/>
      <c r="AJ42" s="11" t="s">
        <v>370</v>
      </c>
      <c r="AK42" s="65" t="s">
        <v>96</v>
      </c>
      <c r="AL42" s="65"/>
      <c r="AM42" s="176"/>
      <c r="AN42" s="176"/>
      <c r="AO42" s="176"/>
      <c r="AP42" s="176"/>
      <c r="AQ42" s="177" t="s">
        <v>97</v>
      </c>
      <c r="AR42" s="70" t="s">
        <v>349</v>
      </c>
      <c r="AS42" s="71" t="str">
        <f t="shared" ref="AS42:AT53" si="26">AS41</f>
        <v>KPBS-1.019</v>
      </c>
      <c r="AT42" s="71" t="str">
        <f t="shared" si="26"/>
        <v>A03</v>
      </c>
      <c r="AU42" s="72"/>
      <c r="AV42" s="202">
        <v>0.71270656939999999</v>
      </c>
      <c r="AW42" s="202">
        <v>124.3234770362</v>
      </c>
      <c r="AX42" s="65" t="s">
        <v>98</v>
      </c>
      <c r="AY42" s="65" t="s">
        <v>94</v>
      </c>
      <c r="AZ42" s="65" t="s">
        <v>94</v>
      </c>
      <c r="BA42" s="73" t="s">
        <v>77</v>
      </c>
      <c r="BB42" s="65" t="s">
        <v>98</v>
      </c>
      <c r="BC42" s="65">
        <v>31</v>
      </c>
      <c r="BD42" s="65" t="s">
        <v>98</v>
      </c>
      <c r="BE42" s="211" t="str">
        <f t="shared" si="23"/>
        <v>32, POYOWA BESAR,</v>
      </c>
    </row>
    <row r="43" spans="1:57" s="211" customFormat="1" ht="15.75" customHeight="1">
      <c r="A43" s="221"/>
      <c r="B43" s="222"/>
      <c r="C43" s="222"/>
      <c r="D43" s="222"/>
      <c r="E43" s="222"/>
      <c r="F43" s="222"/>
      <c r="G43" s="223"/>
      <c r="H43" s="23">
        <v>3</v>
      </c>
      <c r="I43" s="64" t="str">
        <f t="shared" si="24"/>
        <v>EXT.MR.KTG.KPBD.P007</v>
      </c>
      <c r="J43" s="64">
        <f t="shared" si="24"/>
        <v>0.71271963839999997</v>
      </c>
      <c r="K43" s="64">
        <f t="shared" si="24"/>
        <v>124.32312328259999</v>
      </c>
      <c r="L43" s="64" t="str">
        <f t="shared" si="24"/>
        <v>JL. RAYA POYOWA BESAR</v>
      </c>
      <c r="M43" s="64" t="str">
        <f t="shared" si="24"/>
        <v>SULAWESU UTARA</v>
      </c>
      <c r="N43" s="65" t="s">
        <v>105</v>
      </c>
      <c r="O43" s="66" t="s">
        <v>118</v>
      </c>
      <c r="P43" s="65" t="s">
        <v>119</v>
      </c>
      <c r="Q43" s="66">
        <v>95717</v>
      </c>
      <c r="R43" s="67"/>
      <c r="S43" s="68"/>
      <c r="T43" s="68"/>
      <c r="U43" s="68"/>
      <c r="V43" s="68"/>
      <c r="W43" s="65" t="s">
        <v>105</v>
      </c>
      <c r="X43" s="64"/>
      <c r="Y43" s="64" t="s">
        <v>106</v>
      </c>
      <c r="Z43" s="64" t="str">
        <f t="shared" si="6"/>
        <v>KELURAHAN POYOWA BESAR SATU KOTAMOBAGU</v>
      </c>
      <c r="AA43" s="65"/>
      <c r="AB43" s="65"/>
      <c r="AC43" s="65" t="s">
        <v>70</v>
      </c>
      <c r="AD43" s="64" t="str">
        <f t="shared" ref="AD43" si="27">AD42</f>
        <v>POYOWA BESAR</v>
      </c>
      <c r="AE43" s="67"/>
      <c r="AF43" s="67"/>
      <c r="AG43" s="67"/>
      <c r="AH43" s="67"/>
      <c r="AI43" s="69"/>
      <c r="AJ43" s="11" t="s">
        <v>371</v>
      </c>
      <c r="AK43" s="65" t="s">
        <v>96</v>
      </c>
      <c r="AL43" s="65"/>
      <c r="AM43" s="176"/>
      <c r="AN43" s="176"/>
      <c r="AO43" s="176"/>
      <c r="AP43" s="176"/>
      <c r="AQ43" s="177" t="s">
        <v>97</v>
      </c>
      <c r="AR43" s="70" t="s">
        <v>349</v>
      </c>
      <c r="AS43" s="71" t="str">
        <f t="shared" si="26"/>
        <v>KPBS-1.019</v>
      </c>
      <c r="AT43" s="71" t="str">
        <f t="shared" si="26"/>
        <v>A03</v>
      </c>
      <c r="AU43" s="72"/>
      <c r="AV43" s="202">
        <v>0.71302247189999901</v>
      </c>
      <c r="AW43" s="202">
        <v>124.3232677683</v>
      </c>
      <c r="AX43" s="65" t="s">
        <v>98</v>
      </c>
      <c r="AY43" s="65" t="s">
        <v>94</v>
      </c>
      <c r="AZ43" s="65" t="s">
        <v>94</v>
      </c>
      <c r="BA43" s="73" t="s">
        <v>77</v>
      </c>
      <c r="BB43" s="65" t="s">
        <v>98</v>
      </c>
      <c r="BC43" s="65">
        <v>31</v>
      </c>
      <c r="BD43" s="65" t="s">
        <v>98</v>
      </c>
      <c r="BE43" s="211" t="str">
        <f t="shared" si="23"/>
        <v>33, POYOWA BESAR,</v>
      </c>
    </row>
    <row r="44" spans="1:57" s="211" customFormat="1" ht="15.75" customHeight="1">
      <c r="A44" s="224"/>
      <c r="B44" s="225"/>
      <c r="C44" s="225"/>
      <c r="D44" s="225"/>
      <c r="E44" s="225"/>
      <c r="F44" s="225"/>
      <c r="G44" s="226"/>
      <c r="H44" s="23">
        <v>4</v>
      </c>
      <c r="I44" s="64" t="str">
        <f t="shared" si="24"/>
        <v>EXT.MR.KTG.KPBD.P007</v>
      </c>
      <c r="J44" s="64">
        <f t="shared" si="24"/>
        <v>0.71271963839999997</v>
      </c>
      <c r="K44" s="64">
        <f t="shared" si="24"/>
        <v>124.32312328259999</v>
      </c>
      <c r="L44" s="64" t="str">
        <f t="shared" si="24"/>
        <v>JL. RAYA POYOWA BESAR</v>
      </c>
      <c r="M44" s="64" t="str">
        <f t="shared" si="24"/>
        <v>SULAWESU UTARA</v>
      </c>
      <c r="N44" s="65" t="s">
        <v>105</v>
      </c>
      <c r="O44" s="66" t="s">
        <v>118</v>
      </c>
      <c r="P44" s="65" t="s">
        <v>119</v>
      </c>
      <c r="Q44" s="66">
        <v>95717</v>
      </c>
      <c r="R44" s="67"/>
      <c r="S44" s="68"/>
      <c r="T44" s="68"/>
      <c r="U44" s="68"/>
      <c r="V44" s="68"/>
      <c r="W44" s="65" t="s">
        <v>105</v>
      </c>
      <c r="X44" s="64"/>
      <c r="Y44" s="64" t="s">
        <v>106</v>
      </c>
      <c r="Z44" s="64" t="str">
        <f t="shared" si="6"/>
        <v>KELURAHAN POYOWA BESAR SATU KOTAMOBAGU</v>
      </c>
      <c r="AA44" s="65"/>
      <c r="AB44" s="65"/>
      <c r="AC44" s="65" t="s">
        <v>70</v>
      </c>
      <c r="AD44" s="64" t="str">
        <f t="shared" ref="AD44" si="28">AD43</f>
        <v>POYOWA BESAR</v>
      </c>
      <c r="AE44" s="67"/>
      <c r="AF44" s="67"/>
      <c r="AG44" s="67"/>
      <c r="AH44" s="67"/>
      <c r="AI44" s="69"/>
      <c r="AJ44" s="11" t="s">
        <v>372</v>
      </c>
      <c r="AK44" s="65" t="s">
        <v>96</v>
      </c>
      <c r="AL44" s="65"/>
      <c r="AM44" s="176"/>
      <c r="AN44" s="176"/>
      <c r="AO44" s="176"/>
      <c r="AP44" s="176"/>
      <c r="AQ44" s="177" t="s">
        <v>97</v>
      </c>
      <c r="AR44" s="70" t="s">
        <v>349</v>
      </c>
      <c r="AS44" s="71" t="str">
        <f t="shared" si="26"/>
        <v>KPBS-1.019</v>
      </c>
      <c r="AT44" s="71" t="str">
        <f t="shared" si="26"/>
        <v>A03</v>
      </c>
      <c r="AU44" s="72"/>
      <c r="AV44" s="202">
        <v>0.71264675030000002</v>
      </c>
      <c r="AW44" s="202">
        <v>124.32329417459999</v>
      </c>
      <c r="AX44" s="65" t="s">
        <v>98</v>
      </c>
      <c r="AY44" s="65" t="s">
        <v>94</v>
      </c>
      <c r="AZ44" s="65" t="s">
        <v>94</v>
      </c>
      <c r="BA44" s="73" t="s">
        <v>77</v>
      </c>
      <c r="BB44" s="65" t="s">
        <v>98</v>
      </c>
      <c r="BC44" s="65">
        <v>31</v>
      </c>
      <c r="BD44" s="65" t="s">
        <v>98</v>
      </c>
      <c r="BE44" s="211" t="str">
        <f t="shared" si="23"/>
        <v>36, POYOWA BESAR,</v>
      </c>
    </row>
    <row r="45" spans="1:57" s="211" customFormat="1" ht="15.75" customHeight="1">
      <c r="A45" s="224"/>
      <c r="B45" s="225"/>
      <c r="C45" s="225"/>
      <c r="D45" s="225"/>
      <c r="E45" s="225"/>
      <c r="F45" s="225"/>
      <c r="G45" s="226"/>
      <c r="H45" s="23">
        <v>5</v>
      </c>
      <c r="I45" s="64" t="str">
        <f t="shared" si="24"/>
        <v>EXT.MR.KTG.KPBD.P007</v>
      </c>
      <c r="J45" s="64">
        <f t="shared" si="24"/>
        <v>0.71271963839999997</v>
      </c>
      <c r="K45" s="64">
        <f t="shared" si="24"/>
        <v>124.32312328259999</v>
      </c>
      <c r="L45" s="64" t="str">
        <f t="shared" si="24"/>
        <v>JL. RAYA POYOWA BESAR</v>
      </c>
      <c r="M45" s="64" t="str">
        <f t="shared" si="24"/>
        <v>SULAWESU UTARA</v>
      </c>
      <c r="N45" s="65" t="s">
        <v>105</v>
      </c>
      <c r="O45" s="66" t="s">
        <v>118</v>
      </c>
      <c r="P45" s="65" t="s">
        <v>119</v>
      </c>
      <c r="Q45" s="66">
        <v>95717</v>
      </c>
      <c r="R45" s="67"/>
      <c r="S45" s="68"/>
      <c r="T45" s="68"/>
      <c r="U45" s="68"/>
      <c r="V45" s="68"/>
      <c r="W45" s="65" t="s">
        <v>105</v>
      </c>
      <c r="X45" s="64"/>
      <c r="Y45" s="64" t="s">
        <v>106</v>
      </c>
      <c r="Z45" s="64" t="str">
        <f t="shared" si="6"/>
        <v>KELURAHAN POYOWA BESAR SATU KOTAMOBAGU</v>
      </c>
      <c r="AA45" s="65"/>
      <c r="AB45" s="65"/>
      <c r="AC45" s="65" t="s">
        <v>70</v>
      </c>
      <c r="AD45" s="64" t="str">
        <f t="shared" ref="AD45" si="29">AD44</f>
        <v>POYOWA BESAR</v>
      </c>
      <c r="AE45" s="67"/>
      <c r="AF45" s="67"/>
      <c r="AG45" s="67"/>
      <c r="AH45" s="67"/>
      <c r="AI45" s="69"/>
      <c r="AJ45" s="11" t="s">
        <v>373</v>
      </c>
      <c r="AK45" s="65" t="s">
        <v>96</v>
      </c>
      <c r="AL45" s="65"/>
      <c r="AM45" s="176"/>
      <c r="AN45" s="176"/>
      <c r="AO45" s="176"/>
      <c r="AP45" s="176"/>
      <c r="AQ45" s="177" t="s">
        <v>97</v>
      </c>
      <c r="AR45" s="70" t="s">
        <v>349</v>
      </c>
      <c r="AS45" s="71" t="str">
        <f t="shared" si="26"/>
        <v>KPBS-1.019</v>
      </c>
      <c r="AT45" s="71" t="str">
        <f t="shared" si="26"/>
        <v>A03</v>
      </c>
      <c r="AU45" s="72"/>
      <c r="AV45" s="202">
        <v>0.71297725329999895</v>
      </c>
      <c r="AW45" s="202">
        <v>124.3231736467</v>
      </c>
      <c r="AX45" s="65" t="s">
        <v>98</v>
      </c>
      <c r="AY45" s="65" t="s">
        <v>94</v>
      </c>
      <c r="AZ45" s="65" t="s">
        <v>94</v>
      </c>
      <c r="BA45" s="73" t="s">
        <v>77</v>
      </c>
      <c r="BB45" s="65" t="s">
        <v>98</v>
      </c>
      <c r="BC45" s="65">
        <v>31</v>
      </c>
      <c r="BD45" s="65" t="s">
        <v>98</v>
      </c>
      <c r="BE45" s="211" t="str">
        <f t="shared" si="23"/>
        <v>35, POYOWA BESAR,</v>
      </c>
    </row>
    <row r="46" spans="1:57" s="211" customFormat="1" ht="15.75" customHeight="1">
      <c r="A46" s="224"/>
      <c r="B46" s="225"/>
      <c r="C46" s="225"/>
      <c r="D46" s="225"/>
      <c r="E46" s="225"/>
      <c r="F46" s="225"/>
      <c r="G46" s="226"/>
      <c r="H46" s="23">
        <v>6</v>
      </c>
      <c r="I46" s="64" t="str">
        <f t="shared" si="24"/>
        <v>EXT.MR.KTG.KPBD.P007</v>
      </c>
      <c r="J46" s="64">
        <f t="shared" si="24"/>
        <v>0.71271963839999997</v>
      </c>
      <c r="K46" s="64">
        <f t="shared" si="24"/>
        <v>124.32312328259999</v>
      </c>
      <c r="L46" s="64" t="str">
        <f t="shared" si="24"/>
        <v>JL. RAYA POYOWA BESAR</v>
      </c>
      <c r="M46" s="64" t="str">
        <f t="shared" si="24"/>
        <v>SULAWESU UTARA</v>
      </c>
      <c r="N46" s="65" t="s">
        <v>105</v>
      </c>
      <c r="O46" s="66" t="s">
        <v>118</v>
      </c>
      <c r="P46" s="65" t="s">
        <v>119</v>
      </c>
      <c r="Q46" s="66">
        <v>95717</v>
      </c>
      <c r="R46" s="67"/>
      <c r="S46" s="68"/>
      <c r="T46" s="74"/>
      <c r="U46" s="74"/>
      <c r="V46" s="74"/>
      <c r="W46" s="65" t="s">
        <v>105</v>
      </c>
      <c r="X46" s="64"/>
      <c r="Y46" s="64" t="s">
        <v>106</v>
      </c>
      <c r="Z46" s="64" t="str">
        <f t="shared" si="6"/>
        <v>KELURAHAN POYOWA BESAR SATU KOTAMOBAGU</v>
      </c>
      <c r="AA46" s="65"/>
      <c r="AB46" s="65"/>
      <c r="AC46" s="65" t="s">
        <v>70</v>
      </c>
      <c r="AD46" s="64" t="str">
        <f t="shared" ref="AD46" si="30">AD45</f>
        <v>POYOWA BESAR</v>
      </c>
      <c r="AE46" s="75"/>
      <c r="AF46" s="75"/>
      <c r="AG46" s="75"/>
      <c r="AH46" s="75"/>
      <c r="AI46" s="69"/>
      <c r="AJ46" s="11" t="s">
        <v>374</v>
      </c>
      <c r="AK46" s="65" t="s">
        <v>96</v>
      </c>
      <c r="AL46" s="65"/>
      <c r="AM46" s="176"/>
      <c r="AN46" s="176"/>
      <c r="AO46" s="176"/>
      <c r="AP46" s="176"/>
      <c r="AQ46" s="186" t="s">
        <v>97</v>
      </c>
      <c r="AR46" s="70" t="s">
        <v>349</v>
      </c>
      <c r="AS46" s="71" t="str">
        <f t="shared" si="26"/>
        <v>KPBS-1.019</v>
      </c>
      <c r="AT46" s="71" t="str">
        <f t="shared" si="26"/>
        <v>A03</v>
      </c>
      <c r="AU46" s="72"/>
      <c r="AV46" s="202">
        <v>0.71263075850000002</v>
      </c>
      <c r="AW46" s="202">
        <v>124.3231907526</v>
      </c>
      <c r="AX46" s="65" t="s">
        <v>98</v>
      </c>
      <c r="AY46" s="65" t="s">
        <v>94</v>
      </c>
      <c r="AZ46" s="65" t="s">
        <v>94</v>
      </c>
      <c r="BA46" s="73" t="s">
        <v>77</v>
      </c>
      <c r="BB46" s="65" t="s">
        <v>98</v>
      </c>
      <c r="BC46" s="65">
        <v>31</v>
      </c>
      <c r="BD46" s="65" t="s">
        <v>98</v>
      </c>
      <c r="BE46" s="211" t="str">
        <f t="shared" si="23"/>
        <v>38, POYOWA BESAR,</v>
      </c>
    </row>
    <row r="47" spans="1:57" s="211" customFormat="1" ht="15.75" customHeight="1">
      <c r="A47" s="224"/>
      <c r="B47" s="225"/>
      <c r="C47" s="225"/>
      <c r="D47" s="225"/>
      <c r="E47" s="225"/>
      <c r="F47" s="225"/>
      <c r="G47" s="226"/>
      <c r="H47" s="23">
        <v>7</v>
      </c>
      <c r="I47" s="64" t="str">
        <f t="shared" si="24"/>
        <v>EXT.MR.KTG.KPBD.P007</v>
      </c>
      <c r="J47" s="64">
        <f t="shared" si="24"/>
        <v>0.71271963839999997</v>
      </c>
      <c r="K47" s="64">
        <f t="shared" si="24"/>
        <v>124.32312328259999</v>
      </c>
      <c r="L47" s="64" t="str">
        <f t="shared" si="24"/>
        <v>JL. RAYA POYOWA BESAR</v>
      </c>
      <c r="M47" s="64" t="str">
        <f t="shared" si="24"/>
        <v>SULAWESU UTARA</v>
      </c>
      <c r="N47" s="65" t="s">
        <v>105</v>
      </c>
      <c r="O47" s="66" t="s">
        <v>118</v>
      </c>
      <c r="P47" s="65" t="s">
        <v>119</v>
      </c>
      <c r="Q47" s="66">
        <v>95717</v>
      </c>
      <c r="R47" s="67"/>
      <c r="S47" s="68"/>
      <c r="T47" s="68"/>
      <c r="U47" s="68"/>
      <c r="V47" s="68"/>
      <c r="W47" s="65" t="s">
        <v>105</v>
      </c>
      <c r="X47" s="64"/>
      <c r="Y47" s="64" t="s">
        <v>106</v>
      </c>
      <c r="Z47" s="64" t="str">
        <f t="shared" si="6"/>
        <v>KELURAHAN POYOWA BESAR SATU KOTAMOBAGU</v>
      </c>
      <c r="AA47" s="65"/>
      <c r="AB47" s="65"/>
      <c r="AC47" s="65" t="s">
        <v>70</v>
      </c>
      <c r="AD47" s="64" t="str">
        <f t="shared" ref="AD47" si="31">AD46</f>
        <v>POYOWA BESAR</v>
      </c>
      <c r="AE47" s="67"/>
      <c r="AF47" s="67"/>
      <c r="AG47" s="67"/>
      <c r="AH47" s="67"/>
      <c r="AI47" s="69"/>
      <c r="AJ47" s="11" t="s">
        <v>375</v>
      </c>
      <c r="AK47" s="65" t="s">
        <v>96</v>
      </c>
      <c r="AL47" s="65"/>
      <c r="AM47" s="65"/>
      <c r="AN47" s="65"/>
      <c r="AO47" s="65"/>
      <c r="AP47" s="65"/>
      <c r="AQ47" s="177" t="s">
        <v>97</v>
      </c>
      <c r="AR47" s="70" t="s">
        <v>349</v>
      </c>
      <c r="AS47" s="71" t="str">
        <f t="shared" si="26"/>
        <v>KPBS-1.019</v>
      </c>
      <c r="AT47" s="71" t="str">
        <f t="shared" si="26"/>
        <v>A03</v>
      </c>
      <c r="AU47" s="72"/>
      <c r="AV47" s="202">
        <v>0.71292011450000004</v>
      </c>
      <c r="AW47" s="202">
        <v>124.3230821451</v>
      </c>
      <c r="AX47" s="65" t="s">
        <v>98</v>
      </c>
      <c r="AY47" s="65" t="s">
        <v>94</v>
      </c>
      <c r="AZ47" s="65" t="s">
        <v>94</v>
      </c>
      <c r="BA47" s="73" t="s">
        <v>77</v>
      </c>
      <c r="BB47" s="65" t="s">
        <v>98</v>
      </c>
      <c r="BC47" s="65">
        <v>31</v>
      </c>
      <c r="BD47" s="65" t="s">
        <v>98</v>
      </c>
      <c r="BE47" s="211" t="str">
        <f t="shared" si="23"/>
        <v>37, POYOWA BESAR,</v>
      </c>
    </row>
    <row r="48" spans="1:57" s="211" customFormat="1" ht="15.75" customHeight="1">
      <c r="A48" s="224"/>
      <c r="B48" s="225"/>
      <c r="C48" s="225"/>
      <c r="D48" s="225"/>
      <c r="E48" s="225"/>
      <c r="F48" s="225"/>
      <c r="G48" s="226"/>
      <c r="H48" s="23">
        <v>8</v>
      </c>
      <c r="I48" s="64" t="str">
        <f t="shared" si="24"/>
        <v>EXT.MR.KTG.KPBD.P007</v>
      </c>
      <c r="J48" s="64">
        <f t="shared" si="24"/>
        <v>0.71271963839999997</v>
      </c>
      <c r="K48" s="64">
        <f t="shared" si="24"/>
        <v>124.32312328259999</v>
      </c>
      <c r="L48" s="64" t="str">
        <f t="shared" si="24"/>
        <v>JL. RAYA POYOWA BESAR</v>
      </c>
      <c r="M48" s="64" t="str">
        <f t="shared" si="24"/>
        <v>SULAWESU UTARA</v>
      </c>
      <c r="N48" s="65" t="s">
        <v>105</v>
      </c>
      <c r="O48" s="66" t="s">
        <v>118</v>
      </c>
      <c r="P48" s="65" t="s">
        <v>119</v>
      </c>
      <c r="Q48" s="66">
        <v>95717</v>
      </c>
      <c r="R48" s="67"/>
      <c r="S48" s="68"/>
      <c r="T48" s="68"/>
      <c r="U48" s="68"/>
      <c r="V48" s="68"/>
      <c r="W48" s="64" t="s">
        <v>105</v>
      </c>
      <c r="X48" s="64"/>
      <c r="Y48" s="64" t="s">
        <v>106</v>
      </c>
      <c r="Z48" s="64" t="str">
        <f t="shared" si="6"/>
        <v>KELURAHAN POYOWA BESAR SATU KOTAMOBAGU</v>
      </c>
      <c r="AA48" s="65"/>
      <c r="AB48" s="65"/>
      <c r="AC48" s="65" t="s">
        <v>70</v>
      </c>
      <c r="AD48" s="64" t="str">
        <f t="shared" ref="AD48" si="32">AD47</f>
        <v>POYOWA BESAR</v>
      </c>
      <c r="AE48" s="67"/>
      <c r="AF48" s="67"/>
      <c r="AG48" s="67"/>
      <c r="AH48" s="67"/>
      <c r="AI48" s="69"/>
      <c r="AJ48" s="11" t="s">
        <v>376</v>
      </c>
      <c r="AK48" s="65" t="s">
        <v>96</v>
      </c>
      <c r="AL48" s="65"/>
      <c r="AM48" s="65"/>
      <c r="AN48" s="65"/>
      <c r="AO48" s="65"/>
      <c r="AP48" s="65"/>
      <c r="AQ48" s="177" t="s">
        <v>97</v>
      </c>
      <c r="AR48" s="70" t="s">
        <v>349</v>
      </c>
      <c r="AS48" s="71" t="str">
        <f t="shared" si="26"/>
        <v>KPBS-1.019</v>
      </c>
      <c r="AT48" s="71" t="str">
        <f t="shared" si="26"/>
        <v>A03</v>
      </c>
      <c r="AU48" s="72"/>
      <c r="AV48" s="202">
        <v>0.71291743900000004</v>
      </c>
      <c r="AW48" s="202">
        <v>124.3229880718</v>
      </c>
      <c r="AX48" s="65" t="s">
        <v>98</v>
      </c>
      <c r="AY48" s="65" t="s">
        <v>94</v>
      </c>
      <c r="AZ48" s="65" t="s">
        <v>94</v>
      </c>
      <c r="BA48" s="73" t="s">
        <v>77</v>
      </c>
      <c r="BB48" s="65" t="s">
        <v>98</v>
      </c>
      <c r="BC48" s="65">
        <v>31</v>
      </c>
      <c r="BD48" s="65" t="s">
        <v>98</v>
      </c>
      <c r="BE48" s="211" t="str">
        <f t="shared" si="23"/>
        <v>39, POYOWA BESAR,</v>
      </c>
    </row>
    <row r="49" spans="1:57" s="211" customFormat="1" ht="15.75" customHeight="1">
      <c r="A49" s="224"/>
      <c r="B49" s="225"/>
      <c r="C49" s="225"/>
      <c r="D49" s="225"/>
      <c r="E49" s="225"/>
      <c r="F49" s="225"/>
      <c r="G49" s="226"/>
      <c r="H49" s="23">
        <v>9</v>
      </c>
      <c r="I49" s="64" t="str">
        <f t="shared" si="24"/>
        <v>EXT.MR.KTG.KPBD.P007</v>
      </c>
      <c r="J49" s="64">
        <f t="shared" si="24"/>
        <v>0.71271963839999997</v>
      </c>
      <c r="K49" s="64">
        <f t="shared" si="24"/>
        <v>124.32312328259999</v>
      </c>
      <c r="L49" s="64" t="str">
        <f t="shared" si="24"/>
        <v>JL. RAYA POYOWA BESAR</v>
      </c>
      <c r="M49" s="64" t="str">
        <f t="shared" si="24"/>
        <v>SULAWESU UTARA</v>
      </c>
      <c r="N49" s="65" t="s">
        <v>105</v>
      </c>
      <c r="O49" s="66" t="s">
        <v>118</v>
      </c>
      <c r="P49" s="65" t="s">
        <v>119</v>
      </c>
      <c r="Q49" s="66">
        <v>95717</v>
      </c>
      <c r="R49" s="67"/>
      <c r="S49" s="68"/>
      <c r="T49" s="68"/>
      <c r="U49" s="68"/>
      <c r="V49" s="68"/>
      <c r="W49" s="64" t="s">
        <v>105</v>
      </c>
      <c r="X49" s="64"/>
      <c r="Y49" s="64" t="s">
        <v>106</v>
      </c>
      <c r="Z49" s="64" t="str">
        <f t="shared" si="6"/>
        <v>KELURAHAN POYOWA BESAR SATU KOTAMOBAGU</v>
      </c>
      <c r="AA49" s="65"/>
      <c r="AB49" s="65"/>
      <c r="AC49" s="65" t="s">
        <v>70</v>
      </c>
      <c r="AD49" s="64" t="str">
        <f t="shared" ref="AD49" si="33">AD48</f>
        <v>POYOWA BESAR</v>
      </c>
      <c r="AE49" s="67"/>
      <c r="AF49" s="67"/>
      <c r="AG49" s="67"/>
      <c r="AH49" s="67"/>
      <c r="AI49" s="69"/>
      <c r="AJ49" s="11" t="s">
        <v>377</v>
      </c>
      <c r="AK49" s="65" t="s">
        <v>96</v>
      </c>
      <c r="AL49" s="65"/>
      <c r="AM49" s="65"/>
      <c r="AN49" s="65"/>
      <c r="AO49" s="65"/>
      <c r="AP49" s="65"/>
      <c r="AQ49" s="177" t="s">
        <v>97</v>
      </c>
      <c r="AR49" s="70" t="s">
        <v>349</v>
      </c>
      <c r="AS49" s="71" t="str">
        <f t="shared" si="26"/>
        <v>KPBS-1.019</v>
      </c>
      <c r="AT49" s="71" t="str">
        <f t="shared" si="26"/>
        <v>A03</v>
      </c>
      <c r="AU49" s="72"/>
      <c r="AV49" s="202">
        <v>0.7128643523</v>
      </c>
      <c r="AW49" s="202">
        <v>124.3229231724</v>
      </c>
      <c r="AX49" s="65" t="s">
        <v>98</v>
      </c>
      <c r="AY49" s="65" t="s">
        <v>94</v>
      </c>
      <c r="AZ49" s="65" t="s">
        <v>94</v>
      </c>
      <c r="BA49" s="73" t="s">
        <v>77</v>
      </c>
      <c r="BB49" s="65" t="s">
        <v>98</v>
      </c>
      <c r="BC49" s="65">
        <v>31</v>
      </c>
      <c r="BD49" s="65" t="s">
        <v>98</v>
      </c>
      <c r="BE49" s="211" t="str">
        <f t="shared" si="23"/>
        <v>40, POYOWA BESAR,</v>
      </c>
    </row>
    <row r="50" spans="1:57" s="211" customFormat="1" ht="15.75" customHeight="1">
      <c r="A50" s="224"/>
      <c r="B50" s="225"/>
      <c r="C50" s="225"/>
      <c r="D50" s="225"/>
      <c r="E50" s="225"/>
      <c r="F50" s="225"/>
      <c r="G50" s="226"/>
      <c r="H50" s="23">
        <v>10</v>
      </c>
      <c r="I50" s="64" t="str">
        <f t="shared" si="24"/>
        <v>EXT.MR.KTG.KPBD.P007</v>
      </c>
      <c r="J50" s="64">
        <f t="shared" si="24"/>
        <v>0.71271963839999997</v>
      </c>
      <c r="K50" s="64">
        <f t="shared" si="24"/>
        <v>124.32312328259999</v>
      </c>
      <c r="L50" s="64" t="str">
        <f t="shared" si="24"/>
        <v>JL. RAYA POYOWA BESAR</v>
      </c>
      <c r="M50" s="64" t="str">
        <f t="shared" si="24"/>
        <v>SULAWESU UTARA</v>
      </c>
      <c r="N50" s="65" t="s">
        <v>105</v>
      </c>
      <c r="O50" s="66" t="s">
        <v>118</v>
      </c>
      <c r="P50" s="65" t="s">
        <v>119</v>
      </c>
      <c r="Q50" s="66">
        <v>95717</v>
      </c>
      <c r="R50" s="67"/>
      <c r="S50" s="68"/>
      <c r="T50" s="68"/>
      <c r="U50" s="68"/>
      <c r="V50" s="68"/>
      <c r="W50" s="64" t="s">
        <v>105</v>
      </c>
      <c r="X50" s="64"/>
      <c r="Y50" s="64" t="s">
        <v>106</v>
      </c>
      <c r="Z50" s="64" t="str">
        <f t="shared" si="6"/>
        <v>KELURAHAN POYOWA BESAR SATU KOTAMOBAGU</v>
      </c>
      <c r="AA50" s="65"/>
      <c r="AB50" s="65"/>
      <c r="AC50" s="65" t="s">
        <v>70</v>
      </c>
      <c r="AD50" s="64" t="str">
        <f t="shared" ref="AD50" si="34">AD49</f>
        <v>POYOWA BESAR</v>
      </c>
      <c r="AE50" s="67"/>
      <c r="AF50" s="67"/>
      <c r="AG50" s="67"/>
      <c r="AH50" s="67"/>
      <c r="AI50" s="69"/>
      <c r="AJ50" s="11" t="s">
        <v>378</v>
      </c>
      <c r="AK50" s="65" t="s">
        <v>96</v>
      </c>
      <c r="AL50" s="65"/>
      <c r="AM50" s="65"/>
      <c r="AN50" s="65"/>
      <c r="AO50" s="65"/>
      <c r="AP50" s="65"/>
      <c r="AQ50" s="177" t="s">
        <v>97</v>
      </c>
      <c r="AR50" s="70" t="s">
        <v>349</v>
      </c>
      <c r="AS50" s="71" t="str">
        <f t="shared" si="26"/>
        <v>KPBS-1.019</v>
      </c>
      <c r="AT50" s="71" t="str">
        <f t="shared" si="26"/>
        <v>A03</v>
      </c>
      <c r="AU50" s="72"/>
      <c r="AV50" s="202">
        <v>0.7128406142</v>
      </c>
      <c r="AW50" s="202">
        <v>124.3228410545</v>
      </c>
      <c r="AX50" s="65" t="s">
        <v>98</v>
      </c>
      <c r="AY50" s="65" t="s">
        <v>94</v>
      </c>
      <c r="AZ50" s="65" t="s">
        <v>94</v>
      </c>
      <c r="BA50" s="73" t="s">
        <v>77</v>
      </c>
      <c r="BB50" s="65" t="s">
        <v>98</v>
      </c>
      <c r="BC50" s="65">
        <v>31</v>
      </c>
      <c r="BD50" s="65" t="s">
        <v>98</v>
      </c>
      <c r="BE50" s="211" t="str">
        <f t="shared" si="23"/>
        <v>41, POYOWA BESAR,</v>
      </c>
    </row>
    <row r="51" spans="1:57" s="211" customFormat="1" ht="15.75" customHeight="1">
      <c r="A51" s="224"/>
      <c r="B51" s="225"/>
      <c r="C51" s="225"/>
      <c r="D51" s="225"/>
      <c r="E51" s="225"/>
      <c r="F51" s="225"/>
      <c r="G51" s="226"/>
      <c r="H51" s="23">
        <v>11</v>
      </c>
      <c r="I51" s="64" t="str">
        <f t="shared" si="24"/>
        <v>EXT.MR.KTG.KPBD.P007</v>
      </c>
      <c r="J51" s="64">
        <f t="shared" si="24"/>
        <v>0.71271963839999997</v>
      </c>
      <c r="K51" s="64">
        <f t="shared" si="24"/>
        <v>124.32312328259999</v>
      </c>
      <c r="L51" s="64" t="str">
        <f t="shared" si="24"/>
        <v>JL. RAYA POYOWA BESAR</v>
      </c>
      <c r="M51" s="64" t="str">
        <f t="shared" si="24"/>
        <v>SULAWESU UTARA</v>
      </c>
      <c r="N51" s="65" t="s">
        <v>105</v>
      </c>
      <c r="O51" s="66" t="s">
        <v>118</v>
      </c>
      <c r="P51" s="65" t="s">
        <v>119</v>
      </c>
      <c r="Q51" s="66">
        <v>95717</v>
      </c>
      <c r="R51" s="66"/>
      <c r="S51" s="66"/>
      <c r="T51" s="66"/>
      <c r="U51" s="66"/>
      <c r="V51" s="66"/>
      <c r="W51" s="64" t="s">
        <v>105</v>
      </c>
      <c r="X51" s="64"/>
      <c r="Y51" s="64" t="s">
        <v>106</v>
      </c>
      <c r="Z51" s="64" t="str">
        <f t="shared" si="6"/>
        <v>KELURAHAN POYOWA BESAR SATU KOTAMOBAGU</v>
      </c>
      <c r="AA51" s="65"/>
      <c r="AB51" s="65"/>
      <c r="AC51" s="65" t="s">
        <v>70</v>
      </c>
      <c r="AD51" s="64" t="str">
        <f t="shared" ref="AD51" si="35">AD50</f>
        <v>POYOWA BESAR</v>
      </c>
      <c r="AE51" s="66"/>
      <c r="AF51" s="66"/>
      <c r="AG51" s="66"/>
      <c r="AH51" s="66"/>
      <c r="AI51" s="69"/>
      <c r="AJ51" s="11" t="s">
        <v>379</v>
      </c>
      <c r="AK51" s="178" t="s">
        <v>96</v>
      </c>
      <c r="AL51" s="178"/>
      <c r="AM51" s="178"/>
      <c r="AN51" s="178"/>
      <c r="AO51" s="178"/>
      <c r="AP51" s="178"/>
      <c r="AQ51" s="179" t="s">
        <v>97</v>
      </c>
      <c r="AR51" s="70" t="s">
        <v>349</v>
      </c>
      <c r="AS51" s="71" t="str">
        <f t="shared" si="26"/>
        <v>KPBS-1.019</v>
      </c>
      <c r="AT51" s="71" t="str">
        <f t="shared" si="26"/>
        <v>A03</v>
      </c>
      <c r="AU51" s="72"/>
      <c r="AV51" s="202">
        <v>0.7128036109</v>
      </c>
      <c r="AW51" s="202">
        <v>124.3227640857</v>
      </c>
      <c r="AX51" s="65" t="s">
        <v>98</v>
      </c>
      <c r="AY51" s="65" t="s">
        <v>94</v>
      </c>
      <c r="AZ51" s="65" t="s">
        <v>94</v>
      </c>
      <c r="BA51" s="73" t="s">
        <v>77</v>
      </c>
      <c r="BB51" s="65" t="s">
        <v>98</v>
      </c>
      <c r="BC51" s="65">
        <v>31</v>
      </c>
      <c r="BD51" s="65" t="s">
        <v>98</v>
      </c>
      <c r="BE51" s="211" t="str">
        <f t="shared" si="23"/>
        <v>42, POYOWA BESAR,</v>
      </c>
    </row>
    <row r="52" spans="1:57" s="211" customFormat="1" ht="15.75" customHeight="1">
      <c r="A52" s="224"/>
      <c r="B52" s="225"/>
      <c r="C52" s="225"/>
      <c r="D52" s="225"/>
      <c r="E52" s="225"/>
      <c r="F52" s="225"/>
      <c r="G52" s="226"/>
      <c r="H52" s="23">
        <v>12</v>
      </c>
      <c r="I52" s="64" t="str">
        <f t="shared" si="24"/>
        <v>EXT.MR.KTG.KPBD.P007</v>
      </c>
      <c r="J52" s="64">
        <f t="shared" si="24"/>
        <v>0.71271963839999997</v>
      </c>
      <c r="K52" s="64">
        <f t="shared" si="24"/>
        <v>124.32312328259999</v>
      </c>
      <c r="L52" s="64" t="str">
        <f t="shared" si="24"/>
        <v>JL. RAYA POYOWA BESAR</v>
      </c>
      <c r="M52" s="64" t="str">
        <f t="shared" si="24"/>
        <v>SULAWESU UTARA</v>
      </c>
      <c r="N52" s="65" t="s">
        <v>105</v>
      </c>
      <c r="O52" s="66" t="s">
        <v>118</v>
      </c>
      <c r="P52" s="65" t="s">
        <v>119</v>
      </c>
      <c r="Q52" s="66">
        <v>95717</v>
      </c>
      <c r="R52" s="67"/>
      <c r="S52" s="68"/>
      <c r="T52" s="68"/>
      <c r="U52" s="68"/>
      <c r="V52" s="68"/>
      <c r="W52" s="64" t="s">
        <v>105</v>
      </c>
      <c r="X52" s="64"/>
      <c r="Y52" s="64" t="s">
        <v>106</v>
      </c>
      <c r="Z52" s="64" t="str">
        <f t="shared" si="6"/>
        <v>KELURAHAN POYOWA BESAR SATU KOTAMOBAGU</v>
      </c>
      <c r="AA52" s="65"/>
      <c r="AB52" s="65"/>
      <c r="AC52" s="65" t="s">
        <v>70</v>
      </c>
      <c r="AD52" s="64" t="str">
        <f t="shared" ref="AD52:AD53" si="36">AD51</f>
        <v>POYOWA BESAR</v>
      </c>
      <c r="AE52" s="67"/>
      <c r="AF52" s="67"/>
      <c r="AG52" s="67"/>
      <c r="AH52" s="67"/>
      <c r="AI52" s="69"/>
      <c r="AJ52" s="11" t="s">
        <v>380</v>
      </c>
      <c r="AK52" s="178" t="s">
        <v>96</v>
      </c>
      <c r="AL52" s="178"/>
      <c r="AM52" s="178"/>
      <c r="AN52" s="178"/>
      <c r="AO52" s="178"/>
      <c r="AP52" s="178"/>
      <c r="AQ52" s="179" t="s">
        <v>97</v>
      </c>
      <c r="AR52" s="70" t="s">
        <v>349</v>
      </c>
      <c r="AS52" s="71" t="str">
        <f t="shared" si="26"/>
        <v>KPBS-1.019</v>
      </c>
      <c r="AT52" s="71" t="str">
        <f t="shared" si="26"/>
        <v>A03</v>
      </c>
      <c r="AU52" s="72"/>
      <c r="AV52" s="202">
        <v>0.71278752320000005</v>
      </c>
      <c r="AW52" s="202">
        <v>124.3226832923</v>
      </c>
      <c r="AX52" s="65" t="s">
        <v>98</v>
      </c>
      <c r="AY52" s="65" t="s">
        <v>94</v>
      </c>
      <c r="AZ52" s="65" t="s">
        <v>94</v>
      </c>
      <c r="BA52" s="73" t="s">
        <v>77</v>
      </c>
      <c r="BB52" s="65" t="s">
        <v>98</v>
      </c>
      <c r="BC52" s="65">
        <v>31</v>
      </c>
      <c r="BD52" s="65" t="s">
        <v>98</v>
      </c>
      <c r="BE52" s="211" t="str">
        <f t="shared" si="23"/>
        <v>43, POYOWA BESAR,</v>
      </c>
    </row>
    <row r="53" spans="1:57" s="211" customFormat="1" ht="15.75" customHeight="1">
      <c r="A53" s="224"/>
      <c r="B53" s="225"/>
      <c r="C53" s="225"/>
      <c r="D53" s="225"/>
      <c r="E53" s="225"/>
      <c r="F53" s="225"/>
      <c r="G53" s="226"/>
      <c r="H53" s="23">
        <v>13</v>
      </c>
      <c r="I53" s="64" t="str">
        <f t="shared" si="24"/>
        <v>EXT.MR.KTG.KPBD.P007</v>
      </c>
      <c r="J53" s="64">
        <f t="shared" si="24"/>
        <v>0.71271963839999997</v>
      </c>
      <c r="K53" s="64">
        <f t="shared" si="24"/>
        <v>124.32312328259999</v>
      </c>
      <c r="L53" s="64" t="str">
        <f t="shared" si="24"/>
        <v>JL. RAYA POYOWA BESAR</v>
      </c>
      <c r="M53" s="64" t="str">
        <f t="shared" si="24"/>
        <v>SULAWESU UTARA</v>
      </c>
      <c r="N53" s="65" t="s">
        <v>105</v>
      </c>
      <c r="O53" s="66" t="s">
        <v>118</v>
      </c>
      <c r="P53" s="65" t="s">
        <v>119</v>
      </c>
      <c r="Q53" s="66">
        <v>95717</v>
      </c>
      <c r="R53" s="67"/>
      <c r="S53" s="68"/>
      <c r="T53" s="68"/>
      <c r="U53" s="68"/>
      <c r="V53" s="68"/>
      <c r="W53" s="64" t="s">
        <v>105</v>
      </c>
      <c r="X53" s="64"/>
      <c r="Y53" s="64" t="s">
        <v>106</v>
      </c>
      <c r="Z53" s="64" t="str">
        <f t="shared" si="6"/>
        <v>KELURAHAN POYOWA BESAR SATU KOTAMOBAGU</v>
      </c>
      <c r="AA53" s="65"/>
      <c r="AB53" s="65"/>
      <c r="AC53" s="65" t="s">
        <v>70</v>
      </c>
      <c r="AD53" s="64" t="str">
        <f t="shared" si="36"/>
        <v>POYOWA BESAR</v>
      </c>
      <c r="AE53" s="67"/>
      <c r="AF53" s="67"/>
      <c r="AG53" s="67"/>
      <c r="AH53" s="67"/>
      <c r="AI53" s="69"/>
      <c r="AJ53" s="11" t="s">
        <v>381</v>
      </c>
      <c r="AK53" s="178" t="s">
        <v>96</v>
      </c>
      <c r="AL53" s="178"/>
      <c r="AM53" s="178"/>
      <c r="AN53" s="178"/>
      <c r="AO53" s="178"/>
      <c r="AP53" s="178"/>
      <c r="AQ53" s="179" t="s">
        <v>97</v>
      </c>
      <c r="AR53" s="70" t="s">
        <v>349</v>
      </c>
      <c r="AS53" s="71" t="str">
        <f t="shared" si="26"/>
        <v>KPBS-1.019</v>
      </c>
      <c r="AT53" s="71" t="str">
        <f t="shared" si="26"/>
        <v>A03</v>
      </c>
      <c r="AU53" s="72"/>
      <c r="AV53" s="202">
        <v>0.71243758822858905</v>
      </c>
      <c r="AW53" s="202">
        <v>124.32291512799399</v>
      </c>
      <c r="AX53" s="65" t="s">
        <v>98</v>
      </c>
      <c r="AY53" s="65" t="s">
        <v>94</v>
      </c>
      <c r="AZ53" s="65" t="s">
        <v>94</v>
      </c>
      <c r="BA53" s="73" t="s">
        <v>77</v>
      </c>
      <c r="BB53" s="65" t="s">
        <v>98</v>
      </c>
      <c r="BC53" s="65">
        <v>31</v>
      </c>
      <c r="BD53" s="65" t="s">
        <v>98</v>
      </c>
      <c r="BE53" s="211" t="str">
        <f t="shared" ref="BE53" si="37">AJ53&amp;", "&amp;AD53&amp;","&amp;AI53</f>
        <v>NN- Mesjid Nurul Iman, POYOWA BESAR,</v>
      </c>
    </row>
    <row r="54" spans="1:57" s="211" customFormat="1" ht="15.75" customHeight="1">
      <c r="A54" s="36" t="s">
        <v>67</v>
      </c>
      <c r="B54" s="36">
        <f>B41+1</f>
        <v>4</v>
      </c>
      <c r="C54" s="33" t="s">
        <v>68</v>
      </c>
      <c r="D54" s="37" t="s">
        <v>348</v>
      </c>
      <c r="E54" s="38">
        <v>1</v>
      </c>
      <c r="F54" s="39">
        <f>F42+1</f>
        <v>7</v>
      </c>
      <c r="G54" s="213" t="s">
        <v>73</v>
      </c>
      <c r="H54" s="35">
        <v>1</v>
      </c>
      <c r="I54" s="48" t="s">
        <v>978</v>
      </c>
      <c r="J54" s="54">
        <v>0.71235760589999997</v>
      </c>
      <c r="K54" s="54">
        <v>124.3222874929</v>
      </c>
      <c r="L54" s="116" t="s">
        <v>116</v>
      </c>
      <c r="M54" s="56" t="str">
        <f>M52</f>
        <v>SULAWESU UTARA</v>
      </c>
      <c r="N54" s="76" t="s">
        <v>105</v>
      </c>
      <c r="O54" s="49" t="s">
        <v>118</v>
      </c>
      <c r="P54" s="76" t="s">
        <v>119</v>
      </c>
      <c r="Q54" s="49">
        <v>95717</v>
      </c>
      <c r="R54" s="51"/>
      <c r="S54" s="52"/>
      <c r="T54" s="53"/>
      <c r="U54" s="52"/>
      <c r="V54" s="53"/>
      <c r="W54" s="50" t="s">
        <v>105</v>
      </c>
      <c r="X54" s="54"/>
      <c r="Y54" s="56" t="s">
        <v>106</v>
      </c>
      <c r="Z54" s="56" t="str">
        <f>Z52</f>
        <v>KELURAHAN POYOWA BESAR SATU KOTAMOBAGU</v>
      </c>
      <c r="AA54" s="55"/>
      <c r="AB54" s="55"/>
      <c r="AC54" s="55" t="s">
        <v>70</v>
      </c>
      <c r="AD54" s="116" t="s">
        <v>119</v>
      </c>
      <c r="AE54" s="57"/>
      <c r="AF54" s="57"/>
      <c r="AG54" s="57"/>
      <c r="AH54" s="57"/>
      <c r="AI54" s="58"/>
      <c r="AJ54" s="114" t="s">
        <v>149</v>
      </c>
      <c r="AK54" s="55" t="s">
        <v>96</v>
      </c>
      <c r="AL54" s="62"/>
      <c r="AM54" s="184"/>
      <c r="AN54" s="184"/>
      <c r="AO54" s="184"/>
      <c r="AP54" s="184"/>
      <c r="AQ54" s="185" t="s">
        <v>97</v>
      </c>
      <c r="AR54" s="59" t="s">
        <v>349</v>
      </c>
      <c r="AS54" s="60" t="str">
        <f>AS41</f>
        <v>KPBS-1.019</v>
      </c>
      <c r="AT54" s="60" t="str">
        <f>G54</f>
        <v>A04</v>
      </c>
      <c r="AU54" s="61"/>
      <c r="AV54" s="201">
        <v>0.71259351309999996</v>
      </c>
      <c r="AW54" s="201">
        <v>124.32247381889999</v>
      </c>
      <c r="AX54" s="62" t="s">
        <v>98</v>
      </c>
      <c r="AY54" s="62" t="s">
        <v>94</v>
      </c>
      <c r="AZ54" s="62" t="s">
        <v>94</v>
      </c>
      <c r="BA54" s="63" t="s">
        <v>77</v>
      </c>
      <c r="BB54" s="62" t="s">
        <v>98</v>
      </c>
      <c r="BC54" s="62">
        <v>31</v>
      </c>
      <c r="BD54" s="62" t="s">
        <v>98</v>
      </c>
      <c r="BE54" s="211" t="str">
        <f t="shared" ref="BE54:BE69" si="38">AJ54&amp;", "&amp;AD54&amp;","&amp;AI54</f>
        <v>46, POYOWA BESAR,</v>
      </c>
    </row>
    <row r="55" spans="1:57" s="211" customFormat="1" ht="15.75" customHeight="1">
      <c r="A55" s="46"/>
      <c r="B55" s="46"/>
      <c r="C55" s="22" t="s">
        <v>68</v>
      </c>
      <c r="D55" s="22" t="s">
        <v>348</v>
      </c>
      <c r="E55" s="33">
        <v>1</v>
      </c>
      <c r="F55" s="47">
        <f>F54+1</f>
        <v>8</v>
      </c>
      <c r="G55" s="214"/>
      <c r="H55" s="23">
        <v>2</v>
      </c>
      <c r="I55" s="64" t="str">
        <f t="shared" ref="I55:L55" si="39">I54</f>
        <v>EXT.MR.KTG.KPBD.P010</v>
      </c>
      <c r="J55" s="64">
        <f t="shared" si="39"/>
        <v>0.71235760589999997</v>
      </c>
      <c r="K55" s="64">
        <f t="shared" si="39"/>
        <v>124.3222874929</v>
      </c>
      <c r="L55" s="64" t="str">
        <f t="shared" si="39"/>
        <v>JL. RAYA POYOWA BESAR</v>
      </c>
      <c r="M55" s="64" t="str">
        <f t="shared" ref="M55:M111" si="40">M54</f>
        <v>SULAWESU UTARA</v>
      </c>
      <c r="N55" s="65" t="s">
        <v>105</v>
      </c>
      <c r="O55" s="66" t="s">
        <v>118</v>
      </c>
      <c r="P55" s="65" t="s">
        <v>119</v>
      </c>
      <c r="Q55" s="66">
        <v>95717</v>
      </c>
      <c r="R55" s="67"/>
      <c r="S55" s="68"/>
      <c r="T55" s="68"/>
      <c r="U55" s="68"/>
      <c r="V55" s="68"/>
      <c r="W55" s="65" t="s">
        <v>105</v>
      </c>
      <c r="X55" s="64"/>
      <c r="Y55" s="64" t="s">
        <v>106</v>
      </c>
      <c r="Z55" s="64" t="str">
        <f t="shared" si="6"/>
        <v>KELURAHAN POYOWA BESAR SATU KOTAMOBAGU</v>
      </c>
      <c r="AA55" s="65"/>
      <c r="AB55" s="65"/>
      <c r="AC55" s="65" t="s">
        <v>70</v>
      </c>
      <c r="AD55" s="64" t="str">
        <f t="shared" ref="AD55" si="41">AD54</f>
        <v>POYOWA BESAR</v>
      </c>
      <c r="AE55" s="67"/>
      <c r="AF55" s="67"/>
      <c r="AG55" s="67"/>
      <c r="AH55" s="67"/>
      <c r="AI55" s="69"/>
      <c r="AJ55" s="11" t="s">
        <v>150</v>
      </c>
      <c r="AK55" s="65" t="s">
        <v>96</v>
      </c>
      <c r="AL55" s="65"/>
      <c r="AM55" s="176"/>
      <c r="AN55" s="176"/>
      <c r="AO55" s="176"/>
      <c r="AP55" s="176"/>
      <c r="AQ55" s="177" t="s">
        <v>97</v>
      </c>
      <c r="AR55" s="70" t="s">
        <v>349</v>
      </c>
      <c r="AS55" s="71" t="str">
        <f t="shared" ref="AS55:AT55" si="42">AS54</f>
        <v>KPBS-1.019</v>
      </c>
      <c r="AT55" s="71" t="str">
        <f t="shared" si="42"/>
        <v>A04</v>
      </c>
      <c r="AU55" s="72"/>
      <c r="AV55" s="202">
        <v>0.71275844499999996</v>
      </c>
      <c r="AW55" s="202">
        <v>124.3226117704</v>
      </c>
      <c r="AX55" s="65" t="s">
        <v>98</v>
      </c>
      <c r="AY55" s="65" t="s">
        <v>94</v>
      </c>
      <c r="AZ55" s="65" t="s">
        <v>94</v>
      </c>
      <c r="BA55" s="73" t="s">
        <v>77</v>
      </c>
      <c r="BB55" s="65" t="s">
        <v>98</v>
      </c>
      <c r="BC55" s="65">
        <v>31</v>
      </c>
      <c r="BD55" s="65" t="s">
        <v>98</v>
      </c>
      <c r="BE55" s="211" t="str">
        <f t="shared" si="38"/>
        <v>44, POYOWA BESAR,</v>
      </c>
    </row>
    <row r="56" spans="1:57" s="211" customFormat="1" ht="15.75" customHeight="1">
      <c r="A56" s="221"/>
      <c r="B56" s="222"/>
      <c r="C56" s="222"/>
      <c r="D56" s="222"/>
      <c r="E56" s="222"/>
      <c r="F56" s="222"/>
      <c r="G56" s="223"/>
      <c r="H56" s="23">
        <v>3</v>
      </c>
      <c r="I56" s="64" t="str">
        <f t="shared" ref="I56:L56" si="43">I55</f>
        <v>EXT.MR.KTG.KPBD.P010</v>
      </c>
      <c r="J56" s="64">
        <f t="shared" si="43"/>
        <v>0.71235760589999997</v>
      </c>
      <c r="K56" s="64">
        <f t="shared" si="43"/>
        <v>124.3222874929</v>
      </c>
      <c r="L56" s="64" t="str">
        <f t="shared" si="43"/>
        <v>JL. RAYA POYOWA BESAR</v>
      </c>
      <c r="M56" s="64" t="str">
        <f t="shared" si="40"/>
        <v>SULAWESU UTARA</v>
      </c>
      <c r="N56" s="65" t="s">
        <v>105</v>
      </c>
      <c r="O56" s="66" t="s">
        <v>118</v>
      </c>
      <c r="P56" s="65" t="s">
        <v>119</v>
      </c>
      <c r="Q56" s="66">
        <v>95717</v>
      </c>
      <c r="R56" s="67"/>
      <c r="S56" s="68"/>
      <c r="T56" s="68"/>
      <c r="U56" s="68"/>
      <c r="V56" s="68"/>
      <c r="W56" s="65" t="s">
        <v>105</v>
      </c>
      <c r="X56" s="64"/>
      <c r="Y56" s="64" t="s">
        <v>106</v>
      </c>
      <c r="Z56" s="64" t="str">
        <f t="shared" si="6"/>
        <v>KELURAHAN POYOWA BESAR SATU KOTAMOBAGU</v>
      </c>
      <c r="AA56" s="65"/>
      <c r="AB56" s="65"/>
      <c r="AC56" s="65" t="s">
        <v>70</v>
      </c>
      <c r="AD56" s="64" t="str">
        <f t="shared" ref="AD56" si="44">AD55</f>
        <v>POYOWA BESAR</v>
      </c>
      <c r="AE56" s="67"/>
      <c r="AF56" s="67"/>
      <c r="AG56" s="67"/>
      <c r="AH56" s="67"/>
      <c r="AI56" s="69"/>
      <c r="AJ56" s="11" t="s">
        <v>151</v>
      </c>
      <c r="AK56" s="65" t="s">
        <v>96</v>
      </c>
      <c r="AL56" s="65"/>
      <c r="AM56" s="176"/>
      <c r="AN56" s="176"/>
      <c r="AO56" s="176"/>
      <c r="AP56" s="176"/>
      <c r="AQ56" s="177" t="s">
        <v>97</v>
      </c>
      <c r="AR56" s="70" t="s">
        <v>349</v>
      </c>
      <c r="AS56" s="71" t="str">
        <f t="shared" ref="AS56:AT56" si="45">AS55</f>
        <v>KPBS-1.019</v>
      </c>
      <c r="AT56" s="71" t="str">
        <f t="shared" si="45"/>
        <v>A04</v>
      </c>
      <c r="AU56" s="72"/>
      <c r="AV56" s="202">
        <v>0.71230510979999895</v>
      </c>
      <c r="AW56" s="202">
        <v>124.3226365857</v>
      </c>
      <c r="AX56" s="65" t="s">
        <v>98</v>
      </c>
      <c r="AY56" s="65" t="s">
        <v>94</v>
      </c>
      <c r="AZ56" s="65" t="s">
        <v>94</v>
      </c>
      <c r="BA56" s="73" t="s">
        <v>77</v>
      </c>
      <c r="BB56" s="65" t="s">
        <v>98</v>
      </c>
      <c r="BC56" s="65">
        <v>31</v>
      </c>
      <c r="BD56" s="65" t="s">
        <v>98</v>
      </c>
      <c r="BE56" s="211" t="str">
        <f t="shared" si="38"/>
        <v>49, POYOWA BESAR,</v>
      </c>
    </row>
    <row r="57" spans="1:57" s="211" customFormat="1" ht="15.75" customHeight="1">
      <c r="A57" s="224"/>
      <c r="B57" s="225"/>
      <c r="C57" s="225"/>
      <c r="D57" s="225"/>
      <c r="E57" s="225"/>
      <c r="F57" s="225"/>
      <c r="G57" s="226"/>
      <c r="H57" s="23">
        <v>4</v>
      </c>
      <c r="I57" s="64" t="str">
        <f t="shared" ref="I57:L57" si="46">I56</f>
        <v>EXT.MR.KTG.KPBD.P010</v>
      </c>
      <c r="J57" s="64">
        <f t="shared" si="46"/>
        <v>0.71235760589999997</v>
      </c>
      <c r="K57" s="64">
        <f t="shared" si="46"/>
        <v>124.3222874929</v>
      </c>
      <c r="L57" s="64" t="str">
        <f t="shared" si="46"/>
        <v>JL. RAYA POYOWA BESAR</v>
      </c>
      <c r="M57" s="64" t="str">
        <f t="shared" si="40"/>
        <v>SULAWESU UTARA</v>
      </c>
      <c r="N57" s="65" t="s">
        <v>105</v>
      </c>
      <c r="O57" s="66" t="s">
        <v>118</v>
      </c>
      <c r="P57" s="65" t="s">
        <v>119</v>
      </c>
      <c r="Q57" s="66">
        <v>95717</v>
      </c>
      <c r="R57" s="67"/>
      <c r="S57" s="68"/>
      <c r="T57" s="68"/>
      <c r="U57" s="68"/>
      <c r="V57" s="68"/>
      <c r="W57" s="65" t="s">
        <v>105</v>
      </c>
      <c r="X57" s="64"/>
      <c r="Y57" s="64" t="s">
        <v>106</v>
      </c>
      <c r="Z57" s="64" t="str">
        <f t="shared" si="6"/>
        <v>KELURAHAN POYOWA BESAR SATU KOTAMOBAGU</v>
      </c>
      <c r="AA57" s="65"/>
      <c r="AB57" s="65"/>
      <c r="AC57" s="65" t="s">
        <v>70</v>
      </c>
      <c r="AD57" s="64" t="str">
        <f t="shared" ref="AD57" si="47">AD56</f>
        <v>POYOWA BESAR</v>
      </c>
      <c r="AE57" s="67"/>
      <c r="AF57" s="67"/>
      <c r="AG57" s="67"/>
      <c r="AH57" s="67"/>
      <c r="AI57" s="69"/>
      <c r="AJ57" s="11" t="s">
        <v>152</v>
      </c>
      <c r="AK57" s="65" t="s">
        <v>96</v>
      </c>
      <c r="AL57" s="65"/>
      <c r="AM57" s="176"/>
      <c r="AN57" s="176"/>
      <c r="AO57" s="176"/>
      <c r="AP57" s="176"/>
      <c r="AQ57" s="177" t="s">
        <v>97</v>
      </c>
      <c r="AR57" s="70" t="s">
        <v>349</v>
      </c>
      <c r="AS57" s="71" t="str">
        <f t="shared" ref="AS57:AT57" si="48">AS56</f>
        <v>KPBS-1.019</v>
      </c>
      <c r="AT57" s="71" t="str">
        <f t="shared" si="48"/>
        <v>A04</v>
      </c>
      <c r="AU57" s="72"/>
      <c r="AV57" s="202">
        <v>0.71271575949999999</v>
      </c>
      <c r="AW57" s="202">
        <v>124.3225414419</v>
      </c>
      <c r="AX57" s="65" t="s">
        <v>98</v>
      </c>
      <c r="AY57" s="65" t="s">
        <v>94</v>
      </c>
      <c r="AZ57" s="65" t="s">
        <v>94</v>
      </c>
      <c r="BA57" s="73" t="s">
        <v>77</v>
      </c>
      <c r="BB57" s="65" t="s">
        <v>98</v>
      </c>
      <c r="BC57" s="65">
        <v>31</v>
      </c>
      <c r="BD57" s="65" t="s">
        <v>98</v>
      </c>
      <c r="BE57" s="211" t="str">
        <f t="shared" si="38"/>
        <v>45, POYOWA BESAR,</v>
      </c>
    </row>
    <row r="58" spans="1:57" s="211" customFormat="1" ht="15.75" customHeight="1">
      <c r="A58" s="224"/>
      <c r="B58" s="225"/>
      <c r="C58" s="225"/>
      <c r="D58" s="225"/>
      <c r="E58" s="225"/>
      <c r="F58" s="225"/>
      <c r="G58" s="226"/>
      <c r="H58" s="23">
        <v>5</v>
      </c>
      <c r="I58" s="64" t="str">
        <f t="shared" ref="I58:L58" si="49">I57</f>
        <v>EXT.MR.KTG.KPBD.P010</v>
      </c>
      <c r="J58" s="64">
        <f t="shared" si="49"/>
        <v>0.71235760589999997</v>
      </c>
      <c r="K58" s="64">
        <f t="shared" si="49"/>
        <v>124.3222874929</v>
      </c>
      <c r="L58" s="64" t="str">
        <f t="shared" si="49"/>
        <v>JL. RAYA POYOWA BESAR</v>
      </c>
      <c r="M58" s="64" t="str">
        <f t="shared" si="40"/>
        <v>SULAWESU UTARA</v>
      </c>
      <c r="N58" s="65" t="s">
        <v>105</v>
      </c>
      <c r="O58" s="66" t="s">
        <v>118</v>
      </c>
      <c r="P58" s="65" t="s">
        <v>119</v>
      </c>
      <c r="Q58" s="66">
        <v>95717</v>
      </c>
      <c r="R58" s="67"/>
      <c r="S58" s="68"/>
      <c r="T58" s="68"/>
      <c r="U58" s="68"/>
      <c r="V58" s="68"/>
      <c r="W58" s="65" t="s">
        <v>105</v>
      </c>
      <c r="X58" s="64"/>
      <c r="Y58" s="64" t="s">
        <v>106</v>
      </c>
      <c r="Z58" s="64" t="str">
        <f t="shared" si="6"/>
        <v>KELURAHAN POYOWA BESAR SATU KOTAMOBAGU</v>
      </c>
      <c r="AA58" s="65"/>
      <c r="AB58" s="65"/>
      <c r="AC58" s="65" t="s">
        <v>70</v>
      </c>
      <c r="AD58" s="64" t="str">
        <f t="shared" ref="AD58" si="50">AD57</f>
        <v>POYOWA BESAR</v>
      </c>
      <c r="AE58" s="67"/>
      <c r="AF58" s="67"/>
      <c r="AG58" s="67"/>
      <c r="AH58" s="67"/>
      <c r="AI58" s="69"/>
      <c r="AJ58" s="11" t="s">
        <v>153</v>
      </c>
      <c r="AK58" s="65" t="s">
        <v>96</v>
      </c>
      <c r="AL58" s="65"/>
      <c r="AM58" s="176"/>
      <c r="AN58" s="176"/>
      <c r="AO58" s="176"/>
      <c r="AP58" s="176"/>
      <c r="AQ58" s="177" t="s">
        <v>97</v>
      </c>
      <c r="AR58" s="70" t="s">
        <v>349</v>
      </c>
      <c r="AS58" s="71" t="str">
        <f t="shared" ref="AS58:AT58" si="51">AS57</f>
        <v>KPBS-1.019</v>
      </c>
      <c r="AT58" s="71" t="str">
        <f t="shared" si="51"/>
        <v>A04</v>
      </c>
      <c r="AU58" s="72"/>
      <c r="AV58" s="202">
        <v>0.71224007099999997</v>
      </c>
      <c r="AW58" s="202">
        <v>124.3224789726</v>
      </c>
      <c r="AX58" s="65" t="s">
        <v>98</v>
      </c>
      <c r="AY58" s="65" t="s">
        <v>94</v>
      </c>
      <c r="AZ58" s="65" t="s">
        <v>94</v>
      </c>
      <c r="BA58" s="73" t="s">
        <v>77</v>
      </c>
      <c r="BB58" s="65" t="s">
        <v>98</v>
      </c>
      <c r="BC58" s="65">
        <v>31</v>
      </c>
      <c r="BD58" s="65" t="s">
        <v>98</v>
      </c>
      <c r="BE58" s="211" t="str">
        <f t="shared" si="38"/>
        <v>50, POYOWA BESAR,</v>
      </c>
    </row>
    <row r="59" spans="1:57" s="211" customFormat="1" ht="15.75" customHeight="1">
      <c r="A59" s="224"/>
      <c r="B59" s="225"/>
      <c r="C59" s="225"/>
      <c r="D59" s="225"/>
      <c r="E59" s="225"/>
      <c r="F59" s="225"/>
      <c r="G59" s="226"/>
      <c r="H59" s="23">
        <v>6</v>
      </c>
      <c r="I59" s="64" t="str">
        <f t="shared" ref="I59:L59" si="52">I58</f>
        <v>EXT.MR.KTG.KPBD.P010</v>
      </c>
      <c r="J59" s="64">
        <f t="shared" si="52"/>
        <v>0.71235760589999997</v>
      </c>
      <c r="K59" s="64">
        <f t="shared" si="52"/>
        <v>124.3222874929</v>
      </c>
      <c r="L59" s="64" t="str">
        <f t="shared" si="52"/>
        <v>JL. RAYA POYOWA BESAR</v>
      </c>
      <c r="M59" s="64" t="str">
        <f t="shared" si="40"/>
        <v>SULAWESU UTARA</v>
      </c>
      <c r="N59" s="65" t="s">
        <v>105</v>
      </c>
      <c r="O59" s="66" t="s">
        <v>118</v>
      </c>
      <c r="P59" s="65" t="s">
        <v>119</v>
      </c>
      <c r="Q59" s="66">
        <v>95717</v>
      </c>
      <c r="R59" s="67"/>
      <c r="S59" s="68"/>
      <c r="T59" s="74"/>
      <c r="U59" s="74"/>
      <c r="V59" s="74"/>
      <c r="W59" s="65" t="s">
        <v>105</v>
      </c>
      <c r="X59" s="64"/>
      <c r="Y59" s="64" t="s">
        <v>106</v>
      </c>
      <c r="Z59" s="64" t="str">
        <f t="shared" si="6"/>
        <v>KELURAHAN POYOWA BESAR SATU KOTAMOBAGU</v>
      </c>
      <c r="AA59" s="65"/>
      <c r="AB59" s="65"/>
      <c r="AC59" s="65" t="s">
        <v>70</v>
      </c>
      <c r="AD59" s="64" t="str">
        <f t="shared" ref="AD59" si="53">AD58</f>
        <v>POYOWA BESAR</v>
      </c>
      <c r="AE59" s="75"/>
      <c r="AF59" s="75"/>
      <c r="AG59" s="75"/>
      <c r="AH59" s="75"/>
      <c r="AI59" s="69"/>
      <c r="AJ59" s="11" t="s">
        <v>154</v>
      </c>
      <c r="AK59" s="65" t="s">
        <v>96</v>
      </c>
      <c r="AL59" s="65"/>
      <c r="AM59" s="176"/>
      <c r="AN59" s="176"/>
      <c r="AO59" s="176"/>
      <c r="AP59" s="176"/>
      <c r="AQ59" s="186" t="s">
        <v>97</v>
      </c>
      <c r="AR59" s="70" t="s">
        <v>349</v>
      </c>
      <c r="AS59" s="71" t="str">
        <f t="shared" ref="AS59:AT59" si="54">AS58</f>
        <v>KPBS-1.019</v>
      </c>
      <c r="AT59" s="71" t="str">
        <f t="shared" si="54"/>
        <v>A04</v>
      </c>
      <c r="AU59" s="72"/>
      <c r="AV59" s="202">
        <v>0.71262801210000004</v>
      </c>
      <c r="AW59" s="202">
        <v>124.3223425904</v>
      </c>
      <c r="AX59" s="65" t="s">
        <v>98</v>
      </c>
      <c r="AY59" s="65" t="s">
        <v>94</v>
      </c>
      <c r="AZ59" s="65" t="s">
        <v>94</v>
      </c>
      <c r="BA59" s="73" t="s">
        <v>77</v>
      </c>
      <c r="BB59" s="65" t="s">
        <v>98</v>
      </c>
      <c r="BC59" s="65">
        <v>31</v>
      </c>
      <c r="BD59" s="65" t="s">
        <v>98</v>
      </c>
      <c r="BE59" s="211" t="str">
        <f t="shared" si="38"/>
        <v>47, POYOWA BESAR,</v>
      </c>
    </row>
    <row r="60" spans="1:57" s="211" customFormat="1" ht="15.75" customHeight="1">
      <c r="A60" s="224"/>
      <c r="B60" s="225"/>
      <c r="C60" s="225"/>
      <c r="D60" s="225"/>
      <c r="E60" s="225"/>
      <c r="F60" s="225"/>
      <c r="G60" s="226"/>
      <c r="H60" s="23">
        <v>7</v>
      </c>
      <c r="I60" s="64" t="str">
        <f t="shared" ref="I60:L60" si="55">I59</f>
        <v>EXT.MR.KTG.KPBD.P010</v>
      </c>
      <c r="J60" s="64">
        <f t="shared" si="55"/>
        <v>0.71235760589999997</v>
      </c>
      <c r="K60" s="64">
        <f t="shared" si="55"/>
        <v>124.3222874929</v>
      </c>
      <c r="L60" s="64" t="str">
        <f t="shared" si="55"/>
        <v>JL. RAYA POYOWA BESAR</v>
      </c>
      <c r="M60" s="64" t="str">
        <f t="shared" si="40"/>
        <v>SULAWESU UTARA</v>
      </c>
      <c r="N60" s="65" t="s">
        <v>105</v>
      </c>
      <c r="O60" s="66" t="s">
        <v>118</v>
      </c>
      <c r="P60" s="65" t="s">
        <v>119</v>
      </c>
      <c r="Q60" s="66">
        <v>95717</v>
      </c>
      <c r="R60" s="67"/>
      <c r="S60" s="68"/>
      <c r="T60" s="68"/>
      <c r="U60" s="68"/>
      <c r="V60" s="68"/>
      <c r="W60" s="65" t="s">
        <v>105</v>
      </c>
      <c r="X60" s="64"/>
      <c r="Y60" s="64" t="s">
        <v>106</v>
      </c>
      <c r="Z60" s="64" t="str">
        <f t="shared" si="6"/>
        <v>KELURAHAN POYOWA BESAR SATU KOTAMOBAGU</v>
      </c>
      <c r="AA60" s="65"/>
      <c r="AB60" s="65"/>
      <c r="AC60" s="65" t="s">
        <v>70</v>
      </c>
      <c r="AD60" s="64" t="str">
        <f t="shared" ref="AD60" si="56">AD59</f>
        <v>POYOWA BESAR</v>
      </c>
      <c r="AE60" s="67"/>
      <c r="AF60" s="67"/>
      <c r="AG60" s="67"/>
      <c r="AH60" s="67"/>
      <c r="AI60" s="69"/>
      <c r="AJ60" s="11" t="s">
        <v>155</v>
      </c>
      <c r="AK60" s="65" t="s">
        <v>96</v>
      </c>
      <c r="AL60" s="65"/>
      <c r="AM60" s="65"/>
      <c r="AN60" s="65"/>
      <c r="AO60" s="65"/>
      <c r="AP60" s="65"/>
      <c r="AQ60" s="177" t="s">
        <v>97</v>
      </c>
      <c r="AR60" s="70" t="s">
        <v>349</v>
      </c>
      <c r="AS60" s="71" t="str">
        <f t="shared" ref="AS60:AT60" si="57">AS59</f>
        <v>KPBS-1.019</v>
      </c>
      <c r="AT60" s="71" t="str">
        <f t="shared" si="57"/>
        <v>A04</v>
      </c>
      <c r="AU60" s="72"/>
      <c r="AV60" s="202">
        <v>0.71256146210000004</v>
      </c>
      <c r="AW60" s="202">
        <v>124.3222524712</v>
      </c>
      <c r="AX60" s="65" t="s">
        <v>98</v>
      </c>
      <c r="AY60" s="65" t="s">
        <v>94</v>
      </c>
      <c r="AZ60" s="65" t="s">
        <v>94</v>
      </c>
      <c r="BA60" s="73" t="s">
        <v>77</v>
      </c>
      <c r="BB60" s="65" t="s">
        <v>98</v>
      </c>
      <c r="BC60" s="65">
        <v>31</v>
      </c>
      <c r="BD60" s="65" t="s">
        <v>98</v>
      </c>
      <c r="BE60" s="211" t="str">
        <f t="shared" si="38"/>
        <v>48, POYOWA BESAR,</v>
      </c>
    </row>
    <row r="61" spans="1:57" s="211" customFormat="1" ht="15.75" customHeight="1">
      <c r="A61" s="224"/>
      <c r="B61" s="225"/>
      <c r="C61" s="225"/>
      <c r="D61" s="225"/>
      <c r="E61" s="225"/>
      <c r="F61" s="225"/>
      <c r="G61" s="226"/>
      <c r="H61" s="23">
        <v>8</v>
      </c>
      <c r="I61" s="64" t="str">
        <f t="shared" ref="I61:L61" si="58">I60</f>
        <v>EXT.MR.KTG.KPBD.P010</v>
      </c>
      <c r="J61" s="64">
        <f t="shared" si="58"/>
        <v>0.71235760589999997</v>
      </c>
      <c r="K61" s="64">
        <f t="shared" si="58"/>
        <v>124.3222874929</v>
      </c>
      <c r="L61" s="64" t="str">
        <f t="shared" si="58"/>
        <v>JL. RAYA POYOWA BESAR</v>
      </c>
      <c r="M61" s="64" t="str">
        <f t="shared" si="40"/>
        <v>SULAWESU UTARA</v>
      </c>
      <c r="N61" s="65" t="s">
        <v>105</v>
      </c>
      <c r="O61" s="66" t="s">
        <v>118</v>
      </c>
      <c r="P61" s="65" t="s">
        <v>119</v>
      </c>
      <c r="Q61" s="66">
        <v>95717</v>
      </c>
      <c r="R61" s="67"/>
      <c r="S61" s="68"/>
      <c r="T61" s="68"/>
      <c r="U61" s="68"/>
      <c r="V61" s="68"/>
      <c r="W61" s="64" t="s">
        <v>105</v>
      </c>
      <c r="X61" s="64"/>
      <c r="Y61" s="64" t="s">
        <v>106</v>
      </c>
      <c r="Z61" s="64" t="str">
        <f t="shared" si="6"/>
        <v>KELURAHAN POYOWA BESAR SATU KOTAMOBAGU</v>
      </c>
      <c r="AA61" s="65"/>
      <c r="AB61" s="65"/>
      <c r="AC61" s="65" t="s">
        <v>70</v>
      </c>
      <c r="AD61" s="64" t="str">
        <f t="shared" ref="AD61" si="59">AD60</f>
        <v>POYOWA BESAR</v>
      </c>
      <c r="AE61" s="67"/>
      <c r="AF61" s="67"/>
      <c r="AG61" s="67"/>
      <c r="AH61" s="67"/>
      <c r="AI61" s="69"/>
      <c r="AJ61" s="11" t="s">
        <v>156</v>
      </c>
      <c r="AK61" s="65" t="s">
        <v>96</v>
      </c>
      <c r="AL61" s="65"/>
      <c r="AM61" s="65"/>
      <c r="AN61" s="65"/>
      <c r="AO61" s="65"/>
      <c r="AP61" s="65"/>
      <c r="AQ61" s="177" t="s">
        <v>97</v>
      </c>
      <c r="AR61" s="70" t="s">
        <v>349</v>
      </c>
      <c r="AS61" s="71" t="str">
        <f t="shared" ref="AS61:AT61" si="60">AS60</f>
        <v>KPBS-1.019</v>
      </c>
      <c r="AT61" s="71" t="str">
        <f t="shared" si="60"/>
        <v>A04</v>
      </c>
      <c r="AU61" s="72"/>
      <c r="AV61" s="202">
        <v>0.71250606240000003</v>
      </c>
      <c r="AW61" s="202">
        <v>124.3221764661</v>
      </c>
      <c r="AX61" s="65" t="s">
        <v>98</v>
      </c>
      <c r="AY61" s="65" t="s">
        <v>94</v>
      </c>
      <c r="AZ61" s="65" t="s">
        <v>94</v>
      </c>
      <c r="BA61" s="73" t="s">
        <v>77</v>
      </c>
      <c r="BB61" s="65" t="s">
        <v>98</v>
      </c>
      <c r="BC61" s="65">
        <v>31</v>
      </c>
      <c r="BD61" s="65" t="s">
        <v>98</v>
      </c>
      <c r="BE61" s="211" t="str">
        <f t="shared" si="38"/>
        <v>48A, POYOWA BESAR,</v>
      </c>
    </row>
    <row r="62" spans="1:57" s="211" customFormat="1" ht="15.75" customHeight="1">
      <c r="A62" s="224"/>
      <c r="B62" s="225"/>
      <c r="C62" s="225"/>
      <c r="D62" s="225"/>
      <c r="E62" s="225"/>
      <c r="F62" s="225"/>
      <c r="G62" s="226"/>
      <c r="H62" s="23">
        <v>9</v>
      </c>
      <c r="I62" s="64" t="str">
        <f t="shared" ref="I62:L62" si="61">I61</f>
        <v>EXT.MR.KTG.KPBD.P010</v>
      </c>
      <c r="J62" s="64">
        <f t="shared" si="61"/>
        <v>0.71235760589999997</v>
      </c>
      <c r="K62" s="64">
        <f t="shared" si="61"/>
        <v>124.3222874929</v>
      </c>
      <c r="L62" s="64" t="str">
        <f t="shared" si="61"/>
        <v>JL. RAYA POYOWA BESAR</v>
      </c>
      <c r="M62" s="64" t="str">
        <f t="shared" si="40"/>
        <v>SULAWESU UTARA</v>
      </c>
      <c r="N62" s="65" t="s">
        <v>105</v>
      </c>
      <c r="O62" s="66" t="s">
        <v>118</v>
      </c>
      <c r="P62" s="65" t="s">
        <v>119</v>
      </c>
      <c r="Q62" s="66">
        <v>95717</v>
      </c>
      <c r="R62" s="67"/>
      <c r="S62" s="68"/>
      <c r="T62" s="68"/>
      <c r="U62" s="68"/>
      <c r="V62" s="68"/>
      <c r="W62" s="64" t="s">
        <v>105</v>
      </c>
      <c r="X62" s="64"/>
      <c r="Y62" s="64" t="s">
        <v>106</v>
      </c>
      <c r="Z62" s="64" t="str">
        <f t="shared" si="6"/>
        <v>KELURAHAN POYOWA BESAR SATU KOTAMOBAGU</v>
      </c>
      <c r="AA62" s="65"/>
      <c r="AB62" s="65"/>
      <c r="AC62" s="65" t="s">
        <v>70</v>
      </c>
      <c r="AD62" s="64" t="str">
        <f t="shared" ref="AD62" si="62">AD61</f>
        <v>POYOWA BESAR</v>
      </c>
      <c r="AE62" s="67"/>
      <c r="AF62" s="67"/>
      <c r="AG62" s="67"/>
      <c r="AH62" s="67"/>
      <c r="AI62" s="69"/>
      <c r="AJ62" s="11" t="s">
        <v>157</v>
      </c>
      <c r="AK62" s="65" t="s">
        <v>96</v>
      </c>
      <c r="AL62" s="65"/>
      <c r="AM62" s="65"/>
      <c r="AN62" s="65"/>
      <c r="AO62" s="65"/>
      <c r="AP62" s="65"/>
      <c r="AQ62" s="177" t="s">
        <v>97</v>
      </c>
      <c r="AR62" s="70" t="s">
        <v>349</v>
      </c>
      <c r="AS62" s="71" t="str">
        <f t="shared" ref="AS62:AT62" si="63">AS61</f>
        <v>KPBS-1.019</v>
      </c>
      <c r="AT62" s="71" t="str">
        <f t="shared" si="63"/>
        <v>A04</v>
      </c>
      <c r="AU62" s="72"/>
      <c r="AV62" s="202">
        <v>0.71215493200000002</v>
      </c>
      <c r="AW62" s="202">
        <v>124.32223785310001</v>
      </c>
      <c r="AX62" s="65" t="s">
        <v>98</v>
      </c>
      <c r="AY62" s="65" t="s">
        <v>94</v>
      </c>
      <c r="AZ62" s="65" t="s">
        <v>94</v>
      </c>
      <c r="BA62" s="73" t="s">
        <v>77</v>
      </c>
      <c r="BB62" s="65" t="s">
        <v>98</v>
      </c>
      <c r="BC62" s="65">
        <v>31</v>
      </c>
      <c r="BD62" s="65" t="s">
        <v>98</v>
      </c>
      <c r="BE62" s="211" t="str">
        <f t="shared" ref="BE62:BE63" si="64">AJ62&amp;", "&amp;AD62&amp;","&amp;AI62</f>
        <v>51, POYOWA BESAR,</v>
      </c>
    </row>
    <row r="63" spans="1:57" s="211" customFormat="1" ht="15.75" customHeight="1">
      <c r="A63" s="224"/>
      <c r="B63" s="225"/>
      <c r="C63" s="225"/>
      <c r="D63" s="225"/>
      <c r="E63" s="225"/>
      <c r="F63" s="225"/>
      <c r="G63" s="226"/>
      <c r="H63" s="23">
        <v>10</v>
      </c>
      <c r="I63" s="64" t="str">
        <f t="shared" ref="I63:L63" si="65">I62</f>
        <v>EXT.MR.KTG.KPBD.P010</v>
      </c>
      <c r="J63" s="64">
        <f t="shared" si="65"/>
        <v>0.71235760589999997</v>
      </c>
      <c r="K63" s="64">
        <f t="shared" si="65"/>
        <v>124.3222874929</v>
      </c>
      <c r="L63" s="64" t="str">
        <f t="shared" si="65"/>
        <v>JL. RAYA POYOWA BESAR</v>
      </c>
      <c r="M63" s="64" t="str">
        <f t="shared" si="40"/>
        <v>SULAWESU UTARA</v>
      </c>
      <c r="N63" s="65" t="s">
        <v>105</v>
      </c>
      <c r="O63" s="66" t="s">
        <v>118</v>
      </c>
      <c r="P63" s="65" t="s">
        <v>119</v>
      </c>
      <c r="Q63" s="66">
        <v>95717</v>
      </c>
      <c r="R63" s="67"/>
      <c r="S63" s="68"/>
      <c r="T63" s="68"/>
      <c r="U63" s="68"/>
      <c r="V63" s="68"/>
      <c r="W63" s="64" t="s">
        <v>105</v>
      </c>
      <c r="X63" s="64"/>
      <c r="Y63" s="64" t="s">
        <v>106</v>
      </c>
      <c r="Z63" s="64" t="str">
        <f t="shared" si="6"/>
        <v>KELURAHAN POYOWA BESAR SATU KOTAMOBAGU</v>
      </c>
      <c r="AA63" s="65"/>
      <c r="AB63" s="65"/>
      <c r="AC63" s="65" t="s">
        <v>70</v>
      </c>
      <c r="AD63" s="64" t="str">
        <f t="shared" ref="AD63" si="66">AD62</f>
        <v>POYOWA BESAR</v>
      </c>
      <c r="AE63" s="67"/>
      <c r="AF63" s="67"/>
      <c r="AG63" s="67"/>
      <c r="AH63" s="67"/>
      <c r="AI63" s="69"/>
      <c r="AJ63" s="11" t="s">
        <v>158</v>
      </c>
      <c r="AK63" s="65" t="s">
        <v>96</v>
      </c>
      <c r="AL63" s="65"/>
      <c r="AM63" s="65"/>
      <c r="AN63" s="65"/>
      <c r="AO63" s="65"/>
      <c r="AP63" s="65"/>
      <c r="AQ63" s="177" t="s">
        <v>97</v>
      </c>
      <c r="AR63" s="70" t="s">
        <v>349</v>
      </c>
      <c r="AS63" s="71" t="str">
        <f t="shared" ref="AS63:AT63" si="67">AS62</f>
        <v>KPBS-1.019</v>
      </c>
      <c r="AT63" s="71" t="str">
        <f t="shared" si="67"/>
        <v>A04</v>
      </c>
      <c r="AU63" s="72"/>
      <c r="AV63" s="202">
        <v>0.71209785719999996</v>
      </c>
      <c r="AW63" s="202">
        <v>124.3221120275</v>
      </c>
      <c r="AX63" s="65" t="s">
        <v>98</v>
      </c>
      <c r="AY63" s="65" t="s">
        <v>94</v>
      </c>
      <c r="AZ63" s="65" t="s">
        <v>94</v>
      </c>
      <c r="BA63" s="73" t="s">
        <v>77</v>
      </c>
      <c r="BB63" s="65" t="s">
        <v>98</v>
      </c>
      <c r="BC63" s="65">
        <v>31</v>
      </c>
      <c r="BD63" s="65" t="s">
        <v>98</v>
      </c>
      <c r="BE63" s="211" t="str">
        <f t="shared" si="64"/>
        <v>52, POYOWA BESAR,</v>
      </c>
    </row>
    <row r="64" spans="1:57" s="211" customFormat="1" ht="15.75" customHeight="1">
      <c r="A64" s="224"/>
      <c r="B64" s="225"/>
      <c r="C64" s="225"/>
      <c r="D64" s="225"/>
      <c r="E64" s="225"/>
      <c r="F64" s="225"/>
      <c r="G64" s="226"/>
      <c r="H64" s="23">
        <v>11</v>
      </c>
      <c r="I64" s="64" t="str">
        <f t="shared" ref="I64:L64" si="68">I61</f>
        <v>EXT.MR.KTG.KPBD.P010</v>
      </c>
      <c r="J64" s="64">
        <f t="shared" si="68"/>
        <v>0.71235760589999997</v>
      </c>
      <c r="K64" s="64">
        <f t="shared" si="68"/>
        <v>124.3222874929</v>
      </c>
      <c r="L64" s="64" t="str">
        <f t="shared" si="68"/>
        <v>JL. RAYA POYOWA BESAR</v>
      </c>
      <c r="M64" s="64" t="str">
        <f t="shared" si="40"/>
        <v>SULAWESU UTARA</v>
      </c>
      <c r="N64" s="65" t="s">
        <v>105</v>
      </c>
      <c r="O64" s="66" t="s">
        <v>118</v>
      </c>
      <c r="P64" s="65" t="s">
        <v>119</v>
      </c>
      <c r="Q64" s="66">
        <v>95717</v>
      </c>
      <c r="R64" s="67"/>
      <c r="S64" s="68"/>
      <c r="T64" s="68"/>
      <c r="U64" s="68"/>
      <c r="V64" s="68"/>
      <c r="W64" s="64" t="s">
        <v>105</v>
      </c>
      <c r="X64" s="64"/>
      <c r="Y64" s="64" t="s">
        <v>106</v>
      </c>
      <c r="Z64" s="64" t="str">
        <f t="shared" si="6"/>
        <v>KELURAHAN POYOWA BESAR SATU KOTAMOBAGU</v>
      </c>
      <c r="AA64" s="65"/>
      <c r="AB64" s="65"/>
      <c r="AC64" s="65" t="s">
        <v>70</v>
      </c>
      <c r="AD64" s="64" t="str">
        <f t="shared" ref="AD64" si="69">AD61</f>
        <v>POYOWA BESAR</v>
      </c>
      <c r="AE64" s="67"/>
      <c r="AF64" s="67"/>
      <c r="AG64" s="67"/>
      <c r="AH64" s="67"/>
      <c r="AI64" s="69"/>
      <c r="AJ64" s="11" t="s">
        <v>159</v>
      </c>
      <c r="AK64" s="65" t="s">
        <v>96</v>
      </c>
      <c r="AL64" s="65"/>
      <c r="AM64" s="65"/>
      <c r="AN64" s="65"/>
      <c r="AO64" s="65"/>
      <c r="AP64" s="65"/>
      <c r="AQ64" s="177" t="s">
        <v>97</v>
      </c>
      <c r="AR64" s="70" t="s">
        <v>349</v>
      </c>
      <c r="AS64" s="71" t="str">
        <f t="shared" ref="AS64:AT64" si="70">AS63</f>
        <v>KPBS-1.019</v>
      </c>
      <c r="AT64" s="71" t="str">
        <f t="shared" si="70"/>
        <v>A04</v>
      </c>
      <c r="AU64" s="72"/>
      <c r="AV64" s="202">
        <v>0.71247371839999996</v>
      </c>
      <c r="AW64" s="202">
        <v>124.3221150098</v>
      </c>
      <c r="AX64" s="65" t="s">
        <v>98</v>
      </c>
      <c r="AY64" s="65" t="s">
        <v>94</v>
      </c>
      <c r="AZ64" s="65" t="s">
        <v>94</v>
      </c>
      <c r="BA64" s="73" t="s">
        <v>77</v>
      </c>
      <c r="BB64" s="65" t="s">
        <v>98</v>
      </c>
      <c r="BC64" s="65">
        <v>31</v>
      </c>
      <c r="BD64" s="65" t="s">
        <v>98</v>
      </c>
      <c r="BE64" s="211" t="str">
        <f t="shared" si="38"/>
        <v>53B, POYOWA BESAR,</v>
      </c>
    </row>
    <row r="65" spans="1:57" s="211" customFormat="1" ht="15.75" customHeight="1">
      <c r="A65" s="224"/>
      <c r="B65" s="225"/>
      <c r="C65" s="225"/>
      <c r="D65" s="225"/>
      <c r="E65" s="225"/>
      <c r="F65" s="225"/>
      <c r="G65" s="226"/>
      <c r="H65" s="23">
        <v>12</v>
      </c>
      <c r="I65" s="64" t="str">
        <f t="shared" ref="I65:L65" si="71">I64</f>
        <v>EXT.MR.KTG.KPBD.P010</v>
      </c>
      <c r="J65" s="64">
        <f t="shared" si="71"/>
        <v>0.71235760589999997</v>
      </c>
      <c r="K65" s="64">
        <f t="shared" si="71"/>
        <v>124.3222874929</v>
      </c>
      <c r="L65" s="64" t="str">
        <f t="shared" si="71"/>
        <v>JL. RAYA POYOWA BESAR</v>
      </c>
      <c r="M65" s="64" t="str">
        <f t="shared" si="40"/>
        <v>SULAWESU UTARA</v>
      </c>
      <c r="N65" s="65" t="s">
        <v>105</v>
      </c>
      <c r="O65" s="66" t="s">
        <v>118</v>
      </c>
      <c r="P65" s="65" t="s">
        <v>119</v>
      </c>
      <c r="Q65" s="66">
        <v>95717</v>
      </c>
      <c r="R65" s="67"/>
      <c r="S65" s="68"/>
      <c r="T65" s="68"/>
      <c r="U65" s="68"/>
      <c r="V65" s="68"/>
      <c r="W65" s="64" t="s">
        <v>105</v>
      </c>
      <c r="X65" s="64"/>
      <c r="Y65" s="64" t="s">
        <v>106</v>
      </c>
      <c r="Z65" s="64" t="str">
        <f t="shared" si="6"/>
        <v>KELURAHAN POYOWA BESAR SATU KOTAMOBAGU</v>
      </c>
      <c r="AA65" s="65"/>
      <c r="AB65" s="65"/>
      <c r="AC65" s="65" t="s">
        <v>70</v>
      </c>
      <c r="AD65" s="64" t="str">
        <f t="shared" ref="AD65" si="72">AD64</f>
        <v>POYOWA BESAR</v>
      </c>
      <c r="AE65" s="67"/>
      <c r="AF65" s="67"/>
      <c r="AG65" s="67"/>
      <c r="AH65" s="67"/>
      <c r="AI65" s="69"/>
      <c r="AJ65" s="11" t="s">
        <v>160</v>
      </c>
      <c r="AK65" s="65" t="s">
        <v>96</v>
      </c>
      <c r="AL65" s="65"/>
      <c r="AM65" s="65"/>
      <c r="AN65" s="65"/>
      <c r="AO65" s="65"/>
      <c r="AP65" s="65"/>
      <c r="AQ65" s="177" t="s">
        <v>97</v>
      </c>
      <c r="AR65" s="70" t="s">
        <v>349</v>
      </c>
      <c r="AS65" s="71" t="str">
        <f t="shared" ref="AS65:AT65" si="73">AS64</f>
        <v>KPBS-1.019</v>
      </c>
      <c r="AT65" s="71" t="str">
        <f t="shared" si="73"/>
        <v>A04</v>
      </c>
      <c r="AU65" s="72"/>
      <c r="AV65" s="202">
        <v>0.712427802</v>
      </c>
      <c r="AW65" s="202">
        <v>124.322035888</v>
      </c>
      <c r="AX65" s="65" t="s">
        <v>98</v>
      </c>
      <c r="AY65" s="65" t="s">
        <v>94</v>
      </c>
      <c r="AZ65" s="65" t="s">
        <v>94</v>
      </c>
      <c r="BA65" s="73" t="s">
        <v>77</v>
      </c>
      <c r="BB65" s="65" t="s">
        <v>98</v>
      </c>
      <c r="BC65" s="65">
        <v>31</v>
      </c>
      <c r="BD65" s="65" t="s">
        <v>98</v>
      </c>
      <c r="BE65" s="211" t="str">
        <f t="shared" si="38"/>
        <v>53A, POYOWA BESAR,</v>
      </c>
    </row>
    <row r="66" spans="1:57" s="211" customFormat="1" ht="15.75" customHeight="1">
      <c r="A66" s="224"/>
      <c r="B66" s="225"/>
      <c r="C66" s="225"/>
      <c r="D66" s="225"/>
      <c r="E66" s="225"/>
      <c r="F66" s="225"/>
      <c r="G66" s="226"/>
      <c r="H66" s="23">
        <v>13</v>
      </c>
      <c r="I66" s="64" t="str">
        <f t="shared" ref="I66:L66" si="74">I65</f>
        <v>EXT.MR.KTG.KPBD.P010</v>
      </c>
      <c r="J66" s="64">
        <f t="shared" si="74"/>
        <v>0.71235760589999997</v>
      </c>
      <c r="K66" s="64">
        <f t="shared" si="74"/>
        <v>124.3222874929</v>
      </c>
      <c r="L66" s="64" t="str">
        <f t="shared" si="74"/>
        <v>JL. RAYA POYOWA BESAR</v>
      </c>
      <c r="M66" s="64" t="str">
        <f t="shared" si="40"/>
        <v>SULAWESU UTARA</v>
      </c>
      <c r="N66" s="65" t="s">
        <v>105</v>
      </c>
      <c r="O66" s="66" t="s">
        <v>118</v>
      </c>
      <c r="P66" s="65" t="s">
        <v>119</v>
      </c>
      <c r="Q66" s="66">
        <v>95717</v>
      </c>
      <c r="R66" s="66"/>
      <c r="S66" s="66"/>
      <c r="T66" s="66"/>
      <c r="U66" s="66"/>
      <c r="V66" s="66"/>
      <c r="W66" s="64" t="s">
        <v>105</v>
      </c>
      <c r="X66" s="64"/>
      <c r="Y66" s="64" t="s">
        <v>106</v>
      </c>
      <c r="Z66" s="64" t="str">
        <f t="shared" si="6"/>
        <v>KELURAHAN POYOWA BESAR SATU KOTAMOBAGU</v>
      </c>
      <c r="AA66" s="65"/>
      <c r="AB66" s="65"/>
      <c r="AC66" s="65" t="s">
        <v>70</v>
      </c>
      <c r="AD66" s="64" t="str">
        <f t="shared" ref="AD66" si="75">AD65</f>
        <v>POYOWA BESAR</v>
      </c>
      <c r="AE66" s="66"/>
      <c r="AF66" s="66"/>
      <c r="AG66" s="66"/>
      <c r="AH66" s="66"/>
      <c r="AI66" s="69"/>
      <c r="AJ66" s="11" t="s">
        <v>161</v>
      </c>
      <c r="AK66" s="178" t="s">
        <v>96</v>
      </c>
      <c r="AL66" s="178"/>
      <c r="AM66" s="178"/>
      <c r="AN66" s="178"/>
      <c r="AO66" s="178"/>
      <c r="AP66" s="178"/>
      <c r="AQ66" s="179" t="s">
        <v>97</v>
      </c>
      <c r="AR66" s="70" t="s">
        <v>349</v>
      </c>
      <c r="AS66" s="71" t="str">
        <f t="shared" ref="AS66:AT66" si="76">AS65</f>
        <v>KPBS-1.019</v>
      </c>
      <c r="AT66" s="71" t="str">
        <f t="shared" si="76"/>
        <v>A04</v>
      </c>
      <c r="AU66" s="72"/>
      <c r="AV66" s="202">
        <v>0.71238991119999895</v>
      </c>
      <c r="AW66" s="202">
        <v>124.3219384155</v>
      </c>
      <c r="AX66" s="65" t="s">
        <v>98</v>
      </c>
      <c r="AY66" s="65" t="s">
        <v>94</v>
      </c>
      <c r="AZ66" s="65" t="s">
        <v>94</v>
      </c>
      <c r="BA66" s="73" t="s">
        <v>77</v>
      </c>
      <c r="BB66" s="65" t="s">
        <v>98</v>
      </c>
      <c r="BC66" s="65">
        <v>31</v>
      </c>
      <c r="BD66" s="65" t="s">
        <v>98</v>
      </c>
      <c r="BE66" s="211" t="str">
        <f t="shared" si="38"/>
        <v>53, POYOWA BESAR,</v>
      </c>
    </row>
    <row r="67" spans="1:57" s="211" customFormat="1" ht="15.75" customHeight="1">
      <c r="A67" s="224"/>
      <c r="B67" s="225"/>
      <c r="C67" s="225"/>
      <c r="D67" s="225"/>
      <c r="E67" s="225"/>
      <c r="F67" s="225"/>
      <c r="G67" s="226"/>
      <c r="H67" s="23">
        <v>14</v>
      </c>
      <c r="I67" s="64" t="str">
        <f t="shared" ref="I67:L67" si="77">I66</f>
        <v>EXT.MR.KTG.KPBD.P010</v>
      </c>
      <c r="J67" s="64">
        <f t="shared" si="77"/>
        <v>0.71235760589999997</v>
      </c>
      <c r="K67" s="64">
        <f t="shared" si="77"/>
        <v>124.3222874929</v>
      </c>
      <c r="L67" s="64" t="str">
        <f t="shared" si="77"/>
        <v>JL. RAYA POYOWA BESAR</v>
      </c>
      <c r="M67" s="64" t="str">
        <f t="shared" si="40"/>
        <v>SULAWESU UTARA</v>
      </c>
      <c r="N67" s="65" t="s">
        <v>105</v>
      </c>
      <c r="O67" s="66" t="s">
        <v>118</v>
      </c>
      <c r="P67" s="65" t="s">
        <v>119</v>
      </c>
      <c r="Q67" s="66">
        <v>95717</v>
      </c>
      <c r="R67" s="67"/>
      <c r="S67" s="68"/>
      <c r="T67" s="68"/>
      <c r="U67" s="68"/>
      <c r="V67" s="68"/>
      <c r="W67" s="64" t="s">
        <v>105</v>
      </c>
      <c r="X67" s="64"/>
      <c r="Y67" s="64" t="s">
        <v>106</v>
      </c>
      <c r="Z67" s="64" t="str">
        <f t="shared" si="6"/>
        <v>KELURAHAN POYOWA BESAR SATU KOTAMOBAGU</v>
      </c>
      <c r="AA67" s="65"/>
      <c r="AB67" s="65"/>
      <c r="AC67" s="65" t="s">
        <v>70</v>
      </c>
      <c r="AD67" s="64" t="str">
        <f t="shared" ref="AD67" si="78">AD66</f>
        <v>POYOWA BESAR</v>
      </c>
      <c r="AE67" s="67"/>
      <c r="AF67" s="67"/>
      <c r="AG67" s="67"/>
      <c r="AH67" s="67"/>
      <c r="AI67" s="69"/>
      <c r="AJ67" s="11" t="s">
        <v>162</v>
      </c>
      <c r="AK67" s="178" t="s">
        <v>96</v>
      </c>
      <c r="AL67" s="178"/>
      <c r="AM67" s="178"/>
      <c r="AN67" s="178"/>
      <c r="AO67" s="178"/>
      <c r="AP67" s="178"/>
      <c r="AQ67" s="179" t="s">
        <v>97</v>
      </c>
      <c r="AR67" s="70" t="s">
        <v>349</v>
      </c>
      <c r="AS67" s="71" t="str">
        <f t="shared" ref="AS67:AT67" si="79">AS66</f>
        <v>KPBS-1.019</v>
      </c>
      <c r="AT67" s="71" t="str">
        <f t="shared" si="79"/>
        <v>A04</v>
      </c>
      <c r="AU67" s="72"/>
      <c r="AV67" s="202">
        <v>0.71236864339999895</v>
      </c>
      <c r="AW67" s="202">
        <v>124.3218483508</v>
      </c>
      <c r="AX67" s="65" t="s">
        <v>98</v>
      </c>
      <c r="AY67" s="65" t="s">
        <v>94</v>
      </c>
      <c r="AZ67" s="65" t="s">
        <v>94</v>
      </c>
      <c r="BA67" s="73" t="s">
        <v>77</v>
      </c>
      <c r="BB67" s="65" t="s">
        <v>98</v>
      </c>
      <c r="BC67" s="65">
        <v>31</v>
      </c>
      <c r="BD67" s="65" t="s">
        <v>98</v>
      </c>
      <c r="BE67" s="211" t="str">
        <f t="shared" si="38"/>
        <v>54, POYOWA BESAR,</v>
      </c>
    </row>
    <row r="68" spans="1:57" s="211" customFormat="1" ht="15.75" customHeight="1">
      <c r="A68" s="224"/>
      <c r="B68" s="225"/>
      <c r="C68" s="225"/>
      <c r="D68" s="225"/>
      <c r="E68" s="225"/>
      <c r="F68" s="225"/>
      <c r="G68" s="226"/>
      <c r="H68" s="23">
        <v>15</v>
      </c>
      <c r="I68" s="64" t="str">
        <f t="shared" ref="I68:L68" si="80">I67</f>
        <v>EXT.MR.KTG.KPBD.P010</v>
      </c>
      <c r="J68" s="64">
        <f t="shared" si="80"/>
        <v>0.71235760589999997</v>
      </c>
      <c r="K68" s="64">
        <f t="shared" si="80"/>
        <v>124.3222874929</v>
      </c>
      <c r="L68" s="64" t="str">
        <f t="shared" si="80"/>
        <v>JL. RAYA POYOWA BESAR</v>
      </c>
      <c r="M68" s="64" t="str">
        <f t="shared" si="40"/>
        <v>SULAWESU UTARA</v>
      </c>
      <c r="N68" s="65" t="s">
        <v>105</v>
      </c>
      <c r="O68" s="66" t="s">
        <v>118</v>
      </c>
      <c r="P68" s="65" t="s">
        <v>119</v>
      </c>
      <c r="Q68" s="66">
        <v>95717</v>
      </c>
      <c r="R68" s="66"/>
      <c r="S68" s="66"/>
      <c r="T68" s="66"/>
      <c r="U68" s="66"/>
      <c r="V68" s="66"/>
      <c r="W68" s="64" t="s">
        <v>105</v>
      </c>
      <c r="X68" s="64"/>
      <c r="Y68" s="64" t="s">
        <v>106</v>
      </c>
      <c r="Z68" s="64" t="str">
        <f t="shared" si="6"/>
        <v>KELURAHAN POYOWA BESAR SATU KOTAMOBAGU</v>
      </c>
      <c r="AA68" s="65"/>
      <c r="AB68" s="65"/>
      <c r="AC68" s="65" t="s">
        <v>70</v>
      </c>
      <c r="AD68" s="64" t="str">
        <f t="shared" ref="AD68" si="81">AD67</f>
        <v>POYOWA BESAR</v>
      </c>
      <c r="AE68" s="66"/>
      <c r="AF68" s="66"/>
      <c r="AG68" s="66"/>
      <c r="AH68" s="66"/>
      <c r="AI68" s="69"/>
      <c r="AJ68" s="11" t="s">
        <v>163</v>
      </c>
      <c r="AK68" s="178" t="s">
        <v>96</v>
      </c>
      <c r="AL68" s="178"/>
      <c r="AM68" s="178"/>
      <c r="AN68" s="178"/>
      <c r="AO68" s="178"/>
      <c r="AP68" s="178"/>
      <c r="AQ68" s="179" t="s">
        <v>97</v>
      </c>
      <c r="AR68" s="70" t="s">
        <v>349</v>
      </c>
      <c r="AS68" s="71" t="str">
        <f t="shared" ref="AS68:AT68" si="82">AS67</f>
        <v>KPBS-1.019</v>
      </c>
      <c r="AT68" s="71" t="str">
        <f t="shared" si="82"/>
        <v>A04</v>
      </c>
      <c r="AU68" s="72"/>
      <c r="AV68" s="202">
        <v>0.71199269679999999</v>
      </c>
      <c r="AW68" s="202">
        <v>124.32197487720001</v>
      </c>
      <c r="AX68" s="65" t="s">
        <v>98</v>
      </c>
      <c r="AY68" s="65" t="s">
        <v>94</v>
      </c>
      <c r="AZ68" s="65" t="s">
        <v>94</v>
      </c>
      <c r="BA68" s="73" t="s">
        <v>77</v>
      </c>
      <c r="BB68" s="65" t="s">
        <v>98</v>
      </c>
      <c r="BC68" s="65">
        <v>31</v>
      </c>
      <c r="BD68" s="65" t="s">
        <v>98</v>
      </c>
      <c r="BE68" s="211" t="str">
        <f t="shared" si="38"/>
        <v>107, POYOWA BESAR,</v>
      </c>
    </row>
    <row r="69" spans="1:57" s="211" customFormat="1" ht="15.75" customHeight="1">
      <c r="A69" s="224"/>
      <c r="B69" s="225"/>
      <c r="C69" s="225"/>
      <c r="D69" s="225"/>
      <c r="E69" s="225"/>
      <c r="F69" s="225"/>
      <c r="G69" s="226"/>
      <c r="H69" s="23">
        <v>16</v>
      </c>
      <c r="I69" s="64" t="str">
        <f t="shared" ref="I69:L69" si="83">I68</f>
        <v>EXT.MR.KTG.KPBD.P010</v>
      </c>
      <c r="J69" s="64">
        <f t="shared" si="83"/>
        <v>0.71235760589999997</v>
      </c>
      <c r="K69" s="64">
        <f t="shared" si="83"/>
        <v>124.3222874929</v>
      </c>
      <c r="L69" s="64" t="str">
        <f t="shared" si="83"/>
        <v>JL. RAYA POYOWA BESAR</v>
      </c>
      <c r="M69" s="64" t="str">
        <f t="shared" si="40"/>
        <v>SULAWESU UTARA</v>
      </c>
      <c r="N69" s="65" t="s">
        <v>105</v>
      </c>
      <c r="O69" s="66" t="s">
        <v>118</v>
      </c>
      <c r="P69" s="65" t="s">
        <v>119</v>
      </c>
      <c r="Q69" s="66">
        <v>95717</v>
      </c>
      <c r="R69" s="67"/>
      <c r="S69" s="68"/>
      <c r="T69" s="68"/>
      <c r="U69" s="68"/>
      <c r="V69" s="68"/>
      <c r="W69" s="64" t="s">
        <v>105</v>
      </c>
      <c r="X69" s="64"/>
      <c r="Y69" s="64" t="s">
        <v>106</v>
      </c>
      <c r="Z69" s="64" t="str">
        <f t="shared" si="6"/>
        <v>KELURAHAN POYOWA BESAR SATU KOTAMOBAGU</v>
      </c>
      <c r="AA69" s="65"/>
      <c r="AB69" s="65"/>
      <c r="AC69" s="65" t="s">
        <v>70</v>
      </c>
      <c r="AD69" s="64" t="str">
        <f t="shared" ref="AD69" si="84">AD68</f>
        <v>POYOWA BESAR</v>
      </c>
      <c r="AE69" s="67"/>
      <c r="AF69" s="67"/>
      <c r="AG69" s="67"/>
      <c r="AH69" s="67"/>
      <c r="AI69" s="69"/>
      <c r="AJ69" s="11" t="s">
        <v>164</v>
      </c>
      <c r="AK69" s="178" t="s">
        <v>96</v>
      </c>
      <c r="AL69" s="178"/>
      <c r="AM69" s="178"/>
      <c r="AN69" s="178"/>
      <c r="AO69" s="178"/>
      <c r="AP69" s="178"/>
      <c r="AQ69" s="179" t="s">
        <v>97</v>
      </c>
      <c r="AR69" s="70" t="s">
        <v>349</v>
      </c>
      <c r="AS69" s="71" t="str">
        <f t="shared" ref="AS69:AT69" si="85">AS68</f>
        <v>KPBS-1.019</v>
      </c>
      <c r="AT69" s="71" t="str">
        <f t="shared" si="85"/>
        <v>A04</v>
      </c>
      <c r="AU69" s="72"/>
      <c r="AV69" s="202">
        <v>0.712234620899999</v>
      </c>
      <c r="AW69" s="202">
        <v>124.3217688821</v>
      </c>
      <c r="AX69" s="65" t="s">
        <v>98</v>
      </c>
      <c r="AY69" s="65" t="s">
        <v>94</v>
      </c>
      <c r="AZ69" s="65" t="s">
        <v>94</v>
      </c>
      <c r="BA69" s="73" t="s">
        <v>77</v>
      </c>
      <c r="BB69" s="65" t="s">
        <v>98</v>
      </c>
      <c r="BC69" s="65">
        <v>31</v>
      </c>
      <c r="BD69" s="65" t="s">
        <v>98</v>
      </c>
      <c r="BE69" s="211" t="str">
        <f t="shared" si="38"/>
        <v>56, POYOWA BESAR,</v>
      </c>
    </row>
    <row r="70" spans="1:57" s="211" customFormat="1" ht="15.75" customHeight="1">
      <c r="A70" s="36" t="s">
        <v>67</v>
      </c>
      <c r="B70" s="36">
        <f>B54+1</f>
        <v>5</v>
      </c>
      <c r="C70" s="33" t="s">
        <v>68</v>
      </c>
      <c r="D70" s="37" t="s">
        <v>348</v>
      </c>
      <c r="E70" s="38">
        <v>1</v>
      </c>
      <c r="F70" s="39">
        <f>F55+1</f>
        <v>9</v>
      </c>
      <c r="G70" s="213" t="s">
        <v>74</v>
      </c>
      <c r="H70" s="35">
        <v>1</v>
      </c>
      <c r="I70" s="48" t="s">
        <v>109</v>
      </c>
      <c r="J70" s="54">
        <v>0.71230927160000002</v>
      </c>
      <c r="K70" s="54">
        <v>124.32167425359999</v>
      </c>
      <c r="L70" s="116" t="s">
        <v>116</v>
      </c>
      <c r="M70" s="56" t="str">
        <f t="shared" si="40"/>
        <v>SULAWESU UTARA</v>
      </c>
      <c r="N70" s="76" t="s">
        <v>105</v>
      </c>
      <c r="O70" s="49" t="s">
        <v>118</v>
      </c>
      <c r="P70" s="76" t="s">
        <v>119</v>
      </c>
      <c r="Q70" s="49">
        <v>95717</v>
      </c>
      <c r="R70" s="51"/>
      <c r="S70" s="52"/>
      <c r="T70" s="53"/>
      <c r="U70" s="52"/>
      <c r="V70" s="53"/>
      <c r="W70" s="50" t="s">
        <v>105</v>
      </c>
      <c r="X70" s="54"/>
      <c r="Y70" s="56" t="s">
        <v>106</v>
      </c>
      <c r="Z70" s="56" t="str">
        <f t="shared" si="6"/>
        <v>KELURAHAN POYOWA BESAR SATU KOTAMOBAGU</v>
      </c>
      <c r="AA70" s="55"/>
      <c r="AB70" s="55"/>
      <c r="AC70" s="55" t="s">
        <v>70</v>
      </c>
      <c r="AD70" s="116" t="s">
        <v>119</v>
      </c>
      <c r="AE70" s="57"/>
      <c r="AF70" s="57"/>
      <c r="AG70" s="57"/>
      <c r="AH70" s="57"/>
      <c r="AI70" s="58"/>
      <c r="AJ70" s="114" t="s">
        <v>382</v>
      </c>
      <c r="AK70" s="55" t="s">
        <v>96</v>
      </c>
      <c r="AL70" s="62"/>
      <c r="AM70" s="184"/>
      <c r="AN70" s="184"/>
      <c r="AO70" s="184"/>
      <c r="AP70" s="184"/>
      <c r="AQ70" s="185" t="s">
        <v>97</v>
      </c>
      <c r="AR70" s="59" t="s">
        <v>349</v>
      </c>
      <c r="AS70" s="60" t="str">
        <f>AS54</f>
        <v>KPBS-1.019</v>
      </c>
      <c r="AT70" s="60" t="str">
        <f>G70</f>
        <v>A05</v>
      </c>
      <c r="AU70" s="61"/>
      <c r="AV70" s="201">
        <v>0.71252996999999896</v>
      </c>
      <c r="AW70" s="201">
        <v>124.3218161934</v>
      </c>
      <c r="AX70" s="62" t="s">
        <v>98</v>
      </c>
      <c r="AY70" s="62" t="s">
        <v>94</v>
      </c>
      <c r="AZ70" s="62" t="s">
        <v>94</v>
      </c>
      <c r="BA70" s="63" t="s">
        <v>77</v>
      </c>
      <c r="BB70" s="62" t="s">
        <v>98</v>
      </c>
      <c r="BC70" s="62">
        <v>31</v>
      </c>
      <c r="BD70" s="62" t="s">
        <v>98</v>
      </c>
      <c r="BE70" s="211" t="str">
        <f t="shared" ref="BE70:BE79" si="86">AJ70&amp;", "&amp;AD70&amp;","&amp;AI70</f>
        <v>64, POYOWA BESAR,</v>
      </c>
    </row>
    <row r="71" spans="1:57" s="211" customFormat="1" ht="15.75" customHeight="1">
      <c r="A71" s="46"/>
      <c r="B71" s="46"/>
      <c r="C71" s="22" t="s">
        <v>68</v>
      </c>
      <c r="D71" s="22" t="s">
        <v>348</v>
      </c>
      <c r="E71" s="33">
        <v>1</v>
      </c>
      <c r="F71" s="47">
        <f>F70+1</f>
        <v>10</v>
      </c>
      <c r="G71" s="214"/>
      <c r="H71" s="23">
        <v>2</v>
      </c>
      <c r="I71" s="64" t="str">
        <f t="shared" ref="I71:L71" si="87">I70</f>
        <v>MR.KPBS.P003</v>
      </c>
      <c r="J71" s="64">
        <f t="shared" si="87"/>
        <v>0.71230927160000002</v>
      </c>
      <c r="K71" s="64">
        <f t="shared" si="87"/>
        <v>124.32167425359999</v>
      </c>
      <c r="L71" s="64" t="str">
        <f t="shared" si="87"/>
        <v>JL. RAYA POYOWA BESAR</v>
      </c>
      <c r="M71" s="64" t="str">
        <f t="shared" si="40"/>
        <v>SULAWESU UTARA</v>
      </c>
      <c r="N71" s="65" t="s">
        <v>105</v>
      </c>
      <c r="O71" s="66" t="s">
        <v>118</v>
      </c>
      <c r="P71" s="65" t="s">
        <v>119</v>
      </c>
      <c r="Q71" s="66">
        <v>95717</v>
      </c>
      <c r="R71" s="67"/>
      <c r="S71" s="68"/>
      <c r="T71" s="68"/>
      <c r="U71" s="68"/>
      <c r="V71" s="68"/>
      <c r="W71" s="65" t="s">
        <v>105</v>
      </c>
      <c r="X71" s="64"/>
      <c r="Y71" s="64" t="s">
        <v>106</v>
      </c>
      <c r="Z71" s="64" t="str">
        <f t="shared" si="6"/>
        <v>KELURAHAN POYOWA BESAR SATU KOTAMOBAGU</v>
      </c>
      <c r="AA71" s="65"/>
      <c r="AB71" s="65"/>
      <c r="AC71" s="65" t="s">
        <v>70</v>
      </c>
      <c r="AD71" s="64" t="str">
        <f t="shared" ref="AD71" si="88">AD70</f>
        <v>POYOWA BESAR</v>
      </c>
      <c r="AE71" s="67"/>
      <c r="AF71" s="67"/>
      <c r="AG71" s="67"/>
      <c r="AH71" s="67"/>
      <c r="AI71" s="69"/>
      <c r="AJ71" s="11" t="s">
        <v>383</v>
      </c>
      <c r="AK71" s="65" t="s">
        <v>96</v>
      </c>
      <c r="AL71" s="65"/>
      <c r="AM71" s="176"/>
      <c r="AN71" s="176"/>
      <c r="AO71" s="176"/>
      <c r="AP71" s="176"/>
      <c r="AQ71" s="177" t="s">
        <v>97</v>
      </c>
      <c r="AR71" s="70" t="s">
        <v>349</v>
      </c>
      <c r="AS71" s="71" t="str">
        <f t="shared" ref="AS71:AT71" si="89">AS70</f>
        <v>KPBS-1.019</v>
      </c>
      <c r="AT71" s="71" t="str">
        <f t="shared" si="89"/>
        <v>A05</v>
      </c>
      <c r="AU71" s="72"/>
      <c r="AV71" s="202">
        <v>0.71194350640000004</v>
      </c>
      <c r="AW71" s="202">
        <v>124.3214972721</v>
      </c>
      <c r="AX71" s="65" t="s">
        <v>98</v>
      </c>
      <c r="AY71" s="65" t="s">
        <v>94</v>
      </c>
      <c r="AZ71" s="65" t="s">
        <v>94</v>
      </c>
      <c r="BA71" s="73" t="s">
        <v>77</v>
      </c>
      <c r="BB71" s="65" t="s">
        <v>98</v>
      </c>
      <c r="BC71" s="65">
        <v>31</v>
      </c>
      <c r="BD71" s="65" t="s">
        <v>98</v>
      </c>
      <c r="BE71" s="211" t="str">
        <f t="shared" si="86"/>
        <v>57, POYOWA BESAR,</v>
      </c>
    </row>
    <row r="72" spans="1:57" s="211" customFormat="1" ht="15.75" customHeight="1">
      <c r="A72" s="221"/>
      <c r="B72" s="222"/>
      <c r="C72" s="222"/>
      <c r="D72" s="222"/>
      <c r="E72" s="222"/>
      <c r="F72" s="222"/>
      <c r="G72" s="223"/>
      <c r="H72" s="23">
        <v>3</v>
      </c>
      <c r="I72" s="64" t="str">
        <f t="shared" ref="I72:L72" si="90">I71</f>
        <v>MR.KPBS.P003</v>
      </c>
      <c r="J72" s="64">
        <f t="shared" si="90"/>
        <v>0.71230927160000002</v>
      </c>
      <c r="K72" s="64">
        <f t="shared" si="90"/>
        <v>124.32167425359999</v>
      </c>
      <c r="L72" s="64" t="str">
        <f t="shared" si="90"/>
        <v>JL. RAYA POYOWA BESAR</v>
      </c>
      <c r="M72" s="64" t="str">
        <f t="shared" si="40"/>
        <v>SULAWESU UTARA</v>
      </c>
      <c r="N72" s="65" t="s">
        <v>105</v>
      </c>
      <c r="O72" s="66" t="s">
        <v>118</v>
      </c>
      <c r="P72" s="65" t="s">
        <v>119</v>
      </c>
      <c r="Q72" s="66">
        <v>95717</v>
      </c>
      <c r="R72" s="67"/>
      <c r="S72" s="68"/>
      <c r="T72" s="68"/>
      <c r="U72" s="68"/>
      <c r="V72" s="68"/>
      <c r="W72" s="65" t="s">
        <v>105</v>
      </c>
      <c r="X72" s="64"/>
      <c r="Y72" s="64" t="s">
        <v>106</v>
      </c>
      <c r="Z72" s="64" t="str">
        <f t="shared" si="6"/>
        <v>KELURAHAN POYOWA BESAR SATU KOTAMOBAGU</v>
      </c>
      <c r="AA72" s="65"/>
      <c r="AB72" s="65"/>
      <c r="AC72" s="65" t="s">
        <v>70</v>
      </c>
      <c r="AD72" s="64" t="str">
        <f t="shared" ref="AD72" si="91">AD71</f>
        <v>POYOWA BESAR</v>
      </c>
      <c r="AE72" s="67"/>
      <c r="AF72" s="67"/>
      <c r="AG72" s="67"/>
      <c r="AH72" s="67"/>
      <c r="AI72" s="69"/>
      <c r="AJ72" s="11" t="s">
        <v>384</v>
      </c>
      <c r="AK72" s="65" t="s">
        <v>96</v>
      </c>
      <c r="AL72" s="65"/>
      <c r="AM72" s="176"/>
      <c r="AN72" s="176"/>
      <c r="AO72" s="176"/>
      <c r="AP72" s="176"/>
      <c r="AQ72" s="177" t="s">
        <v>97</v>
      </c>
      <c r="AR72" s="70" t="s">
        <v>349</v>
      </c>
      <c r="AS72" s="71" t="str">
        <f t="shared" ref="AS72:AT72" si="92">AS71</f>
        <v>KPBS-1.019</v>
      </c>
      <c r="AT72" s="71" t="str">
        <f t="shared" si="92"/>
        <v>A05</v>
      </c>
      <c r="AU72" s="72"/>
      <c r="AV72" s="202">
        <v>0.71197711959999999</v>
      </c>
      <c r="AW72" s="202">
        <v>124.32154839739999</v>
      </c>
      <c r="AX72" s="65" t="s">
        <v>98</v>
      </c>
      <c r="AY72" s="65" t="s">
        <v>94</v>
      </c>
      <c r="AZ72" s="65" t="s">
        <v>94</v>
      </c>
      <c r="BA72" s="73" t="s">
        <v>77</v>
      </c>
      <c r="BB72" s="65" t="s">
        <v>98</v>
      </c>
      <c r="BC72" s="65">
        <v>31</v>
      </c>
      <c r="BD72" s="65" t="s">
        <v>98</v>
      </c>
      <c r="BE72" s="211" t="str">
        <f t="shared" si="86"/>
        <v>58, POYOWA BESAR,</v>
      </c>
    </row>
    <row r="73" spans="1:57" s="211" customFormat="1" ht="15.75" customHeight="1">
      <c r="A73" s="224"/>
      <c r="B73" s="225"/>
      <c r="C73" s="225"/>
      <c r="D73" s="225"/>
      <c r="E73" s="225"/>
      <c r="F73" s="225"/>
      <c r="G73" s="226"/>
      <c r="H73" s="23">
        <v>4</v>
      </c>
      <c r="I73" s="64" t="str">
        <f t="shared" ref="I73:L73" si="93">I72</f>
        <v>MR.KPBS.P003</v>
      </c>
      <c r="J73" s="64">
        <f t="shared" si="93"/>
        <v>0.71230927160000002</v>
      </c>
      <c r="K73" s="64">
        <f t="shared" si="93"/>
        <v>124.32167425359999</v>
      </c>
      <c r="L73" s="64" t="str">
        <f t="shared" si="93"/>
        <v>JL. RAYA POYOWA BESAR</v>
      </c>
      <c r="M73" s="64" t="str">
        <f t="shared" si="40"/>
        <v>SULAWESU UTARA</v>
      </c>
      <c r="N73" s="65" t="s">
        <v>105</v>
      </c>
      <c r="O73" s="66" t="s">
        <v>118</v>
      </c>
      <c r="P73" s="65" t="s">
        <v>119</v>
      </c>
      <c r="Q73" s="66">
        <v>95717</v>
      </c>
      <c r="R73" s="67"/>
      <c r="S73" s="68"/>
      <c r="T73" s="68"/>
      <c r="U73" s="68"/>
      <c r="V73" s="68"/>
      <c r="W73" s="65" t="s">
        <v>105</v>
      </c>
      <c r="X73" s="64"/>
      <c r="Y73" s="64" t="s">
        <v>106</v>
      </c>
      <c r="Z73" s="64" t="str">
        <f t="shared" si="6"/>
        <v>KELURAHAN POYOWA BESAR SATU KOTAMOBAGU</v>
      </c>
      <c r="AA73" s="65"/>
      <c r="AB73" s="65"/>
      <c r="AC73" s="65" t="s">
        <v>70</v>
      </c>
      <c r="AD73" s="64" t="str">
        <f t="shared" ref="AD73" si="94">AD72</f>
        <v>POYOWA BESAR</v>
      </c>
      <c r="AE73" s="67"/>
      <c r="AF73" s="67"/>
      <c r="AG73" s="67"/>
      <c r="AH73" s="67"/>
      <c r="AI73" s="69"/>
      <c r="AJ73" s="11" t="s">
        <v>385</v>
      </c>
      <c r="AK73" s="65" t="s">
        <v>96</v>
      </c>
      <c r="AL73" s="65"/>
      <c r="AM73" s="176"/>
      <c r="AN73" s="176"/>
      <c r="AO73" s="176"/>
      <c r="AP73" s="176"/>
      <c r="AQ73" s="177" t="s">
        <v>97</v>
      </c>
      <c r="AR73" s="70" t="s">
        <v>349</v>
      </c>
      <c r="AS73" s="71" t="str">
        <f t="shared" ref="AS73:AT73" si="95">AS72</f>
        <v>KPBS-1.019</v>
      </c>
      <c r="AT73" s="71" t="str">
        <f t="shared" si="95"/>
        <v>A05</v>
      </c>
      <c r="AU73" s="72"/>
      <c r="AV73" s="202">
        <v>0.71209067569999995</v>
      </c>
      <c r="AW73" s="202">
        <v>124.3214717095</v>
      </c>
      <c r="AX73" s="65" t="s">
        <v>98</v>
      </c>
      <c r="AY73" s="65" t="s">
        <v>94</v>
      </c>
      <c r="AZ73" s="65" t="s">
        <v>94</v>
      </c>
      <c r="BA73" s="73" t="s">
        <v>77</v>
      </c>
      <c r="BB73" s="65" t="s">
        <v>98</v>
      </c>
      <c r="BC73" s="65">
        <v>31</v>
      </c>
      <c r="BD73" s="65" t="s">
        <v>98</v>
      </c>
      <c r="BE73" s="211" t="str">
        <f t="shared" si="86"/>
        <v>59, POYOWA BESAR,</v>
      </c>
    </row>
    <row r="74" spans="1:57" s="211" customFormat="1" ht="15.75" customHeight="1">
      <c r="A74" s="224"/>
      <c r="B74" s="225"/>
      <c r="C74" s="225"/>
      <c r="D74" s="225"/>
      <c r="E74" s="225"/>
      <c r="F74" s="225"/>
      <c r="G74" s="226"/>
      <c r="H74" s="23">
        <v>5</v>
      </c>
      <c r="I74" s="64" t="str">
        <f t="shared" ref="I74:L74" si="96">I73</f>
        <v>MR.KPBS.P003</v>
      </c>
      <c r="J74" s="64">
        <f t="shared" si="96"/>
        <v>0.71230927160000002</v>
      </c>
      <c r="K74" s="64">
        <f t="shared" si="96"/>
        <v>124.32167425359999</v>
      </c>
      <c r="L74" s="64" t="str">
        <f t="shared" si="96"/>
        <v>JL. RAYA POYOWA BESAR</v>
      </c>
      <c r="M74" s="64" t="str">
        <f t="shared" si="40"/>
        <v>SULAWESU UTARA</v>
      </c>
      <c r="N74" s="65" t="s">
        <v>105</v>
      </c>
      <c r="O74" s="66" t="s">
        <v>118</v>
      </c>
      <c r="P74" s="65" t="s">
        <v>119</v>
      </c>
      <c r="Q74" s="66">
        <v>95717</v>
      </c>
      <c r="R74" s="67"/>
      <c r="S74" s="68"/>
      <c r="T74" s="68"/>
      <c r="U74" s="68"/>
      <c r="V74" s="68"/>
      <c r="W74" s="65" t="s">
        <v>105</v>
      </c>
      <c r="X74" s="64"/>
      <c r="Y74" s="64" t="s">
        <v>106</v>
      </c>
      <c r="Z74" s="64" t="str">
        <f t="shared" ref="Z74:Z136" si="97">Z73</f>
        <v>KELURAHAN POYOWA BESAR SATU KOTAMOBAGU</v>
      </c>
      <c r="AA74" s="65"/>
      <c r="AB74" s="65"/>
      <c r="AC74" s="65" t="s">
        <v>70</v>
      </c>
      <c r="AD74" s="64" t="str">
        <f t="shared" ref="AD74" si="98">AD73</f>
        <v>POYOWA BESAR</v>
      </c>
      <c r="AE74" s="67"/>
      <c r="AF74" s="67"/>
      <c r="AG74" s="67"/>
      <c r="AH74" s="67"/>
      <c r="AI74" s="69"/>
      <c r="AJ74" s="11" t="s">
        <v>386</v>
      </c>
      <c r="AK74" s="65" t="s">
        <v>96</v>
      </c>
      <c r="AL74" s="65"/>
      <c r="AM74" s="176"/>
      <c r="AN74" s="176"/>
      <c r="AO74" s="176"/>
      <c r="AP74" s="176"/>
      <c r="AQ74" s="177" t="s">
        <v>97</v>
      </c>
      <c r="AR74" s="70" t="s">
        <v>349</v>
      </c>
      <c r="AS74" s="71" t="str">
        <f t="shared" ref="AS74:AT74" si="99">AS73</f>
        <v>KPBS-1.019</v>
      </c>
      <c r="AT74" s="71" t="str">
        <f t="shared" si="99"/>
        <v>A05</v>
      </c>
      <c r="AU74" s="72"/>
      <c r="AV74" s="202">
        <v>0.71218596699999903</v>
      </c>
      <c r="AW74" s="202">
        <v>124.32149412530001</v>
      </c>
      <c r="AX74" s="65" t="s">
        <v>98</v>
      </c>
      <c r="AY74" s="65" t="s">
        <v>94</v>
      </c>
      <c r="AZ74" s="65" t="s">
        <v>94</v>
      </c>
      <c r="BA74" s="73" t="s">
        <v>77</v>
      </c>
      <c r="BB74" s="65" t="s">
        <v>98</v>
      </c>
      <c r="BC74" s="65">
        <v>31</v>
      </c>
      <c r="BD74" s="65" t="s">
        <v>98</v>
      </c>
      <c r="BE74" s="211" t="str">
        <f t="shared" si="86"/>
        <v>60, POYOWA BESAR,</v>
      </c>
    </row>
    <row r="75" spans="1:57" s="211" customFormat="1" ht="15.75" customHeight="1">
      <c r="A75" s="224"/>
      <c r="B75" s="225"/>
      <c r="C75" s="225"/>
      <c r="D75" s="225"/>
      <c r="E75" s="225"/>
      <c r="F75" s="225"/>
      <c r="G75" s="226"/>
      <c r="H75" s="23">
        <v>6</v>
      </c>
      <c r="I75" s="64" t="str">
        <f t="shared" ref="I75:L75" si="100">I74</f>
        <v>MR.KPBS.P003</v>
      </c>
      <c r="J75" s="64">
        <f t="shared" si="100"/>
        <v>0.71230927160000002</v>
      </c>
      <c r="K75" s="64">
        <f t="shared" si="100"/>
        <v>124.32167425359999</v>
      </c>
      <c r="L75" s="64" t="str">
        <f t="shared" si="100"/>
        <v>JL. RAYA POYOWA BESAR</v>
      </c>
      <c r="M75" s="64" t="str">
        <f t="shared" si="40"/>
        <v>SULAWESU UTARA</v>
      </c>
      <c r="N75" s="65" t="s">
        <v>105</v>
      </c>
      <c r="O75" s="66" t="s">
        <v>118</v>
      </c>
      <c r="P75" s="65" t="s">
        <v>119</v>
      </c>
      <c r="Q75" s="66">
        <v>95717</v>
      </c>
      <c r="R75" s="67"/>
      <c r="S75" s="68"/>
      <c r="T75" s="74"/>
      <c r="U75" s="74"/>
      <c r="V75" s="74"/>
      <c r="W75" s="65" t="s">
        <v>105</v>
      </c>
      <c r="X75" s="64"/>
      <c r="Y75" s="64" t="s">
        <v>106</v>
      </c>
      <c r="Z75" s="64" t="str">
        <f t="shared" si="97"/>
        <v>KELURAHAN POYOWA BESAR SATU KOTAMOBAGU</v>
      </c>
      <c r="AA75" s="65"/>
      <c r="AB75" s="65"/>
      <c r="AC75" s="65" t="s">
        <v>70</v>
      </c>
      <c r="AD75" s="64" t="str">
        <f t="shared" ref="AD75" si="101">AD74</f>
        <v>POYOWA BESAR</v>
      </c>
      <c r="AE75" s="75"/>
      <c r="AF75" s="75"/>
      <c r="AG75" s="75"/>
      <c r="AH75" s="75"/>
      <c r="AI75" s="69"/>
      <c r="AJ75" s="11" t="s">
        <v>387</v>
      </c>
      <c r="AK75" s="65" t="s">
        <v>96</v>
      </c>
      <c r="AL75" s="65"/>
      <c r="AM75" s="176"/>
      <c r="AN75" s="176"/>
      <c r="AO75" s="176"/>
      <c r="AP75" s="176"/>
      <c r="AQ75" s="186" t="s">
        <v>97</v>
      </c>
      <c r="AR75" s="70" t="s">
        <v>349</v>
      </c>
      <c r="AS75" s="71" t="str">
        <f t="shared" ref="AS75:AT75" si="102">AS74</f>
        <v>KPBS-1.019</v>
      </c>
      <c r="AT75" s="71" t="str">
        <f t="shared" si="102"/>
        <v>A05</v>
      </c>
      <c r="AU75" s="72"/>
      <c r="AV75" s="202">
        <v>0.71225818600000002</v>
      </c>
      <c r="AW75" s="202">
        <v>124.3214956824</v>
      </c>
      <c r="AX75" s="65" t="s">
        <v>98</v>
      </c>
      <c r="AY75" s="65" t="s">
        <v>94</v>
      </c>
      <c r="AZ75" s="65" t="s">
        <v>94</v>
      </c>
      <c r="BA75" s="73" t="s">
        <v>77</v>
      </c>
      <c r="BB75" s="65" t="s">
        <v>98</v>
      </c>
      <c r="BC75" s="65">
        <v>31</v>
      </c>
      <c r="BD75" s="65" t="s">
        <v>98</v>
      </c>
      <c r="BE75" s="211" t="str">
        <f t="shared" si="86"/>
        <v>61, POYOWA BESAR,</v>
      </c>
    </row>
    <row r="76" spans="1:57" s="211" customFormat="1" ht="15.75" customHeight="1">
      <c r="A76" s="224"/>
      <c r="B76" s="225"/>
      <c r="C76" s="225"/>
      <c r="D76" s="225"/>
      <c r="E76" s="225"/>
      <c r="F76" s="225"/>
      <c r="G76" s="226"/>
      <c r="H76" s="23">
        <v>7</v>
      </c>
      <c r="I76" s="64" t="str">
        <f t="shared" ref="I76:L76" si="103">I75</f>
        <v>MR.KPBS.P003</v>
      </c>
      <c r="J76" s="64">
        <f t="shared" si="103"/>
        <v>0.71230927160000002</v>
      </c>
      <c r="K76" s="64">
        <f t="shared" si="103"/>
        <v>124.32167425359999</v>
      </c>
      <c r="L76" s="64" t="str">
        <f t="shared" si="103"/>
        <v>JL. RAYA POYOWA BESAR</v>
      </c>
      <c r="M76" s="64" t="str">
        <f t="shared" si="40"/>
        <v>SULAWESU UTARA</v>
      </c>
      <c r="N76" s="65" t="s">
        <v>105</v>
      </c>
      <c r="O76" s="66" t="s">
        <v>118</v>
      </c>
      <c r="P76" s="65" t="s">
        <v>119</v>
      </c>
      <c r="Q76" s="66">
        <v>95717</v>
      </c>
      <c r="R76" s="67"/>
      <c r="S76" s="68"/>
      <c r="T76" s="68"/>
      <c r="U76" s="68"/>
      <c r="V76" s="68"/>
      <c r="W76" s="65" t="s">
        <v>105</v>
      </c>
      <c r="X76" s="64"/>
      <c r="Y76" s="64" t="s">
        <v>106</v>
      </c>
      <c r="Z76" s="64" t="str">
        <f t="shared" si="97"/>
        <v>KELURAHAN POYOWA BESAR SATU KOTAMOBAGU</v>
      </c>
      <c r="AA76" s="65"/>
      <c r="AB76" s="65"/>
      <c r="AC76" s="65" t="s">
        <v>70</v>
      </c>
      <c r="AD76" s="64" t="str">
        <f t="shared" ref="AD76" si="104">AD75</f>
        <v>POYOWA BESAR</v>
      </c>
      <c r="AE76" s="67"/>
      <c r="AF76" s="67"/>
      <c r="AG76" s="67"/>
      <c r="AH76" s="67"/>
      <c r="AI76" s="69"/>
      <c r="AJ76" s="11" t="s">
        <v>388</v>
      </c>
      <c r="AK76" s="65" t="s">
        <v>96</v>
      </c>
      <c r="AL76" s="65"/>
      <c r="AM76" s="65"/>
      <c r="AN76" s="65"/>
      <c r="AO76" s="65"/>
      <c r="AP76" s="65"/>
      <c r="AQ76" s="177" t="s">
        <v>97</v>
      </c>
      <c r="AR76" s="70" t="s">
        <v>349</v>
      </c>
      <c r="AS76" s="71" t="str">
        <f t="shared" ref="AS76:AT76" si="105">AS75</f>
        <v>KPBS-1.019</v>
      </c>
      <c r="AT76" s="71" t="str">
        <f t="shared" si="105"/>
        <v>A05</v>
      </c>
      <c r="AU76" s="72"/>
      <c r="AV76" s="202">
        <v>0.71234549469999897</v>
      </c>
      <c r="AW76" s="202">
        <v>124.3214205594</v>
      </c>
      <c r="AX76" s="65" t="s">
        <v>98</v>
      </c>
      <c r="AY76" s="65" t="s">
        <v>94</v>
      </c>
      <c r="AZ76" s="65" t="s">
        <v>94</v>
      </c>
      <c r="BA76" s="73" t="s">
        <v>77</v>
      </c>
      <c r="BB76" s="65" t="s">
        <v>98</v>
      </c>
      <c r="BC76" s="65">
        <v>31</v>
      </c>
      <c r="BD76" s="65" t="s">
        <v>98</v>
      </c>
      <c r="BE76" s="211" t="str">
        <f t="shared" si="86"/>
        <v>62, POYOWA BESAR,</v>
      </c>
    </row>
    <row r="77" spans="1:57" s="211" customFormat="1" ht="15.75" customHeight="1">
      <c r="A77" s="224"/>
      <c r="B77" s="225"/>
      <c r="C77" s="225"/>
      <c r="D77" s="225"/>
      <c r="E77" s="225"/>
      <c r="F77" s="225"/>
      <c r="G77" s="226"/>
      <c r="H77" s="23">
        <v>8</v>
      </c>
      <c r="I77" s="64" t="str">
        <f t="shared" ref="I77:L77" si="106">I76</f>
        <v>MR.KPBS.P003</v>
      </c>
      <c r="J77" s="64">
        <f t="shared" si="106"/>
        <v>0.71230927160000002</v>
      </c>
      <c r="K77" s="64">
        <f t="shared" si="106"/>
        <v>124.32167425359999</v>
      </c>
      <c r="L77" s="64" t="str">
        <f t="shared" si="106"/>
        <v>JL. RAYA POYOWA BESAR</v>
      </c>
      <c r="M77" s="64" t="str">
        <f t="shared" si="40"/>
        <v>SULAWESU UTARA</v>
      </c>
      <c r="N77" s="65" t="s">
        <v>105</v>
      </c>
      <c r="O77" s="66" t="s">
        <v>118</v>
      </c>
      <c r="P77" s="65" t="s">
        <v>119</v>
      </c>
      <c r="Q77" s="66">
        <v>95717</v>
      </c>
      <c r="R77" s="67"/>
      <c r="S77" s="68"/>
      <c r="T77" s="68"/>
      <c r="U77" s="68"/>
      <c r="V77" s="68"/>
      <c r="W77" s="64" t="s">
        <v>105</v>
      </c>
      <c r="X77" s="64"/>
      <c r="Y77" s="64" t="s">
        <v>106</v>
      </c>
      <c r="Z77" s="64" t="str">
        <f t="shared" si="97"/>
        <v>KELURAHAN POYOWA BESAR SATU KOTAMOBAGU</v>
      </c>
      <c r="AA77" s="65"/>
      <c r="AB77" s="65"/>
      <c r="AC77" s="65" t="s">
        <v>70</v>
      </c>
      <c r="AD77" s="64" t="str">
        <f t="shared" ref="AD77" si="107">AD76</f>
        <v>POYOWA BESAR</v>
      </c>
      <c r="AE77" s="67"/>
      <c r="AF77" s="67"/>
      <c r="AG77" s="67"/>
      <c r="AH77" s="67"/>
      <c r="AI77" s="69"/>
      <c r="AJ77" s="11" t="s">
        <v>389</v>
      </c>
      <c r="AK77" s="65" t="s">
        <v>96</v>
      </c>
      <c r="AL77" s="65"/>
      <c r="AM77" s="65"/>
      <c r="AN77" s="65"/>
      <c r="AO77" s="65"/>
      <c r="AP77" s="65"/>
      <c r="AQ77" s="177" t="s">
        <v>97</v>
      </c>
      <c r="AR77" s="70" t="s">
        <v>349</v>
      </c>
      <c r="AS77" s="71" t="str">
        <f t="shared" ref="AS77:AT77" si="108">AS76</f>
        <v>KPBS-1.019</v>
      </c>
      <c r="AT77" s="71" t="str">
        <f t="shared" si="108"/>
        <v>A05</v>
      </c>
      <c r="AU77" s="72"/>
      <c r="AV77" s="202">
        <v>0.71236453850000003</v>
      </c>
      <c r="AW77" s="202">
        <v>124.3217649086</v>
      </c>
      <c r="AX77" s="65" t="s">
        <v>98</v>
      </c>
      <c r="AY77" s="65" t="s">
        <v>94</v>
      </c>
      <c r="AZ77" s="65" t="s">
        <v>94</v>
      </c>
      <c r="BA77" s="73" t="s">
        <v>77</v>
      </c>
      <c r="BB77" s="65" t="s">
        <v>98</v>
      </c>
      <c r="BC77" s="65">
        <v>31</v>
      </c>
      <c r="BD77" s="65" t="s">
        <v>98</v>
      </c>
      <c r="BE77" s="211" t="str">
        <f t="shared" si="86"/>
        <v>55, POYOWA BESAR,</v>
      </c>
    </row>
    <row r="78" spans="1:57" s="211" customFormat="1" ht="15.75" customHeight="1">
      <c r="A78" s="224"/>
      <c r="B78" s="225"/>
      <c r="C78" s="225"/>
      <c r="D78" s="225"/>
      <c r="E78" s="225"/>
      <c r="F78" s="225"/>
      <c r="G78" s="226"/>
      <c r="H78" s="23">
        <v>9</v>
      </c>
      <c r="I78" s="64" t="str">
        <f t="shared" ref="I78:L78" si="109">I77</f>
        <v>MR.KPBS.P003</v>
      </c>
      <c r="J78" s="64">
        <f t="shared" si="109"/>
        <v>0.71230927160000002</v>
      </c>
      <c r="K78" s="64">
        <f t="shared" si="109"/>
        <v>124.32167425359999</v>
      </c>
      <c r="L78" s="64" t="str">
        <f t="shared" si="109"/>
        <v>JL. RAYA POYOWA BESAR</v>
      </c>
      <c r="M78" s="64" t="str">
        <f t="shared" si="40"/>
        <v>SULAWESU UTARA</v>
      </c>
      <c r="N78" s="65" t="s">
        <v>105</v>
      </c>
      <c r="O78" s="66" t="s">
        <v>118</v>
      </c>
      <c r="P78" s="65" t="s">
        <v>119</v>
      </c>
      <c r="Q78" s="66">
        <v>95717</v>
      </c>
      <c r="R78" s="67"/>
      <c r="S78" s="68"/>
      <c r="T78" s="68"/>
      <c r="U78" s="68"/>
      <c r="V78" s="68"/>
      <c r="W78" s="64" t="s">
        <v>105</v>
      </c>
      <c r="X78" s="64"/>
      <c r="Y78" s="64" t="s">
        <v>106</v>
      </c>
      <c r="Z78" s="64" t="str">
        <f t="shared" si="97"/>
        <v>KELURAHAN POYOWA BESAR SATU KOTAMOBAGU</v>
      </c>
      <c r="AA78" s="65"/>
      <c r="AB78" s="65"/>
      <c r="AC78" s="65" t="s">
        <v>70</v>
      </c>
      <c r="AD78" s="64" t="str">
        <f t="shared" ref="AD78" si="110">AD77</f>
        <v>POYOWA BESAR</v>
      </c>
      <c r="AE78" s="67"/>
      <c r="AF78" s="67"/>
      <c r="AG78" s="67"/>
      <c r="AH78" s="67"/>
      <c r="AI78" s="69"/>
      <c r="AJ78" s="11" t="s">
        <v>390</v>
      </c>
      <c r="AK78" s="65" t="s">
        <v>96</v>
      </c>
      <c r="AL78" s="65"/>
      <c r="AM78" s="65"/>
      <c r="AN78" s="65"/>
      <c r="AO78" s="65"/>
      <c r="AP78" s="65"/>
      <c r="AQ78" s="177" t="s">
        <v>97</v>
      </c>
      <c r="AR78" s="70" t="s">
        <v>349</v>
      </c>
      <c r="AS78" s="71" t="str">
        <f t="shared" ref="AS78:AT78" si="111">AS77</f>
        <v>KPBS-1.019</v>
      </c>
      <c r="AT78" s="71" t="str">
        <f t="shared" si="111"/>
        <v>A05</v>
      </c>
      <c r="AU78" s="72"/>
      <c r="AV78" s="202">
        <v>0.71244034219999997</v>
      </c>
      <c r="AW78" s="202">
        <v>124.32145288780001</v>
      </c>
      <c r="AX78" s="65" t="s">
        <v>98</v>
      </c>
      <c r="AY78" s="65" t="s">
        <v>94</v>
      </c>
      <c r="AZ78" s="65" t="s">
        <v>94</v>
      </c>
      <c r="BA78" s="73" t="s">
        <v>77</v>
      </c>
      <c r="BB78" s="65" t="s">
        <v>98</v>
      </c>
      <c r="BC78" s="65">
        <v>31</v>
      </c>
      <c r="BD78" s="65" t="s">
        <v>98</v>
      </c>
      <c r="BE78" s="211" t="str">
        <f t="shared" si="86"/>
        <v>63, POYOWA BESAR,</v>
      </c>
    </row>
    <row r="79" spans="1:57" s="211" customFormat="1" ht="15.75" customHeight="1">
      <c r="A79" s="224"/>
      <c r="B79" s="225"/>
      <c r="C79" s="225"/>
      <c r="D79" s="225"/>
      <c r="E79" s="225"/>
      <c r="F79" s="225"/>
      <c r="G79" s="226"/>
      <c r="H79" s="23">
        <v>10</v>
      </c>
      <c r="I79" s="64" t="str">
        <f t="shared" ref="I79:L80" si="112">I78</f>
        <v>MR.KPBS.P003</v>
      </c>
      <c r="J79" s="64">
        <f t="shared" si="112"/>
        <v>0.71230927160000002</v>
      </c>
      <c r="K79" s="64">
        <f t="shared" si="112"/>
        <v>124.32167425359999</v>
      </c>
      <c r="L79" s="64" t="str">
        <f t="shared" si="112"/>
        <v>JL. RAYA POYOWA BESAR</v>
      </c>
      <c r="M79" s="64" t="str">
        <f t="shared" si="40"/>
        <v>SULAWESU UTARA</v>
      </c>
      <c r="N79" s="65" t="s">
        <v>105</v>
      </c>
      <c r="O79" s="66" t="s">
        <v>118</v>
      </c>
      <c r="P79" s="65" t="s">
        <v>119</v>
      </c>
      <c r="Q79" s="66">
        <v>95717</v>
      </c>
      <c r="R79" s="67"/>
      <c r="S79" s="68"/>
      <c r="T79" s="68"/>
      <c r="U79" s="68"/>
      <c r="V79" s="68"/>
      <c r="W79" s="64" t="s">
        <v>105</v>
      </c>
      <c r="X79" s="64"/>
      <c r="Y79" s="64" t="s">
        <v>106</v>
      </c>
      <c r="Z79" s="64" t="str">
        <f t="shared" si="97"/>
        <v>KELURAHAN POYOWA BESAR SATU KOTAMOBAGU</v>
      </c>
      <c r="AA79" s="65"/>
      <c r="AB79" s="65"/>
      <c r="AC79" s="65" t="s">
        <v>70</v>
      </c>
      <c r="AD79" s="64" t="str">
        <f t="shared" ref="AD79:AD80" si="113">AD78</f>
        <v>POYOWA BESAR</v>
      </c>
      <c r="AE79" s="67"/>
      <c r="AF79" s="67"/>
      <c r="AG79" s="67"/>
      <c r="AH79" s="67"/>
      <c r="AI79" s="69"/>
      <c r="AJ79" s="11" t="s">
        <v>391</v>
      </c>
      <c r="AK79" s="65" t="s">
        <v>96</v>
      </c>
      <c r="AL79" s="65"/>
      <c r="AM79" s="65"/>
      <c r="AN79" s="65"/>
      <c r="AO79" s="65"/>
      <c r="AP79" s="65"/>
      <c r="AQ79" s="177" t="s">
        <v>97</v>
      </c>
      <c r="AR79" s="70" t="s">
        <v>349</v>
      </c>
      <c r="AS79" s="71" t="str">
        <f t="shared" ref="AS79:AT80" si="114">AS78</f>
        <v>KPBS-1.019</v>
      </c>
      <c r="AT79" s="71" t="str">
        <f t="shared" si="114"/>
        <v>A05</v>
      </c>
      <c r="AU79" s="72"/>
      <c r="AV79" s="202">
        <v>0.712536933138744</v>
      </c>
      <c r="AW79" s="202">
        <v>124.321453597819</v>
      </c>
      <c r="AX79" s="65" t="s">
        <v>98</v>
      </c>
      <c r="AY79" s="65" t="s">
        <v>94</v>
      </c>
      <c r="AZ79" s="65" t="s">
        <v>94</v>
      </c>
      <c r="BA79" s="73" t="s">
        <v>77</v>
      </c>
      <c r="BB79" s="65" t="s">
        <v>98</v>
      </c>
      <c r="BC79" s="65">
        <v>31</v>
      </c>
      <c r="BD79" s="65" t="s">
        <v>98</v>
      </c>
      <c r="BE79" s="211" t="str">
        <f t="shared" si="86"/>
        <v>63A, POYOWA BESAR,</v>
      </c>
    </row>
    <row r="80" spans="1:57" s="211" customFormat="1" ht="15.75" customHeight="1">
      <c r="A80" s="224"/>
      <c r="B80" s="225"/>
      <c r="C80" s="225"/>
      <c r="D80" s="225"/>
      <c r="E80" s="225"/>
      <c r="F80" s="225"/>
      <c r="G80" s="226"/>
      <c r="H80" s="23">
        <v>11</v>
      </c>
      <c r="I80" s="64" t="str">
        <f t="shared" si="112"/>
        <v>MR.KPBS.P003</v>
      </c>
      <c r="J80" s="64">
        <f t="shared" si="112"/>
        <v>0.71230927160000002</v>
      </c>
      <c r="K80" s="64">
        <f t="shared" si="112"/>
        <v>124.32167425359999</v>
      </c>
      <c r="L80" s="64" t="str">
        <f t="shared" si="112"/>
        <v>JL. RAYA POYOWA BESAR</v>
      </c>
      <c r="M80" s="64" t="str">
        <f t="shared" si="40"/>
        <v>SULAWESU UTARA</v>
      </c>
      <c r="N80" s="65" t="s">
        <v>105</v>
      </c>
      <c r="O80" s="66" t="s">
        <v>118</v>
      </c>
      <c r="P80" s="65" t="s">
        <v>119</v>
      </c>
      <c r="Q80" s="66">
        <v>95717</v>
      </c>
      <c r="R80" s="67"/>
      <c r="S80" s="68"/>
      <c r="T80" s="68"/>
      <c r="U80" s="68"/>
      <c r="V80" s="68"/>
      <c r="W80" s="64" t="s">
        <v>105</v>
      </c>
      <c r="X80" s="64"/>
      <c r="Y80" s="64" t="s">
        <v>106</v>
      </c>
      <c r="Z80" s="64" t="str">
        <f t="shared" si="97"/>
        <v>KELURAHAN POYOWA BESAR SATU KOTAMOBAGU</v>
      </c>
      <c r="AA80" s="65"/>
      <c r="AB80" s="65"/>
      <c r="AC80" s="65" t="s">
        <v>70</v>
      </c>
      <c r="AD80" s="64" t="str">
        <f t="shared" si="113"/>
        <v>POYOWA BESAR</v>
      </c>
      <c r="AE80" s="67"/>
      <c r="AF80" s="67"/>
      <c r="AG80" s="67"/>
      <c r="AH80" s="67"/>
      <c r="AI80" s="69"/>
      <c r="AJ80" s="11" t="s">
        <v>392</v>
      </c>
      <c r="AK80" s="65" t="s">
        <v>96</v>
      </c>
      <c r="AL80" s="65"/>
      <c r="AM80" s="65"/>
      <c r="AN80" s="65"/>
      <c r="AO80" s="65"/>
      <c r="AP80" s="65"/>
      <c r="AQ80" s="177" t="s">
        <v>97</v>
      </c>
      <c r="AR80" s="70" t="s">
        <v>349</v>
      </c>
      <c r="AS80" s="71" t="str">
        <f t="shared" si="114"/>
        <v>KPBS-1.019</v>
      </c>
      <c r="AT80" s="71" t="str">
        <f t="shared" si="114"/>
        <v>A05</v>
      </c>
      <c r="AU80" s="72"/>
      <c r="AV80" s="202">
        <v>0.71260605590000003</v>
      </c>
      <c r="AW80" s="202">
        <v>124.3217719745</v>
      </c>
      <c r="AX80" s="65" t="s">
        <v>98</v>
      </c>
      <c r="AY80" s="65" t="s">
        <v>94</v>
      </c>
      <c r="AZ80" s="65" t="s">
        <v>94</v>
      </c>
      <c r="BA80" s="73" t="s">
        <v>77</v>
      </c>
      <c r="BB80" s="65" t="s">
        <v>98</v>
      </c>
      <c r="BC80" s="65">
        <v>31</v>
      </c>
      <c r="BD80" s="65" t="s">
        <v>98</v>
      </c>
      <c r="BE80" s="211" t="str">
        <f t="shared" ref="BE80" si="115">AJ80&amp;", "&amp;AD80&amp;","&amp;AI80</f>
        <v>65, POYOWA BESAR,</v>
      </c>
    </row>
    <row r="81" spans="1:57" s="211" customFormat="1" ht="15.75" customHeight="1">
      <c r="A81" s="40" t="s">
        <v>67</v>
      </c>
      <c r="B81" s="40">
        <f>B70+1</f>
        <v>6</v>
      </c>
      <c r="C81" s="32" t="s">
        <v>68</v>
      </c>
      <c r="D81" s="111" t="s">
        <v>348</v>
      </c>
      <c r="E81" s="120">
        <v>2</v>
      </c>
      <c r="F81" s="43">
        <f>F71+3</f>
        <v>13</v>
      </c>
      <c r="G81" s="213" t="s">
        <v>75</v>
      </c>
      <c r="H81" s="42">
        <v>1</v>
      </c>
      <c r="I81" s="82" t="s">
        <v>110</v>
      </c>
      <c r="J81" s="83">
        <v>0.71290315530000004</v>
      </c>
      <c r="K81" s="83">
        <v>124.3216929246</v>
      </c>
      <c r="L81" s="117" t="s">
        <v>116</v>
      </c>
      <c r="M81" s="119" t="str">
        <f>M79</f>
        <v>SULAWESU UTARA</v>
      </c>
      <c r="N81" s="14" t="s">
        <v>105</v>
      </c>
      <c r="O81" s="84" t="s">
        <v>118</v>
      </c>
      <c r="P81" s="14" t="s">
        <v>119</v>
      </c>
      <c r="Q81" s="84">
        <v>95717</v>
      </c>
      <c r="R81" s="86"/>
      <c r="S81" s="87"/>
      <c r="T81" s="88"/>
      <c r="U81" s="87"/>
      <c r="V81" s="88"/>
      <c r="W81" s="85" t="s">
        <v>105</v>
      </c>
      <c r="X81" s="83"/>
      <c r="Y81" s="119" t="s">
        <v>106</v>
      </c>
      <c r="Z81" s="119" t="str">
        <f>Z79</f>
        <v>KELURAHAN POYOWA BESAR SATU KOTAMOBAGU</v>
      </c>
      <c r="AA81" s="89"/>
      <c r="AB81" s="89"/>
      <c r="AC81" s="89" t="s">
        <v>70</v>
      </c>
      <c r="AD81" s="117" t="s">
        <v>119</v>
      </c>
      <c r="AE81" s="90"/>
      <c r="AF81" s="90"/>
      <c r="AG81" s="90"/>
      <c r="AH81" s="90"/>
      <c r="AI81" s="91"/>
      <c r="AJ81" s="115" t="s">
        <v>393</v>
      </c>
      <c r="AK81" s="89" t="s">
        <v>96</v>
      </c>
      <c r="AL81" s="95"/>
      <c r="AM81" s="187"/>
      <c r="AN81" s="187"/>
      <c r="AO81" s="187"/>
      <c r="AP81" s="187"/>
      <c r="AQ81" s="188" t="s">
        <v>97</v>
      </c>
      <c r="AR81" s="92" t="s">
        <v>349</v>
      </c>
      <c r="AS81" s="93" t="str">
        <f>AS54</f>
        <v>KPBS-1.019</v>
      </c>
      <c r="AT81" s="93" t="str">
        <f>G81</f>
        <v>A06</v>
      </c>
      <c r="AU81" s="94"/>
      <c r="AV81" s="203">
        <v>0.71268548610000004</v>
      </c>
      <c r="AW81" s="203">
        <v>124.32182370229999</v>
      </c>
      <c r="AX81" s="95" t="s">
        <v>98</v>
      </c>
      <c r="AY81" s="95" t="s">
        <v>94</v>
      </c>
      <c r="AZ81" s="95" t="s">
        <v>94</v>
      </c>
      <c r="BA81" s="96" t="s">
        <v>77</v>
      </c>
      <c r="BB81" s="95" t="s">
        <v>98</v>
      </c>
      <c r="BC81" s="95">
        <v>31</v>
      </c>
      <c r="BD81" s="95" t="s">
        <v>98</v>
      </c>
      <c r="BE81" s="211" t="str">
        <f t="shared" ref="BE81:BE94" si="116">AJ81&amp;", "&amp;AD81&amp;","&amp;AI81</f>
        <v>66, POYOWA BESAR,</v>
      </c>
    </row>
    <row r="82" spans="1:57" s="211" customFormat="1" ht="15.75" customHeight="1">
      <c r="A82" s="46"/>
      <c r="B82" s="46"/>
      <c r="C82" s="22" t="s">
        <v>68</v>
      </c>
      <c r="D82" s="22" t="s">
        <v>348</v>
      </c>
      <c r="E82" s="32">
        <v>2</v>
      </c>
      <c r="F82" s="47">
        <f>F81+1</f>
        <v>14</v>
      </c>
      <c r="G82" s="214"/>
      <c r="H82" s="23">
        <v>2</v>
      </c>
      <c r="I82" s="64" t="str">
        <f t="shared" ref="I82:L82" si="117">I81</f>
        <v>MR.KPBS.P005</v>
      </c>
      <c r="J82" s="64">
        <f t="shared" si="117"/>
        <v>0.71290315530000004</v>
      </c>
      <c r="K82" s="64">
        <f t="shared" si="117"/>
        <v>124.3216929246</v>
      </c>
      <c r="L82" s="64" t="str">
        <f t="shared" si="117"/>
        <v>JL. RAYA POYOWA BESAR</v>
      </c>
      <c r="M82" s="64" t="str">
        <f t="shared" si="40"/>
        <v>SULAWESU UTARA</v>
      </c>
      <c r="N82" s="65" t="s">
        <v>105</v>
      </c>
      <c r="O82" s="66" t="s">
        <v>118</v>
      </c>
      <c r="P82" s="65" t="s">
        <v>119</v>
      </c>
      <c r="Q82" s="66">
        <v>95717</v>
      </c>
      <c r="R82" s="67"/>
      <c r="S82" s="68"/>
      <c r="T82" s="68"/>
      <c r="U82" s="68"/>
      <c r="V82" s="68"/>
      <c r="W82" s="65" t="s">
        <v>105</v>
      </c>
      <c r="X82" s="64"/>
      <c r="Y82" s="64" t="s">
        <v>106</v>
      </c>
      <c r="Z82" s="64" t="str">
        <f t="shared" si="97"/>
        <v>KELURAHAN POYOWA BESAR SATU KOTAMOBAGU</v>
      </c>
      <c r="AA82" s="65"/>
      <c r="AB82" s="65"/>
      <c r="AC82" s="65" t="s">
        <v>70</v>
      </c>
      <c r="AD82" s="64" t="str">
        <f t="shared" ref="AD82" si="118">AD81</f>
        <v>POYOWA BESAR</v>
      </c>
      <c r="AE82" s="67"/>
      <c r="AF82" s="67"/>
      <c r="AG82" s="67"/>
      <c r="AH82" s="67"/>
      <c r="AI82" s="69"/>
      <c r="AJ82" s="11" t="s">
        <v>394</v>
      </c>
      <c r="AK82" s="65" t="s">
        <v>96</v>
      </c>
      <c r="AL82" s="65"/>
      <c r="AM82" s="176"/>
      <c r="AN82" s="176"/>
      <c r="AO82" s="176"/>
      <c r="AP82" s="176"/>
      <c r="AQ82" s="177" t="s">
        <v>97</v>
      </c>
      <c r="AR82" s="70" t="s">
        <v>349</v>
      </c>
      <c r="AS82" s="71" t="str">
        <f t="shared" ref="AS82:AT82" si="119">AS81</f>
        <v>KPBS-1.019</v>
      </c>
      <c r="AT82" s="71" t="str">
        <f t="shared" si="119"/>
        <v>A06</v>
      </c>
      <c r="AU82" s="72"/>
      <c r="AV82" s="202">
        <v>0.71274484979999997</v>
      </c>
      <c r="AW82" s="202">
        <v>124.3218111873</v>
      </c>
      <c r="AX82" s="65" t="s">
        <v>98</v>
      </c>
      <c r="AY82" s="65" t="s">
        <v>94</v>
      </c>
      <c r="AZ82" s="65" t="s">
        <v>94</v>
      </c>
      <c r="BA82" s="73" t="s">
        <v>77</v>
      </c>
      <c r="BB82" s="65" t="s">
        <v>98</v>
      </c>
      <c r="BC82" s="65">
        <v>31</v>
      </c>
      <c r="BD82" s="65" t="s">
        <v>98</v>
      </c>
      <c r="BE82" s="211" t="str">
        <f t="shared" si="116"/>
        <v>67, POYOWA BESAR,</v>
      </c>
    </row>
    <row r="83" spans="1:57" s="211" customFormat="1" ht="15.75" customHeight="1">
      <c r="A83" s="221"/>
      <c r="B83" s="222"/>
      <c r="C83" s="222"/>
      <c r="D83" s="222"/>
      <c r="E83" s="222"/>
      <c r="F83" s="222"/>
      <c r="G83" s="223"/>
      <c r="H83" s="23">
        <v>3</v>
      </c>
      <c r="I83" s="64" t="str">
        <f t="shared" ref="I83:L83" si="120">I82</f>
        <v>MR.KPBS.P005</v>
      </c>
      <c r="J83" s="64">
        <f t="shared" si="120"/>
        <v>0.71290315530000004</v>
      </c>
      <c r="K83" s="64">
        <f t="shared" si="120"/>
        <v>124.3216929246</v>
      </c>
      <c r="L83" s="64" t="str">
        <f t="shared" si="120"/>
        <v>JL. RAYA POYOWA BESAR</v>
      </c>
      <c r="M83" s="64" t="str">
        <f t="shared" si="40"/>
        <v>SULAWESU UTARA</v>
      </c>
      <c r="N83" s="65" t="s">
        <v>105</v>
      </c>
      <c r="O83" s="66" t="s">
        <v>118</v>
      </c>
      <c r="P83" s="65" t="s">
        <v>119</v>
      </c>
      <c r="Q83" s="66">
        <v>95717</v>
      </c>
      <c r="R83" s="67"/>
      <c r="S83" s="68"/>
      <c r="T83" s="68"/>
      <c r="U83" s="68"/>
      <c r="V83" s="68"/>
      <c r="W83" s="65" t="s">
        <v>105</v>
      </c>
      <c r="X83" s="64"/>
      <c r="Y83" s="64" t="s">
        <v>106</v>
      </c>
      <c r="Z83" s="64" t="str">
        <f t="shared" si="97"/>
        <v>KELURAHAN POYOWA BESAR SATU KOTAMOBAGU</v>
      </c>
      <c r="AA83" s="65"/>
      <c r="AB83" s="65"/>
      <c r="AC83" s="65" t="s">
        <v>70</v>
      </c>
      <c r="AD83" s="64" t="str">
        <f t="shared" ref="AD83" si="121">AD82</f>
        <v>POYOWA BESAR</v>
      </c>
      <c r="AE83" s="67"/>
      <c r="AF83" s="67"/>
      <c r="AG83" s="67"/>
      <c r="AH83" s="67"/>
      <c r="AI83" s="69"/>
      <c r="AJ83" s="11" t="s">
        <v>395</v>
      </c>
      <c r="AK83" s="65" t="s">
        <v>96</v>
      </c>
      <c r="AL83" s="65"/>
      <c r="AM83" s="176"/>
      <c r="AN83" s="176"/>
      <c r="AO83" s="176"/>
      <c r="AP83" s="176"/>
      <c r="AQ83" s="177" t="s">
        <v>97</v>
      </c>
      <c r="AR83" s="70" t="s">
        <v>349</v>
      </c>
      <c r="AS83" s="71" t="str">
        <f t="shared" ref="AS83:AT83" si="122">AS82</f>
        <v>KPBS-1.019</v>
      </c>
      <c r="AT83" s="71" t="str">
        <f t="shared" si="122"/>
        <v>A06</v>
      </c>
      <c r="AU83" s="72"/>
      <c r="AV83" s="202">
        <v>0.71283080209999905</v>
      </c>
      <c r="AW83" s="202">
        <v>124.3214031646</v>
      </c>
      <c r="AX83" s="65" t="s">
        <v>98</v>
      </c>
      <c r="AY83" s="65" t="s">
        <v>94</v>
      </c>
      <c r="AZ83" s="65" t="s">
        <v>94</v>
      </c>
      <c r="BA83" s="73" t="s">
        <v>77</v>
      </c>
      <c r="BB83" s="65" t="s">
        <v>98</v>
      </c>
      <c r="BC83" s="65">
        <v>31</v>
      </c>
      <c r="BD83" s="65" t="s">
        <v>98</v>
      </c>
      <c r="BE83" s="211" t="str">
        <f t="shared" si="116"/>
        <v>74, POYOWA BESAR,</v>
      </c>
    </row>
    <row r="84" spans="1:57" s="211" customFormat="1" ht="15.75" customHeight="1">
      <c r="A84" s="224"/>
      <c r="B84" s="225"/>
      <c r="C84" s="225"/>
      <c r="D84" s="225"/>
      <c r="E84" s="225"/>
      <c r="F84" s="225"/>
      <c r="G84" s="226"/>
      <c r="H84" s="23">
        <v>4</v>
      </c>
      <c r="I84" s="64" t="str">
        <f t="shared" ref="I84:L84" si="123">I83</f>
        <v>MR.KPBS.P005</v>
      </c>
      <c r="J84" s="64">
        <f t="shared" si="123"/>
        <v>0.71290315530000004</v>
      </c>
      <c r="K84" s="64">
        <f t="shared" si="123"/>
        <v>124.3216929246</v>
      </c>
      <c r="L84" s="64" t="str">
        <f t="shared" si="123"/>
        <v>JL. RAYA POYOWA BESAR</v>
      </c>
      <c r="M84" s="64" t="str">
        <f t="shared" si="40"/>
        <v>SULAWESU UTARA</v>
      </c>
      <c r="N84" s="65" t="s">
        <v>105</v>
      </c>
      <c r="O84" s="66" t="s">
        <v>118</v>
      </c>
      <c r="P84" s="65" t="s">
        <v>119</v>
      </c>
      <c r="Q84" s="66">
        <v>95717</v>
      </c>
      <c r="R84" s="67"/>
      <c r="S84" s="68"/>
      <c r="T84" s="68"/>
      <c r="U84" s="68"/>
      <c r="V84" s="68"/>
      <c r="W84" s="65" t="s">
        <v>105</v>
      </c>
      <c r="X84" s="64"/>
      <c r="Y84" s="64" t="s">
        <v>106</v>
      </c>
      <c r="Z84" s="64" t="str">
        <f t="shared" si="97"/>
        <v>KELURAHAN POYOWA BESAR SATU KOTAMOBAGU</v>
      </c>
      <c r="AA84" s="65"/>
      <c r="AB84" s="65"/>
      <c r="AC84" s="65" t="s">
        <v>70</v>
      </c>
      <c r="AD84" s="64" t="str">
        <f t="shared" ref="AD84" si="124">AD83</f>
        <v>POYOWA BESAR</v>
      </c>
      <c r="AE84" s="67"/>
      <c r="AF84" s="67"/>
      <c r="AG84" s="67"/>
      <c r="AH84" s="67"/>
      <c r="AI84" s="69"/>
      <c r="AJ84" s="11" t="s">
        <v>396</v>
      </c>
      <c r="AK84" s="65" t="s">
        <v>96</v>
      </c>
      <c r="AL84" s="65"/>
      <c r="AM84" s="176"/>
      <c r="AN84" s="176"/>
      <c r="AO84" s="176"/>
      <c r="AP84" s="176"/>
      <c r="AQ84" s="177" t="s">
        <v>97</v>
      </c>
      <c r="AR84" s="70" t="s">
        <v>349</v>
      </c>
      <c r="AS84" s="71" t="str">
        <f t="shared" ref="AS84:AT84" si="125">AS83</f>
        <v>KPBS-1.019</v>
      </c>
      <c r="AT84" s="71" t="str">
        <f t="shared" si="125"/>
        <v>A06</v>
      </c>
      <c r="AU84" s="72"/>
      <c r="AV84" s="202">
        <v>0.71281109899999995</v>
      </c>
      <c r="AW84" s="202">
        <v>124.3218145189</v>
      </c>
      <c r="AX84" s="65" t="s">
        <v>98</v>
      </c>
      <c r="AY84" s="65" t="s">
        <v>94</v>
      </c>
      <c r="AZ84" s="65" t="s">
        <v>94</v>
      </c>
      <c r="BA84" s="73" t="s">
        <v>77</v>
      </c>
      <c r="BB84" s="65" t="s">
        <v>98</v>
      </c>
      <c r="BC84" s="65">
        <v>31</v>
      </c>
      <c r="BD84" s="65" t="s">
        <v>98</v>
      </c>
      <c r="BE84" s="211" t="str">
        <f t="shared" si="116"/>
        <v>68, POYOWA BESAR,</v>
      </c>
    </row>
    <row r="85" spans="1:57" s="211" customFormat="1" ht="15.75" customHeight="1">
      <c r="A85" s="224"/>
      <c r="B85" s="225"/>
      <c r="C85" s="225"/>
      <c r="D85" s="225"/>
      <c r="E85" s="225"/>
      <c r="F85" s="225"/>
      <c r="G85" s="226"/>
      <c r="H85" s="23">
        <v>5</v>
      </c>
      <c r="I85" s="64" t="str">
        <f t="shared" ref="I85:L85" si="126">I84</f>
        <v>MR.KPBS.P005</v>
      </c>
      <c r="J85" s="64">
        <f t="shared" si="126"/>
        <v>0.71290315530000004</v>
      </c>
      <c r="K85" s="64">
        <f t="shared" si="126"/>
        <v>124.3216929246</v>
      </c>
      <c r="L85" s="64" t="str">
        <f t="shared" si="126"/>
        <v>JL. RAYA POYOWA BESAR</v>
      </c>
      <c r="M85" s="64" t="str">
        <f t="shared" si="40"/>
        <v>SULAWESU UTARA</v>
      </c>
      <c r="N85" s="65" t="s">
        <v>105</v>
      </c>
      <c r="O85" s="66" t="s">
        <v>118</v>
      </c>
      <c r="P85" s="65" t="s">
        <v>119</v>
      </c>
      <c r="Q85" s="66">
        <v>95717</v>
      </c>
      <c r="R85" s="67"/>
      <c r="S85" s="68"/>
      <c r="T85" s="68"/>
      <c r="U85" s="68"/>
      <c r="V85" s="68"/>
      <c r="W85" s="65" t="s">
        <v>105</v>
      </c>
      <c r="X85" s="64"/>
      <c r="Y85" s="64" t="s">
        <v>106</v>
      </c>
      <c r="Z85" s="64" t="str">
        <f t="shared" si="97"/>
        <v>KELURAHAN POYOWA BESAR SATU KOTAMOBAGU</v>
      </c>
      <c r="AA85" s="65"/>
      <c r="AB85" s="65"/>
      <c r="AC85" s="65" t="s">
        <v>70</v>
      </c>
      <c r="AD85" s="64" t="str">
        <f t="shared" ref="AD85" si="127">AD84</f>
        <v>POYOWA BESAR</v>
      </c>
      <c r="AE85" s="67"/>
      <c r="AF85" s="67"/>
      <c r="AG85" s="67"/>
      <c r="AH85" s="67"/>
      <c r="AI85" s="69"/>
      <c r="AJ85" s="11" t="s">
        <v>397</v>
      </c>
      <c r="AK85" s="65" t="s">
        <v>96</v>
      </c>
      <c r="AL85" s="65"/>
      <c r="AM85" s="176"/>
      <c r="AN85" s="176"/>
      <c r="AO85" s="176"/>
      <c r="AP85" s="176"/>
      <c r="AQ85" s="177" t="s">
        <v>97</v>
      </c>
      <c r="AR85" s="70" t="s">
        <v>349</v>
      </c>
      <c r="AS85" s="71" t="str">
        <f t="shared" ref="AS85:AT85" si="128">AS84</f>
        <v>KPBS-1.019</v>
      </c>
      <c r="AT85" s="71" t="str">
        <f t="shared" si="128"/>
        <v>A06</v>
      </c>
      <c r="AU85" s="72"/>
      <c r="AV85" s="202">
        <v>0.71287565080000004</v>
      </c>
      <c r="AW85" s="202">
        <v>124.32184205439999</v>
      </c>
      <c r="AX85" s="65" t="s">
        <v>98</v>
      </c>
      <c r="AY85" s="65" t="s">
        <v>94</v>
      </c>
      <c r="AZ85" s="65" t="s">
        <v>94</v>
      </c>
      <c r="BA85" s="73" t="s">
        <v>77</v>
      </c>
      <c r="BB85" s="65" t="s">
        <v>98</v>
      </c>
      <c r="BC85" s="65">
        <v>31</v>
      </c>
      <c r="BD85" s="65" t="s">
        <v>98</v>
      </c>
      <c r="BE85" s="211" t="str">
        <f t="shared" si="116"/>
        <v>69, POYOWA BESAR,</v>
      </c>
    </row>
    <row r="86" spans="1:57" s="211" customFormat="1" ht="15.75" customHeight="1">
      <c r="A86" s="224"/>
      <c r="B86" s="225"/>
      <c r="C86" s="225"/>
      <c r="D86" s="225"/>
      <c r="E86" s="225"/>
      <c r="F86" s="225"/>
      <c r="G86" s="226"/>
      <c r="H86" s="23">
        <v>6</v>
      </c>
      <c r="I86" s="64" t="str">
        <f t="shared" ref="I86:L86" si="129">I85</f>
        <v>MR.KPBS.P005</v>
      </c>
      <c r="J86" s="64">
        <f t="shared" si="129"/>
        <v>0.71290315530000004</v>
      </c>
      <c r="K86" s="64">
        <f t="shared" si="129"/>
        <v>124.3216929246</v>
      </c>
      <c r="L86" s="64" t="str">
        <f t="shared" si="129"/>
        <v>JL. RAYA POYOWA BESAR</v>
      </c>
      <c r="M86" s="64" t="str">
        <f t="shared" si="40"/>
        <v>SULAWESU UTARA</v>
      </c>
      <c r="N86" s="65" t="s">
        <v>105</v>
      </c>
      <c r="O86" s="66" t="s">
        <v>118</v>
      </c>
      <c r="P86" s="65" t="s">
        <v>119</v>
      </c>
      <c r="Q86" s="66">
        <v>95717</v>
      </c>
      <c r="R86" s="67"/>
      <c r="S86" s="68"/>
      <c r="T86" s="74"/>
      <c r="U86" s="74"/>
      <c r="V86" s="74"/>
      <c r="W86" s="65" t="s">
        <v>105</v>
      </c>
      <c r="X86" s="64"/>
      <c r="Y86" s="64" t="s">
        <v>106</v>
      </c>
      <c r="Z86" s="64" t="str">
        <f t="shared" si="97"/>
        <v>KELURAHAN POYOWA BESAR SATU KOTAMOBAGU</v>
      </c>
      <c r="AA86" s="65"/>
      <c r="AB86" s="65"/>
      <c r="AC86" s="65" t="s">
        <v>70</v>
      </c>
      <c r="AD86" s="64" t="str">
        <f t="shared" ref="AD86" si="130">AD85</f>
        <v>POYOWA BESAR</v>
      </c>
      <c r="AE86" s="75"/>
      <c r="AF86" s="75"/>
      <c r="AG86" s="75"/>
      <c r="AH86" s="75"/>
      <c r="AI86" s="69"/>
      <c r="AJ86" s="11" t="s">
        <v>398</v>
      </c>
      <c r="AK86" s="65" t="s">
        <v>96</v>
      </c>
      <c r="AL86" s="65"/>
      <c r="AM86" s="176"/>
      <c r="AN86" s="176"/>
      <c r="AO86" s="176"/>
      <c r="AP86" s="176"/>
      <c r="AQ86" s="186" t="s">
        <v>97</v>
      </c>
      <c r="AR86" s="70" t="s">
        <v>349</v>
      </c>
      <c r="AS86" s="71" t="str">
        <f t="shared" ref="AS86:AT86" si="131">AS85</f>
        <v>KPBS-1.019</v>
      </c>
      <c r="AT86" s="71" t="str">
        <f t="shared" si="131"/>
        <v>A06</v>
      </c>
      <c r="AU86" s="72"/>
      <c r="AV86" s="202">
        <v>0.71294337549999998</v>
      </c>
      <c r="AW86" s="202">
        <v>124.3218128533</v>
      </c>
      <c r="AX86" s="65" t="s">
        <v>98</v>
      </c>
      <c r="AY86" s="65" t="s">
        <v>94</v>
      </c>
      <c r="AZ86" s="65" t="s">
        <v>94</v>
      </c>
      <c r="BA86" s="73" t="s">
        <v>77</v>
      </c>
      <c r="BB86" s="65" t="s">
        <v>98</v>
      </c>
      <c r="BC86" s="65">
        <v>31</v>
      </c>
      <c r="BD86" s="65" t="s">
        <v>98</v>
      </c>
      <c r="BE86" s="211" t="str">
        <f t="shared" si="116"/>
        <v>70, POYOWA BESAR,</v>
      </c>
    </row>
    <row r="87" spans="1:57" s="211" customFormat="1" ht="15.75" customHeight="1">
      <c r="A87" s="224"/>
      <c r="B87" s="225"/>
      <c r="C87" s="225"/>
      <c r="D87" s="225"/>
      <c r="E87" s="225"/>
      <c r="F87" s="225"/>
      <c r="G87" s="226"/>
      <c r="H87" s="23">
        <v>7</v>
      </c>
      <c r="I87" s="64" t="str">
        <f t="shared" ref="I87:L87" si="132">I86</f>
        <v>MR.KPBS.P005</v>
      </c>
      <c r="J87" s="64">
        <f t="shared" si="132"/>
        <v>0.71290315530000004</v>
      </c>
      <c r="K87" s="64">
        <f t="shared" si="132"/>
        <v>124.3216929246</v>
      </c>
      <c r="L87" s="64" t="str">
        <f t="shared" si="132"/>
        <v>JL. RAYA POYOWA BESAR</v>
      </c>
      <c r="M87" s="64" t="str">
        <f t="shared" si="40"/>
        <v>SULAWESU UTARA</v>
      </c>
      <c r="N87" s="65" t="s">
        <v>105</v>
      </c>
      <c r="O87" s="66" t="s">
        <v>118</v>
      </c>
      <c r="P87" s="65" t="s">
        <v>119</v>
      </c>
      <c r="Q87" s="66">
        <v>95717</v>
      </c>
      <c r="R87" s="67"/>
      <c r="S87" s="68"/>
      <c r="T87" s="68"/>
      <c r="U87" s="68"/>
      <c r="V87" s="68"/>
      <c r="W87" s="65" t="s">
        <v>105</v>
      </c>
      <c r="X87" s="64"/>
      <c r="Y87" s="64" t="s">
        <v>106</v>
      </c>
      <c r="Z87" s="64" t="str">
        <f t="shared" si="97"/>
        <v>KELURAHAN POYOWA BESAR SATU KOTAMOBAGU</v>
      </c>
      <c r="AA87" s="65"/>
      <c r="AB87" s="65"/>
      <c r="AC87" s="65" t="s">
        <v>70</v>
      </c>
      <c r="AD87" s="64" t="str">
        <f t="shared" ref="AD87" si="133">AD86</f>
        <v>POYOWA BESAR</v>
      </c>
      <c r="AE87" s="67"/>
      <c r="AF87" s="67"/>
      <c r="AG87" s="67"/>
      <c r="AH87" s="67"/>
      <c r="AI87" s="69"/>
      <c r="AJ87" s="11" t="s">
        <v>399</v>
      </c>
      <c r="AK87" s="65" t="s">
        <v>96</v>
      </c>
      <c r="AL87" s="65"/>
      <c r="AM87" s="65"/>
      <c r="AN87" s="65"/>
      <c r="AO87" s="65"/>
      <c r="AP87" s="65"/>
      <c r="AQ87" s="177" t="s">
        <v>97</v>
      </c>
      <c r="AR87" s="70" t="s">
        <v>349</v>
      </c>
      <c r="AS87" s="71" t="str">
        <f t="shared" ref="AS87:AT87" si="134">AS86</f>
        <v>KPBS-1.019</v>
      </c>
      <c r="AT87" s="71" t="str">
        <f t="shared" si="134"/>
        <v>A06</v>
      </c>
      <c r="AU87" s="72"/>
      <c r="AV87" s="202">
        <v>0.71303229579999905</v>
      </c>
      <c r="AW87" s="202">
        <v>124.3218278614</v>
      </c>
      <c r="AX87" s="65" t="s">
        <v>98</v>
      </c>
      <c r="AY87" s="65" t="s">
        <v>94</v>
      </c>
      <c r="AZ87" s="65" t="s">
        <v>94</v>
      </c>
      <c r="BA87" s="73" t="s">
        <v>77</v>
      </c>
      <c r="BB87" s="65" t="s">
        <v>98</v>
      </c>
      <c r="BC87" s="65">
        <v>31</v>
      </c>
      <c r="BD87" s="65" t="s">
        <v>98</v>
      </c>
      <c r="BE87" s="211" t="str">
        <f t="shared" si="116"/>
        <v>71, POYOWA BESAR,</v>
      </c>
    </row>
    <row r="88" spans="1:57" s="211" customFormat="1" ht="15.75" customHeight="1">
      <c r="A88" s="224"/>
      <c r="B88" s="225"/>
      <c r="C88" s="225"/>
      <c r="D88" s="225"/>
      <c r="E88" s="225"/>
      <c r="F88" s="225"/>
      <c r="G88" s="226"/>
      <c r="H88" s="23">
        <v>8</v>
      </c>
      <c r="I88" s="64" t="str">
        <f t="shared" ref="I88:L88" si="135">I87</f>
        <v>MR.KPBS.P005</v>
      </c>
      <c r="J88" s="64">
        <f t="shared" si="135"/>
        <v>0.71290315530000004</v>
      </c>
      <c r="K88" s="64">
        <f t="shared" si="135"/>
        <v>124.3216929246</v>
      </c>
      <c r="L88" s="64" t="str">
        <f t="shared" si="135"/>
        <v>JL. RAYA POYOWA BESAR</v>
      </c>
      <c r="M88" s="64" t="str">
        <f t="shared" si="40"/>
        <v>SULAWESU UTARA</v>
      </c>
      <c r="N88" s="65" t="s">
        <v>105</v>
      </c>
      <c r="O88" s="66" t="s">
        <v>118</v>
      </c>
      <c r="P88" s="65" t="s">
        <v>119</v>
      </c>
      <c r="Q88" s="66">
        <v>95717</v>
      </c>
      <c r="R88" s="67"/>
      <c r="S88" s="68"/>
      <c r="T88" s="68"/>
      <c r="U88" s="68"/>
      <c r="V88" s="68"/>
      <c r="W88" s="64" t="s">
        <v>105</v>
      </c>
      <c r="X88" s="64"/>
      <c r="Y88" s="64" t="s">
        <v>106</v>
      </c>
      <c r="Z88" s="64" t="str">
        <f t="shared" si="97"/>
        <v>KELURAHAN POYOWA BESAR SATU KOTAMOBAGU</v>
      </c>
      <c r="AA88" s="65"/>
      <c r="AB88" s="65"/>
      <c r="AC88" s="65" t="s">
        <v>70</v>
      </c>
      <c r="AD88" s="64" t="str">
        <f t="shared" ref="AD88" si="136">AD87</f>
        <v>POYOWA BESAR</v>
      </c>
      <c r="AE88" s="67"/>
      <c r="AF88" s="67"/>
      <c r="AG88" s="67"/>
      <c r="AH88" s="67"/>
      <c r="AI88" s="69"/>
      <c r="AJ88" s="11" t="s">
        <v>400</v>
      </c>
      <c r="AK88" s="65" t="s">
        <v>96</v>
      </c>
      <c r="AL88" s="65"/>
      <c r="AM88" s="65"/>
      <c r="AN88" s="65"/>
      <c r="AO88" s="65"/>
      <c r="AP88" s="65"/>
      <c r="AQ88" s="177" t="s">
        <v>97</v>
      </c>
      <c r="AR88" s="70" t="s">
        <v>349</v>
      </c>
      <c r="AS88" s="71" t="str">
        <f t="shared" ref="AS88:AT88" si="137">AS87</f>
        <v>KPBS-1.019</v>
      </c>
      <c r="AT88" s="71" t="str">
        <f t="shared" si="137"/>
        <v>A06</v>
      </c>
      <c r="AU88" s="72"/>
      <c r="AV88" s="202">
        <v>0.71299775340000004</v>
      </c>
      <c r="AW88" s="202">
        <v>124.3214941052</v>
      </c>
      <c r="AX88" s="65" t="s">
        <v>98</v>
      </c>
      <c r="AY88" s="65" t="s">
        <v>94</v>
      </c>
      <c r="AZ88" s="65" t="s">
        <v>94</v>
      </c>
      <c r="BA88" s="73" t="s">
        <v>77</v>
      </c>
      <c r="BB88" s="65" t="s">
        <v>98</v>
      </c>
      <c r="BC88" s="65">
        <v>31</v>
      </c>
      <c r="BD88" s="65" t="s">
        <v>98</v>
      </c>
      <c r="BE88" s="211" t="str">
        <f t="shared" si="116"/>
        <v>75, POYOWA BESAR,</v>
      </c>
    </row>
    <row r="89" spans="1:57" s="211" customFormat="1" ht="15.75" customHeight="1">
      <c r="A89" s="224"/>
      <c r="B89" s="225"/>
      <c r="C89" s="225"/>
      <c r="D89" s="225"/>
      <c r="E89" s="225"/>
      <c r="F89" s="225"/>
      <c r="G89" s="226"/>
      <c r="H89" s="23">
        <v>9</v>
      </c>
      <c r="I89" s="64" t="str">
        <f t="shared" ref="I89:L89" si="138">I88</f>
        <v>MR.KPBS.P005</v>
      </c>
      <c r="J89" s="64">
        <f t="shared" si="138"/>
        <v>0.71290315530000004</v>
      </c>
      <c r="K89" s="64">
        <f t="shared" si="138"/>
        <v>124.3216929246</v>
      </c>
      <c r="L89" s="64" t="str">
        <f t="shared" si="138"/>
        <v>JL. RAYA POYOWA BESAR</v>
      </c>
      <c r="M89" s="64" t="str">
        <f t="shared" si="40"/>
        <v>SULAWESU UTARA</v>
      </c>
      <c r="N89" s="65" t="s">
        <v>105</v>
      </c>
      <c r="O89" s="66" t="s">
        <v>118</v>
      </c>
      <c r="P89" s="65" t="s">
        <v>119</v>
      </c>
      <c r="Q89" s="66">
        <v>95717</v>
      </c>
      <c r="R89" s="67"/>
      <c r="S89" s="68"/>
      <c r="T89" s="68"/>
      <c r="U89" s="68"/>
      <c r="V89" s="68"/>
      <c r="W89" s="64" t="s">
        <v>105</v>
      </c>
      <c r="X89" s="64"/>
      <c r="Y89" s="64" t="s">
        <v>106</v>
      </c>
      <c r="Z89" s="64" t="str">
        <f t="shared" si="97"/>
        <v>KELURAHAN POYOWA BESAR SATU KOTAMOBAGU</v>
      </c>
      <c r="AA89" s="65"/>
      <c r="AB89" s="65"/>
      <c r="AC89" s="65" t="s">
        <v>70</v>
      </c>
      <c r="AD89" s="64" t="str">
        <f t="shared" ref="AD89" si="139">AD88</f>
        <v>POYOWA BESAR</v>
      </c>
      <c r="AE89" s="67"/>
      <c r="AF89" s="67"/>
      <c r="AG89" s="67"/>
      <c r="AH89" s="67"/>
      <c r="AI89" s="69"/>
      <c r="AJ89" s="11" t="s">
        <v>401</v>
      </c>
      <c r="AK89" s="65" t="s">
        <v>96</v>
      </c>
      <c r="AL89" s="65"/>
      <c r="AM89" s="65"/>
      <c r="AN89" s="65"/>
      <c r="AO89" s="65"/>
      <c r="AP89" s="65"/>
      <c r="AQ89" s="177" t="s">
        <v>97</v>
      </c>
      <c r="AR89" s="70" t="s">
        <v>349</v>
      </c>
      <c r="AS89" s="71" t="str">
        <f t="shared" ref="AS89:AT89" si="140">AS88</f>
        <v>KPBS-1.019</v>
      </c>
      <c r="AT89" s="71" t="str">
        <f t="shared" si="140"/>
        <v>A06</v>
      </c>
      <c r="AU89" s="72"/>
      <c r="AV89" s="202">
        <v>0.71307566509999998</v>
      </c>
      <c r="AW89" s="202">
        <v>124.3214598981</v>
      </c>
      <c r="AX89" s="65" t="s">
        <v>98</v>
      </c>
      <c r="AY89" s="65" t="s">
        <v>94</v>
      </c>
      <c r="AZ89" s="65" t="s">
        <v>94</v>
      </c>
      <c r="BA89" s="73" t="s">
        <v>77</v>
      </c>
      <c r="BB89" s="65" t="s">
        <v>98</v>
      </c>
      <c r="BC89" s="65">
        <v>31</v>
      </c>
      <c r="BD89" s="65" t="s">
        <v>98</v>
      </c>
      <c r="BE89" s="211" t="str">
        <f t="shared" si="116"/>
        <v>76, POYOWA BESAR,</v>
      </c>
    </row>
    <row r="90" spans="1:57" s="211" customFormat="1" ht="15.75" customHeight="1">
      <c r="A90" s="224"/>
      <c r="B90" s="225"/>
      <c r="C90" s="225"/>
      <c r="D90" s="225"/>
      <c r="E90" s="225"/>
      <c r="F90" s="225"/>
      <c r="G90" s="226"/>
      <c r="H90" s="23">
        <v>10</v>
      </c>
      <c r="I90" s="64" t="str">
        <f t="shared" ref="I90:L90" si="141">I89</f>
        <v>MR.KPBS.P005</v>
      </c>
      <c r="J90" s="64">
        <f t="shared" si="141"/>
        <v>0.71290315530000004</v>
      </c>
      <c r="K90" s="64">
        <f t="shared" si="141"/>
        <v>124.3216929246</v>
      </c>
      <c r="L90" s="64" t="str">
        <f t="shared" si="141"/>
        <v>JL. RAYA POYOWA BESAR</v>
      </c>
      <c r="M90" s="64" t="str">
        <f t="shared" si="40"/>
        <v>SULAWESU UTARA</v>
      </c>
      <c r="N90" s="65" t="s">
        <v>105</v>
      </c>
      <c r="O90" s="66" t="s">
        <v>118</v>
      </c>
      <c r="P90" s="65" t="s">
        <v>119</v>
      </c>
      <c r="Q90" s="66">
        <v>95717</v>
      </c>
      <c r="R90" s="67"/>
      <c r="S90" s="68"/>
      <c r="T90" s="68"/>
      <c r="U90" s="68"/>
      <c r="V90" s="68"/>
      <c r="W90" s="64" t="s">
        <v>105</v>
      </c>
      <c r="X90" s="64"/>
      <c r="Y90" s="64" t="s">
        <v>106</v>
      </c>
      <c r="Z90" s="64" t="str">
        <f t="shared" si="97"/>
        <v>KELURAHAN POYOWA BESAR SATU KOTAMOBAGU</v>
      </c>
      <c r="AA90" s="65"/>
      <c r="AB90" s="65"/>
      <c r="AC90" s="65" t="s">
        <v>70</v>
      </c>
      <c r="AD90" s="64" t="str">
        <f t="shared" ref="AD90" si="142">AD89</f>
        <v>POYOWA BESAR</v>
      </c>
      <c r="AE90" s="67"/>
      <c r="AF90" s="67"/>
      <c r="AG90" s="67"/>
      <c r="AH90" s="67"/>
      <c r="AI90" s="69"/>
      <c r="AJ90" s="11" t="s">
        <v>402</v>
      </c>
      <c r="AK90" s="65" t="s">
        <v>96</v>
      </c>
      <c r="AL90" s="65"/>
      <c r="AM90" s="65"/>
      <c r="AN90" s="65"/>
      <c r="AO90" s="65"/>
      <c r="AP90" s="65"/>
      <c r="AQ90" s="177" t="s">
        <v>97</v>
      </c>
      <c r="AR90" s="70" t="s">
        <v>349</v>
      </c>
      <c r="AS90" s="71" t="str">
        <f t="shared" ref="AS90:AT90" si="143">AS89</f>
        <v>KPBS-1.019</v>
      </c>
      <c r="AT90" s="71" t="str">
        <f t="shared" si="143"/>
        <v>A06</v>
      </c>
      <c r="AU90" s="72"/>
      <c r="AV90" s="202">
        <v>0.7131075455</v>
      </c>
      <c r="AW90" s="202">
        <v>124.3218195181</v>
      </c>
      <c r="AX90" s="65" t="s">
        <v>98</v>
      </c>
      <c r="AY90" s="65" t="s">
        <v>94</v>
      </c>
      <c r="AZ90" s="65" t="s">
        <v>94</v>
      </c>
      <c r="BA90" s="73" t="s">
        <v>77</v>
      </c>
      <c r="BB90" s="65" t="s">
        <v>98</v>
      </c>
      <c r="BC90" s="65">
        <v>31</v>
      </c>
      <c r="BD90" s="65" t="s">
        <v>98</v>
      </c>
      <c r="BE90" s="211" t="str">
        <f t="shared" si="116"/>
        <v>72, POYOWA BESAR,</v>
      </c>
    </row>
    <row r="91" spans="1:57" s="211" customFormat="1" ht="15.75" customHeight="1">
      <c r="A91" s="224"/>
      <c r="B91" s="225"/>
      <c r="C91" s="225"/>
      <c r="D91" s="225"/>
      <c r="E91" s="225"/>
      <c r="F91" s="225"/>
      <c r="G91" s="226"/>
      <c r="H91" s="23">
        <v>11</v>
      </c>
      <c r="I91" s="64" t="str">
        <f t="shared" ref="I91:L91" si="144">I90</f>
        <v>MR.KPBS.P005</v>
      </c>
      <c r="J91" s="64">
        <f t="shared" si="144"/>
        <v>0.71290315530000004</v>
      </c>
      <c r="K91" s="64">
        <f t="shared" si="144"/>
        <v>124.3216929246</v>
      </c>
      <c r="L91" s="64" t="str">
        <f t="shared" si="144"/>
        <v>JL. RAYA POYOWA BESAR</v>
      </c>
      <c r="M91" s="64" t="str">
        <f t="shared" si="40"/>
        <v>SULAWESU UTARA</v>
      </c>
      <c r="N91" s="65" t="s">
        <v>105</v>
      </c>
      <c r="O91" s="66" t="s">
        <v>118</v>
      </c>
      <c r="P91" s="65" t="s">
        <v>119</v>
      </c>
      <c r="Q91" s="66">
        <v>95717</v>
      </c>
      <c r="R91" s="66"/>
      <c r="S91" s="66"/>
      <c r="T91" s="66"/>
      <c r="U91" s="66"/>
      <c r="V91" s="66"/>
      <c r="W91" s="64" t="s">
        <v>105</v>
      </c>
      <c r="X91" s="64"/>
      <c r="Y91" s="64" t="s">
        <v>106</v>
      </c>
      <c r="Z91" s="64" t="str">
        <f t="shared" si="97"/>
        <v>KELURAHAN POYOWA BESAR SATU KOTAMOBAGU</v>
      </c>
      <c r="AA91" s="65"/>
      <c r="AB91" s="65"/>
      <c r="AC91" s="65" t="s">
        <v>70</v>
      </c>
      <c r="AD91" s="64" t="str">
        <f t="shared" ref="AD91" si="145">AD90</f>
        <v>POYOWA BESAR</v>
      </c>
      <c r="AE91" s="66"/>
      <c r="AF91" s="66"/>
      <c r="AG91" s="66"/>
      <c r="AH91" s="66"/>
      <c r="AI91" s="69"/>
      <c r="AJ91" s="11" t="s">
        <v>403</v>
      </c>
      <c r="AK91" s="178" t="s">
        <v>96</v>
      </c>
      <c r="AL91" s="178"/>
      <c r="AM91" s="178"/>
      <c r="AN91" s="178"/>
      <c r="AO91" s="178"/>
      <c r="AP91" s="178"/>
      <c r="AQ91" s="179" t="s">
        <v>97</v>
      </c>
      <c r="AR91" s="70" t="s">
        <v>349</v>
      </c>
      <c r="AS91" s="71" t="str">
        <f t="shared" ref="AS91:AT91" si="146">AS90</f>
        <v>KPBS-1.019</v>
      </c>
      <c r="AT91" s="71" t="str">
        <f t="shared" si="146"/>
        <v>A06</v>
      </c>
      <c r="AU91" s="72"/>
      <c r="AV91" s="202">
        <v>0.71322711559999996</v>
      </c>
      <c r="AW91" s="202">
        <v>124.3218387057</v>
      </c>
      <c r="AX91" s="65" t="s">
        <v>98</v>
      </c>
      <c r="AY91" s="65" t="s">
        <v>94</v>
      </c>
      <c r="AZ91" s="65" t="s">
        <v>94</v>
      </c>
      <c r="BA91" s="73" t="s">
        <v>77</v>
      </c>
      <c r="BB91" s="65" t="s">
        <v>98</v>
      </c>
      <c r="BC91" s="65">
        <v>31</v>
      </c>
      <c r="BD91" s="65" t="s">
        <v>98</v>
      </c>
      <c r="BE91" s="211" t="str">
        <f t="shared" si="116"/>
        <v>73, POYOWA BESAR,</v>
      </c>
    </row>
    <row r="92" spans="1:57" s="211" customFormat="1" ht="15.75" customHeight="1">
      <c r="A92" s="224"/>
      <c r="B92" s="225"/>
      <c r="C92" s="225"/>
      <c r="D92" s="225"/>
      <c r="E92" s="225"/>
      <c r="F92" s="225"/>
      <c r="G92" s="226"/>
      <c r="H92" s="23">
        <v>12</v>
      </c>
      <c r="I92" s="64" t="str">
        <f t="shared" ref="I92:L92" si="147">I91</f>
        <v>MR.KPBS.P005</v>
      </c>
      <c r="J92" s="64">
        <f t="shared" si="147"/>
        <v>0.71290315530000004</v>
      </c>
      <c r="K92" s="64">
        <f t="shared" si="147"/>
        <v>124.3216929246</v>
      </c>
      <c r="L92" s="64" t="str">
        <f t="shared" si="147"/>
        <v>JL. RAYA POYOWA BESAR</v>
      </c>
      <c r="M92" s="64" t="str">
        <f t="shared" si="40"/>
        <v>SULAWESU UTARA</v>
      </c>
      <c r="N92" s="65" t="s">
        <v>105</v>
      </c>
      <c r="O92" s="66" t="s">
        <v>118</v>
      </c>
      <c r="P92" s="65" t="s">
        <v>119</v>
      </c>
      <c r="Q92" s="66">
        <v>95717</v>
      </c>
      <c r="R92" s="67"/>
      <c r="S92" s="68"/>
      <c r="T92" s="68"/>
      <c r="U92" s="68"/>
      <c r="V92" s="68"/>
      <c r="W92" s="64" t="s">
        <v>105</v>
      </c>
      <c r="X92" s="64"/>
      <c r="Y92" s="64" t="s">
        <v>106</v>
      </c>
      <c r="Z92" s="64" t="str">
        <f t="shared" si="97"/>
        <v>KELURAHAN POYOWA BESAR SATU KOTAMOBAGU</v>
      </c>
      <c r="AA92" s="65"/>
      <c r="AB92" s="65"/>
      <c r="AC92" s="65" t="s">
        <v>70</v>
      </c>
      <c r="AD92" s="64" t="str">
        <f t="shared" ref="AD92" si="148">AD91</f>
        <v>POYOWA BESAR</v>
      </c>
      <c r="AE92" s="67"/>
      <c r="AF92" s="67"/>
      <c r="AG92" s="67"/>
      <c r="AH92" s="67"/>
      <c r="AI92" s="69"/>
      <c r="AJ92" s="11" t="s">
        <v>404</v>
      </c>
      <c r="AK92" s="178" t="s">
        <v>96</v>
      </c>
      <c r="AL92" s="178"/>
      <c r="AM92" s="178"/>
      <c r="AN92" s="178"/>
      <c r="AO92" s="178"/>
      <c r="AP92" s="178"/>
      <c r="AQ92" s="179" t="s">
        <v>97</v>
      </c>
      <c r="AR92" s="70" t="s">
        <v>349</v>
      </c>
      <c r="AS92" s="71" t="str">
        <f t="shared" ref="AS92:AT92" si="149">AS91</f>
        <v>KPBS-1.019</v>
      </c>
      <c r="AT92" s="71" t="str">
        <f t="shared" si="149"/>
        <v>A06</v>
      </c>
      <c r="AU92" s="72"/>
      <c r="AV92" s="202">
        <v>0.71316114470000003</v>
      </c>
      <c r="AW92" s="202">
        <v>124.3214957604</v>
      </c>
      <c r="AX92" s="65" t="s">
        <v>98</v>
      </c>
      <c r="AY92" s="65" t="s">
        <v>94</v>
      </c>
      <c r="AZ92" s="65" t="s">
        <v>94</v>
      </c>
      <c r="BA92" s="73" t="s">
        <v>77</v>
      </c>
      <c r="BB92" s="65" t="s">
        <v>98</v>
      </c>
      <c r="BC92" s="65">
        <v>31</v>
      </c>
      <c r="BD92" s="65" t="s">
        <v>98</v>
      </c>
      <c r="BE92" s="211" t="str">
        <f t="shared" si="116"/>
        <v>77, POYOWA BESAR,</v>
      </c>
    </row>
    <row r="93" spans="1:57" s="211" customFormat="1" ht="15.75" customHeight="1">
      <c r="A93" s="224"/>
      <c r="B93" s="225"/>
      <c r="C93" s="225"/>
      <c r="D93" s="225"/>
      <c r="E93" s="225"/>
      <c r="F93" s="225"/>
      <c r="G93" s="226"/>
      <c r="H93" s="23">
        <v>13</v>
      </c>
      <c r="I93" s="64" t="str">
        <f t="shared" ref="I93:L93" si="150">I92</f>
        <v>MR.KPBS.P005</v>
      </c>
      <c r="J93" s="64">
        <f t="shared" si="150"/>
        <v>0.71290315530000004</v>
      </c>
      <c r="K93" s="64">
        <f t="shared" si="150"/>
        <v>124.3216929246</v>
      </c>
      <c r="L93" s="64" t="str">
        <f t="shared" si="150"/>
        <v>JL. RAYA POYOWA BESAR</v>
      </c>
      <c r="M93" s="64" t="str">
        <f t="shared" si="40"/>
        <v>SULAWESU UTARA</v>
      </c>
      <c r="N93" s="65" t="s">
        <v>105</v>
      </c>
      <c r="O93" s="66" t="s">
        <v>118</v>
      </c>
      <c r="P93" s="65" t="s">
        <v>119</v>
      </c>
      <c r="Q93" s="66">
        <v>95717</v>
      </c>
      <c r="R93" s="66"/>
      <c r="S93" s="66"/>
      <c r="T93" s="66"/>
      <c r="U93" s="66"/>
      <c r="V93" s="66"/>
      <c r="W93" s="64" t="s">
        <v>105</v>
      </c>
      <c r="X93" s="64"/>
      <c r="Y93" s="64" t="s">
        <v>106</v>
      </c>
      <c r="Z93" s="64" t="str">
        <f t="shared" si="97"/>
        <v>KELURAHAN POYOWA BESAR SATU KOTAMOBAGU</v>
      </c>
      <c r="AA93" s="65"/>
      <c r="AB93" s="65"/>
      <c r="AC93" s="65" t="s">
        <v>70</v>
      </c>
      <c r="AD93" s="64" t="str">
        <f t="shared" ref="AD93" si="151">AD92</f>
        <v>POYOWA BESAR</v>
      </c>
      <c r="AE93" s="66"/>
      <c r="AF93" s="66"/>
      <c r="AG93" s="66"/>
      <c r="AH93" s="66"/>
      <c r="AI93" s="69"/>
      <c r="AJ93" s="11" t="s">
        <v>405</v>
      </c>
      <c r="AK93" s="178" t="s">
        <v>96</v>
      </c>
      <c r="AL93" s="178"/>
      <c r="AM93" s="178"/>
      <c r="AN93" s="178"/>
      <c r="AO93" s="178"/>
      <c r="AP93" s="178"/>
      <c r="AQ93" s="179" t="s">
        <v>97</v>
      </c>
      <c r="AR93" s="70" t="s">
        <v>349</v>
      </c>
      <c r="AS93" s="71" t="str">
        <f t="shared" ref="AS93:AT93" si="152">AS92</f>
        <v>KPBS-1.019</v>
      </c>
      <c r="AT93" s="71" t="str">
        <f t="shared" si="152"/>
        <v>A06</v>
      </c>
      <c r="AU93" s="72"/>
      <c r="AV93" s="202">
        <v>0.71334453470000003</v>
      </c>
      <c r="AW93" s="202">
        <v>124.3218537098</v>
      </c>
      <c r="AX93" s="65" t="s">
        <v>98</v>
      </c>
      <c r="AY93" s="65" t="s">
        <v>94</v>
      </c>
      <c r="AZ93" s="65" t="s">
        <v>94</v>
      </c>
      <c r="BA93" s="73" t="s">
        <v>77</v>
      </c>
      <c r="BB93" s="65" t="s">
        <v>98</v>
      </c>
      <c r="BC93" s="65">
        <v>31</v>
      </c>
      <c r="BD93" s="65" t="s">
        <v>98</v>
      </c>
      <c r="BE93" s="211" t="str">
        <f t="shared" si="116"/>
        <v>85, POYOWA BESAR,</v>
      </c>
    </row>
    <row r="94" spans="1:57" s="211" customFormat="1" ht="15.75" customHeight="1">
      <c r="A94" s="224"/>
      <c r="B94" s="225"/>
      <c r="C94" s="225"/>
      <c r="D94" s="225"/>
      <c r="E94" s="225"/>
      <c r="F94" s="225"/>
      <c r="G94" s="226"/>
      <c r="H94" s="23">
        <v>14</v>
      </c>
      <c r="I94" s="64" t="str">
        <f t="shared" ref="I94:L94" si="153">I93</f>
        <v>MR.KPBS.P005</v>
      </c>
      <c r="J94" s="64">
        <f t="shared" si="153"/>
        <v>0.71290315530000004</v>
      </c>
      <c r="K94" s="64">
        <f t="shared" si="153"/>
        <v>124.3216929246</v>
      </c>
      <c r="L94" s="64" t="str">
        <f t="shared" si="153"/>
        <v>JL. RAYA POYOWA BESAR</v>
      </c>
      <c r="M94" s="64" t="str">
        <f t="shared" si="40"/>
        <v>SULAWESU UTARA</v>
      </c>
      <c r="N94" s="65" t="s">
        <v>105</v>
      </c>
      <c r="O94" s="66" t="s">
        <v>118</v>
      </c>
      <c r="P94" s="65" t="s">
        <v>119</v>
      </c>
      <c r="Q94" s="66">
        <v>95717</v>
      </c>
      <c r="R94" s="67"/>
      <c r="S94" s="68"/>
      <c r="T94" s="68"/>
      <c r="U94" s="68"/>
      <c r="V94" s="68"/>
      <c r="W94" s="64" t="s">
        <v>105</v>
      </c>
      <c r="X94" s="64"/>
      <c r="Y94" s="64" t="s">
        <v>106</v>
      </c>
      <c r="Z94" s="64" t="str">
        <f t="shared" si="97"/>
        <v>KELURAHAN POYOWA BESAR SATU KOTAMOBAGU</v>
      </c>
      <c r="AA94" s="65"/>
      <c r="AB94" s="65"/>
      <c r="AC94" s="65" t="s">
        <v>70</v>
      </c>
      <c r="AD94" s="64" t="str">
        <f t="shared" ref="AD94" si="154">AD93</f>
        <v>POYOWA BESAR</v>
      </c>
      <c r="AE94" s="67"/>
      <c r="AF94" s="67"/>
      <c r="AG94" s="67"/>
      <c r="AH94" s="67"/>
      <c r="AI94" s="69"/>
      <c r="AJ94" s="11" t="s">
        <v>406</v>
      </c>
      <c r="AK94" s="178" t="s">
        <v>96</v>
      </c>
      <c r="AL94" s="178"/>
      <c r="AM94" s="178"/>
      <c r="AN94" s="178"/>
      <c r="AO94" s="178"/>
      <c r="AP94" s="178"/>
      <c r="AQ94" s="179" t="s">
        <v>97</v>
      </c>
      <c r="AR94" s="70" t="s">
        <v>349</v>
      </c>
      <c r="AS94" s="71" t="str">
        <f t="shared" ref="AS94:AT94" si="155">AS93</f>
        <v>KPBS-1.019</v>
      </c>
      <c r="AT94" s="71" t="str">
        <f t="shared" si="155"/>
        <v>A06</v>
      </c>
      <c r="AU94" s="72"/>
      <c r="AV94" s="202">
        <v>0.71327234709999998</v>
      </c>
      <c r="AW94" s="202">
        <v>124.3215691804</v>
      </c>
      <c r="AX94" s="65" t="s">
        <v>98</v>
      </c>
      <c r="AY94" s="65" t="s">
        <v>94</v>
      </c>
      <c r="AZ94" s="65" t="s">
        <v>94</v>
      </c>
      <c r="BA94" s="73" t="s">
        <v>77</v>
      </c>
      <c r="BB94" s="65" t="s">
        <v>98</v>
      </c>
      <c r="BC94" s="65">
        <v>31</v>
      </c>
      <c r="BD94" s="65" t="s">
        <v>98</v>
      </c>
      <c r="BE94" s="211" t="str">
        <f t="shared" si="116"/>
        <v>78, POYOWA BESAR,</v>
      </c>
    </row>
    <row r="95" spans="1:57" s="211" customFormat="1" ht="15.75" customHeight="1">
      <c r="A95" s="224"/>
      <c r="B95" s="225"/>
      <c r="C95" s="225"/>
      <c r="D95" s="225"/>
      <c r="E95" s="225"/>
      <c r="F95" s="225"/>
      <c r="G95" s="226"/>
      <c r="H95" s="23">
        <v>15</v>
      </c>
      <c r="I95" s="64" t="str">
        <f t="shared" ref="I95:L95" si="156">I94</f>
        <v>MR.KPBS.P005</v>
      </c>
      <c r="J95" s="64">
        <f t="shared" si="156"/>
        <v>0.71290315530000004</v>
      </c>
      <c r="K95" s="64">
        <f t="shared" si="156"/>
        <v>124.3216929246</v>
      </c>
      <c r="L95" s="64" t="str">
        <f t="shared" si="156"/>
        <v>JL. RAYA POYOWA BESAR</v>
      </c>
      <c r="M95" s="64" t="str">
        <f t="shared" si="40"/>
        <v>SULAWESU UTARA</v>
      </c>
      <c r="N95" s="65" t="s">
        <v>105</v>
      </c>
      <c r="O95" s="66" t="s">
        <v>118</v>
      </c>
      <c r="P95" s="65" t="s">
        <v>119</v>
      </c>
      <c r="Q95" s="66">
        <v>95717</v>
      </c>
      <c r="R95" s="67"/>
      <c r="S95" s="68"/>
      <c r="T95" s="68"/>
      <c r="U95" s="68"/>
      <c r="V95" s="68"/>
      <c r="W95" s="65" t="s">
        <v>105</v>
      </c>
      <c r="X95" s="64"/>
      <c r="Y95" s="64" t="s">
        <v>106</v>
      </c>
      <c r="Z95" s="64" t="str">
        <f t="shared" si="97"/>
        <v>KELURAHAN POYOWA BESAR SATU KOTAMOBAGU</v>
      </c>
      <c r="AA95" s="65"/>
      <c r="AB95" s="65"/>
      <c r="AC95" s="65" t="s">
        <v>70</v>
      </c>
      <c r="AD95" s="64" t="str">
        <f t="shared" ref="AD95" si="157">AD94</f>
        <v>POYOWA BESAR</v>
      </c>
      <c r="AE95" s="67"/>
      <c r="AF95" s="67"/>
      <c r="AG95" s="67"/>
      <c r="AH95" s="67"/>
      <c r="AI95" s="69"/>
      <c r="AJ95" s="11" t="s">
        <v>407</v>
      </c>
      <c r="AK95" s="65" t="s">
        <v>96</v>
      </c>
      <c r="AL95" s="65"/>
      <c r="AM95" s="65"/>
      <c r="AN95" s="65"/>
      <c r="AO95" s="65"/>
      <c r="AP95" s="65"/>
      <c r="AQ95" s="177" t="s">
        <v>97</v>
      </c>
      <c r="AR95" s="70" t="s">
        <v>349</v>
      </c>
      <c r="AS95" s="71" t="str">
        <f t="shared" ref="AS95:AT95" si="158">AS94</f>
        <v>KPBS-1.019</v>
      </c>
      <c r="AT95" s="71" t="str">
        <f t="shared" si="158"/>
        <v>A06</v>
      </c>
      <c r="AU95" s="72"/>
      <c r="AV95" s="202">
        <v>0.71327819989999997</v>
      </c>
      <c r="AW95" s="202">
        <v>124.32148658280001</v>
      </c>
      <c r="AX95" s="65" t="s">
        <v>98</v>
      </c>
      <c r="AY95" s="65" t="s">
        <v>94</v>
      </c>
      <c r="AZ95" s="65" t="s">
        <v>94</v>
      </c>
      <c r="BA95" s="73" t="s">
        <v>77</v>
      </c>
      <c r="BB95" s="65" t="s">
        <v>98</v>
      </c>
      <c r="BC95" s="65">
        <v>31</v>
      </c>
      <c r="BD95" s="65" t="s">
        <v>98</v>
      </c>
      <c r="BE95" s="211" t="str">
        <f>AJ95&amp;", "&amp;AD95&amp;","&amp;AI95</f>
        <v>79, POYOWA BESAR,</v>
      </c>
    </row>
    <row r="96" spans="1:57" s="211" customFormat="1" ht="15.75" customHeight="1">
      <c r="A96" s="224"/>
      <c r="B96" s="225"/>
      <c r="C96" s="225"/>
      <c r="D96" s="225"/>
      <c r="E96" s="225"/>
      <c r="F96" s="225"/>
      <c r="G96" s="226"/>
      <c r="H96" s="23">
        <v>16</v>
      </c>
      <c r="I96" s="64" t="str">
        <f t="shared" ref="I96:L96" si="159">I95</f>
        <v>MR.KPBS.P005</v>
      </c>
      <c r="J96" s="64">
        <f t="shared" si="159"/>
        <v>0.71290315530000004</v>
      </c>
      <c r="K96" s="64">
        <f t="shared" si="159"/>
        <v>124.3216929246</v>
      </c>
      <c r="L96" s="64" t="str">
        <f t="shared" si="159"/>
        <v>JL. RAYA POYOWA BESAR</v>
      </c>
      <c r="M96" s="64" t="str">
        <f t="shared" si="40"/>
        <v>SULAWESU UTARA</v>
      </c>
      <c r="N96" s="65" t="s">
        <v>105</v>
      </c>
      <c r="O96" s="66" t="s">
        <v>118</v>
      </c>
      <c r="P96" s="65" t="s">
        <v>119</v>
      </c>
      <c r="Q96" s="66">
        <v>95717</v>
      </c>
      <c r="R96" s="67"/>
      <c r="S96" s="68"/>
      <c r="T96" s="68"/>
      <c r="U96" s="68"/>
      <c r="V96" s="68"/>
      <c r="W96" s="65" t="s">
        <v>105</v>
      </c>
      <c r="X96" s="64"/>
      <c r="Y96" s="64" t="s">
        <v>106</v>
      </c>
      <c r="Z96" s="64" t="str">
        <f t="shared" si="97"/>
        <v>KELURAHAN POYOWA BESAR SATU KOTAMOBAGU</v>
      </c>
      <c r="AA96" s="65"/>
      <c r="AB96" s="65"/>
      <c r="AC96" s="65" t="s">
        <v>70</v>
      </c>
      <c r="AD96" s="64" t="str">
        <f t="shared" ref="AD96" si="160">AD95</f>
        <v>POYOWA BESAR</v>
      </c>
      <c r="AE96" s="67"/>
      <c r="AF96" s="67"/>
      <c r="AG96" s="67"/>
      <c r="AH96" s="67"/>
      <c r="AI96" s="69"/>
      <c r="AJ96" s="11" t="s">
        <v>408</v>
      </c>
      <c r="AK96" s="65" t="s">
        <v>96</v>
      </c>
      <c r="AL96" s="65"/>
      <c r="AM96" s="176"/>
      <c r="AN96" s="176"/>
      <c r="AO96" s="176"/>
      <c r="AP96" s="176"/>
      <c r="AQ96" s="177" t="s">
        <v>97</v>
      </c>
      <c r="AR96" s="70" t="s">
        <v>349</v>
      </c>
      <c r="AS96" s="71" t="str">
        <f t="shared" ref="AS96:AT96" si="161">AS95</f>
        <v>KPBS-1.019</v>
      </c>
      <c r="AT96" s="71" t="str">
        <f t="shared" si="161"/>
        <v>A06</v>
      </c>
      <c r="AU96" s="72"/>
      <c r="AV96" s="202">
        <v>0.71328572479999997</v>
      </c>
      <c r="AW96" s="202">
        <v>124.32139063619999</v>
      </c>
      <c r="AX96" s="65" t="s">
        <v>98</v>
      </c>
      <c r="AY96" s="65" t="s">
        <v>94</v>
      </c>
      <c r="AZ96" s="65" t="s">
        <v>94</v>
      </c>
      <c r="BA96" s="73" t="s">
        <v>77</v>
      </c>
      <c r="BB96" s="65" t="s">
        <v>98</v>
      </c>
      <c r="BC96" s="65">
        <v>31</v>
      </c>
      <c r="BD96" s="65" t="s">
        <v>98</v>
      </c>
      <c r="BE96" s="211" t="str">
        <f>AJ96&amp;", "&amp;AD96&amp;","&amp;AI96</f>
        <v>80, POYOWA BESAR,</v>
      </c>
    </row>
    <row r="97" spans="1:57" s="211" customFormat="1" ht="15.75" customHeight="1">
      <c r="A97" s="40" t="s">
        <v>67</v>
      </c>
      <c r="B97" s="40">
        <f>B81+1</f>
        <v>7</v>
      </c>
      <c r="C97" s="32" t="s">
        <v>68</v>
      </c>
      <c r="D97" s="111" t="s">
        <v>348</v>
      </c>
      <c r="E97" s="120">
        <v>2</v>
      </c>
      <c r="F97" s="43">
        <f>F82+1</f>
        <v>15</v>
      </c>
      <c r="G97" s="213" t="s">
        <v>76</v>
      </c>
      <c r="H97" s="42">
        <v>1</v>
      </c>
      <c r="I97" s="82" t="s">
        <v>322</v>
      </c>
      <c r="J97" s="83">
        <v>0.7131651564</v>
      </c>
      <c r="K97" s="83">
        <v>124.3217029491</v>
      </c>
      <c r="L97" s="117" t="s">
        <v>116</v>
      </c>
      <c r="M97" s="119" t="str">
        <f t="shared" si="40"/>
        <v>SULAWESU UTARA</v>
      </c>
      <c r="N97" s="14" t="s">
        <v>105</v>
      </c>
      <c r="O97" s="84" t="s">
        <v>118</v>
      </c>
      <c r="P97" s="14" t="s">
        <v>119</v>
      </c>
      <c r="Q97" s="84">
        <v>95717</v>
      </c>
      <c r="R97" s="86"/>
      <c r="S97" s="87"/>
      <c r="T97" s="88"/>
      <c r="U97" s="87"/>
      <c r="V97" s="88"/>
      <c r="W97" s="85" t="s">
        <v>105</v>
      </c>
      <c r="X97" s="83"/>
      <c r="Y97" s="119" t="s">
        <v>106</v>
      </c>
      <c r="Z97" s="119" t="str">
        <f t="shared" si="97"/>
        <v>KELURAHAN POYOWA BESAR SATU KOTAMOBAGU</v>
      </c>
      <c r="AA97" s="89"/>
      <c r="AB97" s="89"/>
      <c r="AC97" s="89" t="s">
        <v>70</v>
      </c>
      <c r="AD97" s="117" t="s">
        <v>119</v>
      </c>
      <c r="AE97" s="90"/>
      <c r="AF97" s="90"/>
      <c r="AG97" s="90"/>
      <c r="AH97" s="90"/>
      <c r="AI97" s="91"/>
      <c r="AJ97" s="115" t="s">
        <v>165</v>
      </c>
      <c r="AK97" s="89" t="s">
        <v>96</v>
      </c>
      <c r="AL97" s="95"/>
      <c r="AM97" s="187"/>
      <c r="AN97" s="187"/>
      <c r="AO97" s="187"/>
      <c r="AP97" s="187"/>
      <c r="AQ97" s="188" t="s">
        <v>97</v>
      </c>
      <c r="AR97" s="92" t="s">
        <v>349</v>
      </c>
      <c r="AS97" s="93" t="str">
        <f>AS54</f>
        <v>KPBS-1.019</v>
      </c>
      <c r="AT97" s="93" t="str">
        <f>G97</f>
        <v>A07</v>
      </c>
      <c r="AU97" s="94"/>
      <c r="AV97" s="203">
        <v>0.71346577040000003</v>
      </c>
      <c r="AW97" s="203">
        <v>124.3218603843</v>
      </c>
      <c r="AX97" s="95" t="s">
        <v>98</v>
      </c>
      <c r="AY97" s="95" t="s">
        <v>94</v>
      </c>
      <c r="AZ97" s="95" t="s">
        <v>94</v>
      </c>
      <c r="BA97" s="96" t="s">
        <v>77</v>
      </c>
      <c r="BB97" s="95" t="s">
        <v>98</v>
      </c>
      <c r="BC97" s="95">
        <v>31</v>
      </c>
      <c r="BD97" s="95" t="s">
        <v>98</v>
      </c>
      <c r="BE97" s="211" t="str">
        <f t="shared" ref="BE97:BE102" si="162">AJ97&amp;", "&amp;AD97&amp;","&amp;AI97</f>
        <v>86, POYOWA BESAR,</v>
      </c>
    </row>
    <row r="98" spans="1:57" s="211" customFormat="1" ht="15.75" customHeight="1">
      <c r="A98" s="46"/>
      <c r="B98" s="46"/>
      <c r="C98" s="22" t="s">
        <v>68</v>
      </c>
      <c r="D98" s="22" t="s">
        <v>348</v>
      </c>
      <c r="E98" s="32">
        <v>2</v>
      </c>
      <c r="F98" s="47">
        <f>F97+1</f>
        <v>16</v>
      </c>
      <c r="G98" s="214"/>
      <c r="H98" s="23">
        <v>2</v>
      </c>
      <c r="I98" s="64" t="str">
        <f t="shared" ref="I98:L98" si="163">I97</f>
        <v>MR.KPBS.P006</v>
      </c>
      <c r="J98" s="64">
        <f t="shared" si="163"/>
        <v>0.7131651564</v>
      </c>
      <c r="K98" s="64">
        <f t="shared" si="163"/>
        <v>124.3217029491</v>
      </c>
      <c r="L98" s="64" t="str">
        <f t="shared" si="163"/>
        <v>JL. RAYA POYOWA BESAR</v>
      </c>
      <c r="M98" s="64" t="str">
        <f t="shared" si="40"/>
        <v>SULAWESU UTARA</v>
      </c>
      <c r="N98" s="65" t="s">
        <v>105</v>
      </c>
      <c r="O98" s="66" t="s">
        <v>118</v>
      </c>
      <c r="P98" s="65" t="s">
        <v>119</v>
      </c>
      <c r="Q98" s="66">
        <v>95717</v>
      </c>
      <c r="R98" s="67"/>
      <c r="S98" s="68"/>
      <c r="T98" s="68"/>
      <c r="U98" s="68"/>
      <c r="V98" s="68"/>
      <c r="W98" s="65" t="s">
        <v>105</v>
      </c>
      <c r="X98" s="64"/>
      <c r="Y98" s="64" t="s">
        <v>106</v>
      </c>
      <c r="Z98" s="64" t="str">
        <f t="shared" si="97"/>
        <v>KELURAHAN POYOWA BESAR SATU KOTAMOBAGU</v>
      </c>
      <c r="AA98" s="65"/>
      <c r="AB98" s="65"/>
      <c r="AC98" s="65" t="s">
        <v>70</v>
      </c>
      <c r="AD98" s="64" t="str">
        <f t="shared" ref="AD98" si="164">AD97</f>
        <v>POYOWA BESAR</v>
      </c>
      <c r="AE98" s="67"/>
      <c r="AF98" s="67"/>
      <c r="AG98" s="67"/>
      <c r="AH98" s="67"/>
      <c r="AI98" s="69"/>
      <c r="AJ98" s="11" t="s">
        <v>166</v>
      </c>
      <c r="AK98" s="65" t="s">
        <v>96</v>
      </c>
      <c r="AL98" s="65"/>
      <c r="AM98" s="176"/>
      <c r="AN98" s="176"/>
      <c r="AO98" s="176"/>
      <c r="AP98" s="176"/>
      <c r="AQ98" s="177" t="s">
        <v>97</v>
      </c>
      <c r="AR98" s="70" t="s">
        <v>349</v>
      </c>
      <c r="AS98" s="71" t="str">
        <f t="shared" ref="AS98:AT98" si="165">AS97</f>
        <v>KPBS-1.019</v>
      </c>
      <c r="AT98" s="71" t="str">
        <f t="shared" si="165"/>
        <v>A07</v>
      </c>
      <c r="AU98" s="72"/>
      <c r="AV98" s="202">
        <v>0.71327914390000002</v>
      </c>
      <c r="AW98" s="202">
        <v>124.32125732590001</v>
      </c>
      <c r="AX98" s="65" t="s">
        <v>98</v>
      </c>
      <c r="AY98" s="65" t="s">
        <v>94</v>
      </c>
      <c r="AZ98" s="65" t="s">
        <v>94</v>
      </c>
      <c r="BA98" s="73" t="s">
        <v>77</v>
      </c>
      <c r="BB98" s="65" t="s">
        <v>98</v>
      </c>
      <c r="BC98" s="65">
        <v>31</v>
      </c>
      <c r="BD98" s="65" t="s">
        <v>98</v>
      </c>
      <c r="BE98" s="211" t="str">
        <f t="shared" si="162"/>
        <v>769, POYOWA BESAR,</v>
      </c>
    </row>
    <row r="99" spans="1:57" s="211" customFormat="1" ht="15.75" customHeight="1">
      <c r="A99" s="221"/>
      <c r="B99" s="222"/>
      <c r="C99" s="222"/>
      <c r="D99" s="222"/>
      <c r="E99" s="222"/>
      <c r="F99" s="222"/>
      <c r="G99" s="223"/>
      <c r="H99" s="23">
        <v>3</v>
      </c>
      <c r="I99" s="64" t="str">
        <f t="shared" ref="I99:L100" si="166">I98</f>
        <v>MR.KPBS.P006</v>
      </c>
      <c r="J99" s="64">
        <f t="shared" si="166"/>
        <v>0.7131651564</v>
      </c>
      <c r="K99" s="64">
        <f t="shared" si="166"/>
        <v>124.3217029491</v>
      </c>
      <c r="L99" s="64" t="str">
        <f t="shared" si="166"/>
        <v>JL. RAYA POYOWA BESAR</v>
      </c>
      <c r="M99" s="64" t="str">
        <f t="shared" si="40"/>
        <v>SULAWESU UTARA</v>
      </c>
      <c r="N99" s="65" t="s">
        <v>105</v>
      </c>
      <c r="O99" s="66" t="s">
        <v>118</v>
      </c>
      <c r="P99" s="65" t="s">
        <v>119</v>
      </c>
      <c r="Q99" s="66">
        <v>95717</v>
      </c>
      <c r="R99" s="67"/>
      <c r="S99" s="68"/>
      <c r="T99" s="68"/>
      <c r="U99" s="68"/>
      <c r="V99" s="68"/>
      <c r="W99" s="65" t="s">
        <v>105</v>
      </c>
      <c r="X99" s="64"/>
      <c r="Y99" s="64" t="s">
        <v>106</v>
      </c>
      <c r="Z99" s="64" t="str">
        <f t="shared" si="97"/>
        <v>KELURAHAN POYOWA BESAR SATU KOTAMOBAGU</v>
      </c>
      <c r="AA99" s="65"/>
      <c r="AB99" s="65"/>
      <c r="AC99" s="65" t="s">
        <v>70</v>
      </c>
      <c r="AD99" s="64" t="str">
        <f t="shared" ref="AD99:AD100" si="167">AD98</f>
        <v>POYOWA BESAR</v>
      </c>
      <c r="AE99" s="67"/>
      <c r="AF99" s="67"/>
      <c r="AG99" s="67"/>
      <c r="AH99" s="67"/>
      <c r="AI99" s="69"/>
      <c r="AJ99" s="11" t="s">
        <v>167</v>
      </c>
      <c r="AK99" s="65" t="s">
        <v>96</v>
      </c>
      <c r="AL99" s="65"/>
      <c r="AM99" s="176"/>
      <c r="AN99" s="176"/>
      <c r="AO99" s="176"/>
      <c r="AP99" s="176"/>
      <c r="AQ99" s="177" t="s">
        <v>97</v>
      </c>
      <c r="AR99" s="70" t="s">
        <v>349</v>
      </c>
      <c r="AS99" s="71" t="str">
        <f t="shared" ref="AS99:AT100" si="168">AS98</f>
        <v>KPBS-1.019</v>
      </c>
      <c r="AT99" s="71" t="str">
        <f t="shared" si="168"/>
        <v>A07</v>
      </c>
      <c r="AU99" s="72"/>
      <c r="AV99" s="202">
        <v>0.71346659339999996</v>
      </c>
      <c r="AW99" s="202">
        <v>124.3212696375</v>
      </c>
      <c r="AX99" s="65" t="s">
        <v>98</v>
      </c>
      <c r="AY99" s="65" t="s">
        <v>94</v>
      </c>
      <c r="AZ99" s="65" t="s">
        <v>94</v>
      </c>
      <c r="BA99" s="73" t="s">
        <v>77</v>
      </c>
      <c r="BB99" s="65" t="s">
        <v>98</v>
      </c>
      <c r="BC99" s="65">
        <v>31</v>
      </c>
      <c r="BD99" s="65" t="s">
        <v>98</v>
      </c>
      <c r="BE99" s="211" t="str">
        <f t="shared" si="162"/>
        <v>81, POYOWA BESAR,</v>
      </c>
    </row>
    <row r="100" spans="1:57" s="211" customFormat="1" ht="15.75" customHeight="1">
      <c r="A100" s="224"/>
      <c r="B100" s="225"/>
      <c r="C100" s="225"/>
      <c r="D100" s="225"/>
      <c r="E100" s="225"/>
      <c r="F100" s="225"/>
      <c r="G100" s="226"/>
      <c r="H100" s="23">
        <v>4</v>
      </c>
      <c r="I100" s="64" t="str">
        <f t="shared" si="166"/>
        <v>MR.KPBS.P006</v>
      </c>
      <c r="J100" s="64">
        <f t="shared" si="166"/>
        <v>0.7131651564</v>
      </c>
      <c r="K100" s="64">
        <f t="shared" si="166"/>
        <v>124.3217029491</v>
      </c>
      <c r="L100" s="64" t="str">
        <f t="shared" si="166"/>
        <v>JL. RAYA POYOWA BESAR</v>
      </c>
      <c r="M100" s="64" t="str">
        <f t="shared" si="40"/>
        <v>SULAWESU UTARA</v>
      </c>
      <c r="N100" s="65" t="s">
        <v>105</v>
      </c>
      <c r="O100" s="66" t="s">
        <v>118</v>
      </c>
      <c r="P100" s="65" t="s">
        <v>119</v>
      </c>
      <c r="Q100" s="66">
        <v>95717</v>
      </c>
      <c r="R100" s="67"/>
      <c r="S100" s="68"/>
      <c r="T100" s="68"/>
      <c r="U100" s="68"/>
      <c r="V100" s="68"/>
      <c r="W100" s="65" t="s">
        <v>105</v>
      </c>
      <c r="X100" s="64"/>
      <c r="Y100" s="64" t="s">
        <v>106</v>
      </c>
      <c r="Z100" s="64" t="str">
        <f t="shared" si="97"/>
        <v>KELURAHAN POYOWA BESAR SATU KOTAMOBAGU</v>
      </c>
      <c r="AA100" s="65"/>
      <c r="AB100" s="65"/>
      <c r="AC100" s="65" t="s">
        <v>70</v>
      </c>
      <c r="AD100" s="64" t="str">
        <f t="shared" si="167"/>
        <v>POYOWA BESAR</v>
      </c>
      <c r="AE100" s="67"/>
      <c r="AF100" s="67"/>
      <c r="AG100" s="67"/>
      <c r="AH100" s="67"/>
      <c r="AI100" s="69"/>
      <c r="AJ100" s="11" t="s">
        <v>168</v>
      </c>
      <c r="AK100" s="65" t="s">
        <v>96</v>
      </c>
      <c r="AL100" s="65"/>
      <c r="AM100" s="176"/>
      <c r="AN100" s="176"/>
      <c r="AO100" s="176"/>
      <c r="AP100" s="176"/>
      <c r="AQ100" s="177" t="s">
        <v>97</v>
      </c>
      <c r="AR100" s="70" t="s">
        <v>349</v>
      </c>
      <c r="AS100" s="71" t="str">
        <f t="shared" si="168"/>
        <v>KPBS-1.019</v>
      </c>
      <c r="AT100" s="71" t="str">
        <f t="shared" si="168"/>
        <v>A07</v>
      </c>
      <c r="AU100" s="72"/>
      <c r="AV100" s="202">
        <v>0.71357011059999997</v>
      </c>
      <c r="AW100" s="202">
        <v>124.32127257400001</v>
      </c>
      <c r="AX100" s="65" t="s">
        <v>98</v>
      </c>
      <c r="AY100" s="65" t="s">
        <v>94</v>
      </c>
      <c r="AZ100" s="65" t="s">
        <v>94</v>
      </c>
      <c r="BA100" s="73" t="s">
        <v>77</v>
      </c>
      <c r="BB100" s="65" t="s">
        <v>98</v>
      </c>
      <c r="BC100" s="65">
        <v>31</v>
      </c>
      <c r="BD100" s="65" t="s">
        <v>98</v>
      </c>
      <c r="BE100" s="211" t="str">
        <f t="shared" si="162"/>
        <v>771, POYOWA BESAR,</v>
      </c>
    </row>
    <row r="101" spans="1:57" s="211" customFormat="1" ht="15.75" customHeight="1">
      <c r="A101" s="224"/>
      <c r="B101" s="225"/>
      <c r="C101" s="225"/>
      <c r="D101" s="225"/>
      <c r="E101" s="225"/>
      <c r="F101" s="225"/>
      <c r="G101" s="226"/>
      <c r="H101" s="23">
        <v>5</v>
      </c>
      <c r="I101" s="64" t="str">
        <f t="shared" ref="I101:L101" si="169">I100</f>
        <v>MR.KPBS.P006</v>
      </c>
      <c r="J101" s="64">
        <f t="shared" si="169"/>
        <v>0.7131651564</v>
      </c>
      <c r="K101" s="64">
        <f t="shared" si="169"/>
        <v>124.3217029491</v>
      </c>
      <c r="L101" s="64" t="str">
        <f t="shared" si="169"/>
        <v>JL. RAYA POYOWA BESAR</v>
      </c>
      <c r="M101" s="64" t="str">
        <f t="shared" si="40"/>
        <v>SULAWESU UTARA</v>
      </c>
      <c r="N101" s="65" t="s">
        <v>105</v>
      </c>
      <c r="O101" s="66" t="s">
        <v>118</v>
      </c>
      <c r="P101" s="65" t="s">
        <v>119</v>
      </c>
      <c r="Q101" s="66">
        <v>95717</v>
      </c>
      <c r="R101" s="67"/>
      <c r="S101" s="68"/>
      <c r="T101" s="74"/>
      <c r="U101" s="74"/>
      <c r="V101" s="74"/>
      <c r="W101" s="65" t="s">
        <v>105</v>
      </c>
      <c r="X101" s="64"/>
      <c r="Y101" s="64" t="s">
        <v>106</v>
      </c>
      <c r="Z101" s="64" t="str">
        <f t="shared" si="97"/>
        <v>KELURAHAN POYOWA BESAR SATU KOTAMOBAGU</v>
      </c>
      <c r="AA101" s="65"/>
      <c r="AB101" s="65"/>
      <c r="AC101" s="65" t="s">
        <v>70</v>
      </c>
      <c r="AD101" s="64" t="str">
        <f t="shared" ref="AD101" si="170">AD100</f>
        <v>POYOWA BESAR</v>
      </c>
      <c r="AE101" s="75"/>
      <c r="AF101" s="75"/>
      <c r="AG101" s="75"/>
      <c r="AH101" s="75"/>
      <c r="AI101" s="69"/>
      <c r="AJ101" s="11" t="s">
        <v>169</v>
      </c>
      <c r="AK101" s="65" t="s">
        <v>96</v>
      </c>
      <c r="AL101" s="65"/>
      <c r="AM101" s="176"/>
      <c r="AN101" s="176"/>
      <c r="AO101" s="176"/>
      <c r="AP101" s="176"/>
      <c r="AQ101" s="186" t="s">
        <v>97</v>
      </c>
      <c r="AR101" s="70" t="s">
        <v>349</v>
      </c>
      <c r="AS101" s="71" t="str">
        <f t="shared" ref="AS101:AT101" si="171">AS100</f>
        <v>KPBS-1.019</v>
      </c>
      <c r="AT101" s="71" t="str">
        <f t="shared" si="171"/>
        <v>A07</v>
      </c>
      <c r="AU101" s="72"/>
      <c r="AV101" s="202">
        <v>0.71345906849999996</v>
      </c>
      <c r="AW101" s="202">
        <v>124.32137309300001</v>
      </c>
      <c r="AX101" s="65" t="s">
        <v>98</v>
      </c>
      <c r="AY101" s="65" t="s">
        <v>94</v>
      </c>
      <c r="AZ101" s="65" t="s">
        <v>94</v>
      </c>
      <c r="BA101" s="73" t="s">
        <v>77</v>
      </c>
      <c r="BB101" s="65" t="s">
        <v>98</v>
      </c>
      <c r="BC101" s="65">
        <v>31</v>
      </c>
      <c r="BD101" s="65" t="s">
        <v>98</v>
      </c>
      <c r="BE101" s="211" t="str">
        <f t="shared" si="162"/>
        <v>82, POYOWA BESAR,</v>
      </c>
    </row>
    <row r="102" spans="1:57" s="211" customFormat="1" ht="15.75" customHeight="1">
      <c r="A102" s="224"/>
      <c r="B102" s="225"/>
      <c r="C102" s="225"/>
      <c r="D102" s="225"/>
      <c r="E102" s="225"/>
      <c r="F102" s="225"/>
      <c r="G102" s="226"/>
      <c r="H102" s="23">
        <v>6</v>
      </c>
      <c r="I102" s="64" t="str">
        <f t="shared" ref="I102:L102" si="172">I101</f>
        <v>MR.KPBS.P006</v>
      </c>
      <c r="J102" s="64">
        <f t="shared" si="172"/>
        <v>0.7131651564</v>
      </c>
      <c r="K102" s="64">
        <f t="shared" si="172"/>
        <v>124.3217029491</v>
      </c>
      <c r="L102" s="64" t="str">
        <f t="shared" si="172"/>
        <v>JL. RAYA POYOWA BESAR</v>
      </c>
      <c r="M102" s="64" t="str">
        <f t="shared" si="40"/>
        <v>SULAWESU UTARA</v>
      </c>
      <c r="N102" s="65" t="s">
        <v>105</v>
      </c>
      <c r="O102" s="66" t="s">
        <v>118</v>
      </c>
      <c r="P102" s="65" t="s">
        <v>119</v>
      </c>
      <c r="Q102" s="66">
        <v>95717</v>
      </c>
      <c r="R102" s="67"/>
      <c r="S102" s="68"/>
      <c r="T102" s="68"/>
      <c r="U102" s="68"/>
      <c r="V102" s="68"/>
      <c r="W102" s="65" t="s">
        <v>105</v>
      </c>
      <c r="X102" s="64"/>
      <c r="Y102" s="64" t="s">
        <v>106</v>
      </c>
      <c r="Z102" s="64" t="str">
        <f t="shared" si="97"/>
        <v>KELURAHAN POYOWA BESAR SATU KOTAMOBAGU</v>
      </c>
      <c r="AA102" s="65"/>
      <c r="AB102" s="65"/>
      <c r="AC102" s="65" t="s">
        <v>70</v>
      </c>
      <c r="AD102" s="64" t="str">
        <f t="shared" ref="AD102:AD105" si="173">AD101</f>
        <v>POYOWA BESAR</v>
      </c>
      <c r="AE102" s="67"/>
      <c r="AF102" s="67"/>
      <c r="AG102" s="67"/>
      <c r="AH102" s="67"/>
      <c r="AI102" s="69"/>
      <c r="AJ102" s="11" t="s">
        <v>170</v>
      </c>
      <c r="AK102" s="65" t="s">
        <v>96</v>
      </c>
      <c r="AL102" s="65"/>
      <c r="AM102" s="65"/>
      <c r="AN102" s="65"/>
      <c r="AO102" s="65"/>
      <c r="AP102" s="65"/>
      <c r="AQ102" s="177" t="s">
        <v>97</v>
      </c>
      <c r="AR102" s="70" t="s">
        <v>349</v>
      </c>
      <c r="AS102" s="71" t="str">
        <f t="shared" ref="AS102:AT102" si="174">AS101</f>
        <v>KPBS-1.019</v>
      </c>
      <c r="AT102" s="71" t="str">
        <f t="shared" si="174"/>
        <v>A07</v>
      </c>
      <c r="AU102" s="72"/>
      <c r="AV102" s="202">
        <v>0.71347829279999897</v>
      </c>
      <c r="AW102" s="202">
        <v>124.32148238889999</v>
      </c>
      <c r="AX102" s="65" t="s">
        <v>98</v>
      </c>
      <c r="AY102" s="65" t="s">
        <v>94</v>
      </c>
      <c r="AZ102" s="65" t="s">
        <v>94</v>
      </c>
      <c r="BA102" s="73" t="s">
        <v>77</v>
      </c>
      <c r="BB102" s="65" t="s">
        <v>98</v>
      </c>
      <c r="BC102" s="65">
        <v>31</v>
      </c>
      <c r="BD102" s="65" t="s">
        <v>98</v>
      </c>
      <c r="BE102" s="211" t="str">
        <f t="shared" si="162"/>
        <v>83, POYOWA BESAR,</v>
      </c>
    </row>
    <row r="103" spans="1:57" s="211" customFormat="1" ht="15.75" customHeight="1">
      <c r="A103" s="224"/>
      <c r="B103" s="225"/>
      <c r="C103" s="225"/>
      <c r="D103" s="225"/>
      <c r="E103" s="225"/>
      <c r="F103" s="225"/>
      <c r="G103" s="226"/>
      <c r="H103" s="23">
        <v>7</v>
      </c>
      <c r="I103" s="64" t="str">
        <f t="shared" ref="I103:L103" si="175">I102</f>
        <v>MR.KPBS.P006</v>
      </c>
      <c r="J103" s="64">
        <f t="shared" si="175"/>
        <v>0.7131651564</v>
      </c>
      <c r="K103" s="64">
        <f t="shared" si="175"/>
        <v>124.3217029491</v>
      </c>
      <c r="L103" s="64" t="str">
        <f t="shared" si="175"/>
        <v>JL. RAYA POYOWA BESAR</v>
      </c>
      <c r="M103" s="64" t="str">
        <f t="shared" ref="M103:M105" si="176">M102</f>
        <v>SULAWESU UTARA</v>
      </c>
      <c r="N103" s="65" t="s">
        <v>105</v>
      </c>
      <c r="O103" s="66" t="s">
        <v>118</v>
      </c>
      <c r="P103" s="65" t="s">
        <v>119</v>
      </c>
      <c r="Q103" s="66">
        <v>95717</v>
      </c>
      <c r="R103" s="67"/>
      <c r="S103" s="68"/>
      <c r="T103" s="68"/>
      <c r="U103" s="68"/>
      <c r="V103" s="68"/>
      <c r="W103" s="65" t="s">
        <v>105</v>
      </c>
      <c r="X103" s="64"/>
      <c r="Y103" s="64" t="s">
        <v>106</v>
      </c>
      <c r="Z103" s="64" t="str">
        <f t="shared" si="97"/>
        <v>KELURAHAN POYOWA BESAR SATU KOTAMOBAGU</v>
      </c>
      <c r="AA103" s="65"/>
      <c r="AB103" s="65"/>
      <c r="AC103" s="65" t="s">
        <v>70</v>
      </c>
      <c r="AD103" s="64" t="str">
        <f t="shared" si="173"/>
        <v>POYOWA BESAR</v>
      </c>
      <c r="AE103" s="67"/>
      <c r="AF103" s="67"/>
      <c r="AG103" s="67"/>
      <c r="AH103" s="67"/>
      <c r="AI103" s="69"/>
      <c r="AJ103" s="11" t="s">
        <v>171</v>
      </c>
      <c r="AK103" s="65" t="s">
        <v>96</v>
      </c>
      <c r="AL103" s="65"/>
      <c r="AM103" s="65"/>
      <c r="AN103" s="65"/>
      <c r="AO103" s="65"/>
      <c r="AP103" s="65"/>
      <c r="AQ103" s="177" t="s">
        <v>97</v>
      </c>
      <c r="AR103" s="70" t="s">
        <v>349</v>
      </c>
      <c r="AS103" s="71" t="str">
        <f t="shared" ref="AS103:AT105" si="177">AS102</f>
        <v>KPBS-1.019</v>
      </c>
      <c r="AT103" s="71" t="str">
        <f t="shared" si="177"/>
        <v>A07</v>
      </c>
      <c r="AU103" s="72"/>
      <c r="AV103" s="202">
        <v>0.71345990449999996</v>
      </c>
      <c r="AW103" s="202">
        <v>124.32159168459999</v>
      </c>
      <c r="AX103" s="65" t="s">
        <v>98</v>
      </c>
      <c r="AY103" s="65" t="s">
        <v>94</v>
      </c>
      <c r="AZ103" s="65" t="s">
        <v>94</v>
      </c>
      <c r="BA103" s="73" t="s">
        <v>77</v>
      </c>
      <c r="BB103" s="65" t="s">
        <v>98</v>
      </c>
      <c r="BC103" s="65">
        <v>31</v>
      </c>
      <c r="BD103" s="65" t="s">
        <v>98</v>
      </c>
      <c r="BE103" s="211" t="str">
        <f t="shared" ref="BE103:BE104" si="178">AJ103&amp;", "&amp;AD103&amp;","&amp;AI103</f>
        <v>84, POYOWA BESAR,</v>
      </c>
    </row>
    <row r="104" spans="1:57" s="211" customFormat="1" ht="15.75" customHeight="1">
      <c r="A104" s="224"/>
      <c r="B104" s="225"/>
      <c r="C104" s="225"/>
      <c r="D104" s="225"/>
      <c r="E104" s="225"/>
      <c r="F104" s="225"/>
      <c r="G104" s="226"/>
      <c r="H104" s="23">
        <v>8</v>
      </c>
      <c r="I104" s="64" t="str">
        <f t="shared" ref="I104:L105" si="179">I103</f>
        <v>MR.KPBS.P006</v>
      </c>
      <c r="J104" s="64">
        <f t="shared" si="179"/>
        <v>0.7131651564</v>
      </c>
      <c r="K104" s="64">
        <f t="shared" si="179"/>
        <v>124.3217029491</v>
      </c>
      <c r="L104" s="64" t="str">
        <f t="shared" si="179"/>
        <v>JL. RAYA POYOWA BESAR</v>
      </c>
      <c r="M104" s="64" t="str">
        <f t="shared" si="176"/>
        <v>SULAWESU UTARA</v>
      </c>
      <c r="N104" s="65" t="s">
        <v>105</v>
      </c>
      <c r="O104" s="66" t="s">
        <v>118</v>
      </c>
      <c r="P104" s="65" t="s">
        <v>119</v>
      </c>
      <c r="Q104" s="66">
        <v>95717</v>
      </c>
      <c r="R104" s="67"/>
      <c r="S104" s="68"/>
      <c r="T104" s="68"/>
      <c r="U104" s="68"/>
      <c r="V104" s="68"/>
      <c r="W104" s="65" t="s">
        <v>105</v>
      </c>
      <c r="X104" s="64"/>
      <c r="Y104" s="64" t="s">
        <v>106</v>
      </c>
      <c r="Z104" s="64" t="str">
        <f t="shared" si="97"/>
        <v>KELURAHAN POYOWA BESAR SATU KOTAMOBAGU</v>
      </c>
      <c r="AA104" s="65"/>
      <c r="AB104" s="65"/>
      <c r="AC104" s="65" t="s">
        <v>70</v>
      </c>
      <c r="AD104" s="64" t="str">
        <f t="shared" si="173"/>
        <v>POYOWA BESAR</v>
      </c>
      <c r="AE104" s="67"/>
      <c r="AF104" s="67"/>
      <c r="AG104" s="67"/>
      <c r="AH104" s="67"/>
      <c r="AI104" s="69"/>
      <c r="AJ104" s="11" t="s">
        <v>172</v>
      </c>
      <c r="AK104" s="65" t="s">
        <v>96</v>
      </c>
      <c r="AL104" s="65"/>
      <c r="AM104" s="65"/>
      <c r="AN104" s="65"/>
      <c r="AO104" s="65"/>
      <c r="AP104" s="65"/>
      <c r="AQ104" s="177" t="s">
        <v>97</v>
      </c>
      <c r="AR104" s="70" t="s">
        <v>349</v>
      </c>
      <c r="AS104" s="71" t="str">
        <f t="shared" si="177"/>
        <v>KPBS-1.019</v>
      </c>
      <c r="AT104" s="71" t="str">
        <f t="shared" si="177"/>
        <v>A07</v>
      </c>
      <c r="AU104" s="72"/>
      <c r="AV104" s="202">
        <v>0.71354788349999998</v>
      </c>
      <c r="AW104" s="202">
        <v>124.3218453833</v>
      </c>
      <c r="AX104" s="65" t="s">
        <v>98</v>
      </c>
      <c r="AY104" s="65" t="s">
        <v>94</v>
      </c>
      <c r="AZ104" s="65" t="s">
        <v>94</v>
      </c>
      <c r="BA104" s="73" t="s">
        <v>77</v>
      </c>
      <c r="BB104" s="65" t="s">
        <v>98</v>
      </c>
      <c r="BC104" s="65">
        <v>31</v>
      </c>
      <c r="BD104" s="65" t="s">
        <v>98</v>
      </c>
      <c r="BE104" s="211" t="str">
        <f t="shared" si="178"/>
        <v>87, POYOWA BESAR,</v>
      </c>
    </row>
    <row r="105" spans="1:57" s="211" customFormat="1" ht="15.75" customHeight="1">
      <c r="A105" s="207"/>
      <c r="B105" s="208"/>
      <c r="C105" s="208"/>
      <c r="D105" s="208"/>
      <c r="E105" s="208"/>
      <c r="F105" s="208"/>
      <c r="G105" s="208"/>
      <c r="H105" s="23">
        <v>9</v>
      </c>
      <c r="I105" s="64" t="str">
        <f t="shared" si="179"/>
        <v>MR.KPBS.P006</v>
      </c>
      <c r="J105" s="64">
        <f t="shared" si="179"/>
        <v>0.7131651564</v>
      </c>
      <c r="K105" s="64">
        <f t="shared" si="179"/>
        <v>124.3217029491</v>
      </c>
      <c r="L105" s="64" t="str">
        <f t="shared" si="179"/>
        <v>JL. RAYA POYOWA BESAR</v>
      </c>
      <c r="M105" s="64" t="str">
        <f t="shared" si="176"/>
        <v>SULAWESU UTARA</v>
      </c>
      <c r="N105" s="65" t="s">
        <v>105</v>
      </c>
      <c r="O105" s="66" t="s">
        <v>118</v>
      </c>
      <c r="P105" s="65" t="s">
        <v>119</v>
      </c>
      <c r="Q105" s="66">
        <v>95717</v>
      </c>
      <c r="R105" s="67"/>
      <c r="S105" s="68"/>
      <c r="T105" s="68"/>
      <c r="U105" s="68"/>
      <c r="V105" s="68"/>
      <c r="W105" s="65" t="s">
        <v>105</v>
      </c>
      <c r="X105" s="64"/>
      <c r="Y105" s="64" t="s">
        <v>106</v>
      </c>
      <c r="Z105" s="64" t="str">
        <f t="shared" si="97"/>
        <v>KELURAHAN POYOWA BESAR SATU KOTAMOBAGU</v>
      </c>
      <c r="AA105" s="65"/>
      <c r="AB105" s="65"/>
      <c r="AC105" s="65" t="s">
        <v>70</v>
      </c>
      <c r="AD105" s="64" t="str">
        <f t="shared" si="173"/>
        <v>POYOWA BESAR</v>
      </c>
      <c r="AE105" s="67"/>
      <c r="AF105" s="67"/>
      <c r="AG105" s="67"/>
      <c r="AH105" s="67"/>
      <c r="AI105" s="69"/>
      <c r="AJ105" s="11" t="s">
        <v>173</v>
      </c>
      <c r="AK105" s="65" t="s">
        <v>96</v>
      </c>
      <c r="AL105" s="65"/>
      <c r="AM105" s="65"/>
      <c r="AN105" s="65"/>
      <c r="AO105" s="65"/>
      <c r="AP105" s="65"/>
      <c r="AQ105" s="177" t="s">
        <v>97</v>
      </c>
      <c r="AR105" s="70" t="s">
        <v>349</v>
      </c>
      <c r="AS105" s="71" t="str">
        <f t="shared" si="177"/>
        <v>KPBS-1.019</v>
      </c>
      <c r="AT105" s="71" t="str">
        <f t="shared" si="177"/>
        <v>A07</v>
      </c>
      <c r="AU105" s="72"/>
      <c r="AV105" s="202">
        <v>0.71355516370000005</v>
      </c>
      <c r="AW105" s="202">
        <v>124.3215124502</v>
      </c>
      <c r="AX105" s="65" t="s">
        <v>98</v>
      </c>
      <c r="AY105" s="65" t="s">
        <v>94</v>
      </c>
      <c r="AZ105" s="65" t="s">
        <v>94</v>
      </c>
      <c r="BA105" s="73" t="s">
        <v>77</v>
      </c>
      <c r="BB105" s="65" t="s">
        <v>98</v>
      </c>
      <c r="BC105" s="65">
        <v>31</v>
      </c>
      <c r="BD105" s="65" t="s">
        <v>98</v>
      </c>
      <c r="BE105" s="211" t="str">
        <f t="shared" ref="BE105" si="180">AJ105&amp;", "&amp;AD105&amp;","&amp;AI105</f>
        <v>89A, POYOWA BESAR,</v>
      </c>
    </row>
    <row r="106" spans="1:57" s="211" customFormat="1" ht="15.75" customHeight="1">
      <c r="A106" s="40" t="s">
        <v>67</v>
      </c>
      <c r="B106" s="40">
        <f>B97+1</f>
        <v>8</v>
      </c>
      <c r="C106" s="32" t="s">
        <v>68</v>
      </c>
      <c r="D106" s="111" t="s">
        <v>348</v>
      </c>
      <c r="E106" s="120">
        <v>2</v>
      </c>
      <c r="F106" s="43">
        <f>F98+1</f>
        <v>17</v>
      </c>
      <c r="G106" s="213" t="s">
        <v>79</v>
      </c>
      <c r="H106" s="42">
        <v>1</v>
      </c>
      <c r="I106" s="82" t="s">
        <v>323</v>
      </c>
      <c r="J106" s="83">
        <v>0.71366057409999994</v>
      </c>
      <c r="K106" s="83">
        <v>124.3217201298</v>
      </c>
      <c r="L106" s="117" t="s">
        <v>116</v>
      </c>
      <c r="M106" s="119" t="str">
        <f>M104</f>
        <v>SULAWESU UTARA</v>
      </c>
      <c r="N106" s="14" t="s">
        <v>105</v>
      </c>
      <c r="O106" s="84" t="s">
        <v>118</v>
      </c>
      <c r="P106" s="14" t="s">
        <v>119</v>
      </c>
      <c r="Q106" s="84">
        <v>95717</v>
      </c>
      <c r="R106" s="86"/>
      <c r="S106" s="87"/>
      <c r="T106" s="88"/>
      <c r="U106" s="87"/>
      <c r="V106" s="88"/>
      <c r="W106" s="85" t="s">
        <v>105</v>
      </c>
      <c r="X106" s="83"/>
      <c r="Y106" s="119" t="s">
        <v>106</v>
      </c>
      <c r="Z106" s="119" t="str">
        <f>Z104</f>
        <v>KELURAHAN POYOWA BESAR SATU KOTAMOBAGU</v>
      </c>
      <c r="AA106" s="89"/>
      <c r="AB106" s="89"/>
      <c r="AC106" s="89" t="s">
        <v>70</v>
      </c>
      <c r="AD106" s="117" t="s">
        <v>119</v>
      </c>
      <c r="AE106" s="90"/>
      <c r="AF106" s="90"/>
      <c r="AG106" s="90"/>
      <c r="AH106" s="90"/>
      <c r="AI106" s="91"/>
      <c r="AJ106" s="115" t="s">
        <v>409</v>
      </c>
      <c r="AK106" s="89" t="s">
        <v>96</v>
      </c>
      <c r="AL106" s="95"/>
      <c r="AM106" s="187"/>
      <c r="AN106" s="187"/>
      <c r="AO106" s="187"/>
      <c r="AP106" s="187"/>
      <c r="AQ106" s="188" t="s">
        <v>97</v>
      </c>
      <c r="AR106" s="92" t="s">
        <v>349</v>
      </c>
      <c r="AS106" s="93" t="str">
        <f>AS54</f>
        <v>KPBS-1.019</v>
      </c>
      <c r="AT106" s="93" t="str">
        <f>G106</f>
        <v>A08</v>
      </c>
      <c r="AU106" s="94"/>
      <c r="AV106" s="203">
        <v>0.71376964970000001</v>
      </c>
      <c r="AW106" s="203">
        <v>124.3218812567</v>
      </c>
      <c r="AX106" s="95" t="s">
        <v>98</v>
      </c>
      <c r="AY106" s="95" t="s">
        <v>94</v>
      </c>
      <c r="AZ106" s="95" t="s">
        <v>94</v>
      </c>
      <c r="BA106" s="96" t="s">
        <v>77</v>
      </c>
      <c r="BB106" s="95" t="s">
        <v>98</v>
      </c>
      <c r="BC106" s="95">
        <v>31</v>
      </c>
      <c r="BD106" s="95" t="s">
        <v>98</v>
      </c>
      <c r="BE106" s="211" t="str">
        <f t="shared" ref="BE106:BE115" si="181">AJ106&amp;", "&amp;AD106&amp;","&amp;AI106</f>
        <v>93, POYOWA BESAR,</v>
      </c>
    </row>
    <row r="107" spans="1:57" s="211" customFormat="1" ht="15.75" customHeight="1">
      <c r="A107" s="46"/>
      <c r="B107" s="46"/>
      <c r="C107" s="22" t="s">
        <v>68</v>
      </c>
      <c r="D107" s="22" t="s">
        <v>348</v>
      </c>
      <c r="E107" s="32">
        <v>2</v>
      </c>
      <c r="F107" s="47">
        <f>F106+1</f>
        <v>18</v>
      </c>
      <c r="G107" s="214"/>
      <c r="H107" s="23">
        <v>2</v>
      </c>
      <c r="I107" s="64" t="str">
        <f t="shared" ref="I107:L107" si="182">I106</f>
        <v>MR.KPBS.P008</v>
      </c>
      <c r="J107" s="64">
        <f t="shared" si="182"/>
        <v>0.71366057409999994</v>
      </c>
      <c r="K107" s="64">
        <f t="shared" si="182"/>
        <v>124.3217201298</v>
      </c>
      <c r="L107" s="64" t="str">
        <f t="shared" si="182"/>
        <v>JL. RAYA POYOWA BESAR</v>
      </c>
      <c r="M107" s="64" t="str">
        <f t="shared" si="40"/>
        <v>SULAWESU UTARA</v>
      </c>
      <c r="N107" s="65" t="s">
        <v>105</v>
      </c>
      <c r="O107" s="66" t="s">
        <v>118</v>
      </c>
      <c r="P107" s="65" t="s">
        <v>119</v>
      </c>
      <c r="Q107" s="66">
        <v>95717</v>
      </c>
      <c r="R107" s="67"/>
      <c r="S107" s="68"/>
      <c r="T107" s="68"/>
      <c r="U107" s="68"/>
      <c r="V107" s="68"/>
      <c r="W107" s="65" t="s">
        <v>105</v>
      </c>
      <c r="X107" s="64"/>
      <c r="Y107" s="64" t="s">
        <v>106</v>
      </c>
      <c r="Z107" s="64" t="str">
        <f t="shared" si="97"/>
        <v>KELURAHAN POYOWA BESAR SATU KOTAMOBAGU</v>
      </c>
      <c r="AA107" s="65"/>
      <c r="AB107" s="65"/>
      <c r="AC107" s="65" t="s">
        <v>70</v>
      </c>
      <c r="AD107" s="64" t="str">
        <f t="shared" ref="AD107" si="183">AD106</f>
        <v>POYOWA BESAR</v>
      </c>
      <c r="AE107" s="67"/>
      <c r="AF107" s="67"/>
      <c r="AG107" s="67"/>
      <c r="AH107" s="67"/>
      <c r="AI107" s="69"/>
      <c r="AJ107" s="11" t="s">
        <v>410</v>
      </c>
      <c r="AK107" s="65" t="s">
        <v>96</v>
      </c>
      <c r="AL107" s="65"/>
      <c r="AM107" s="176"/>
      <c r="AN107" s="176"/>
      <c r="AO107" s="176"/>
      <c r="AP107" s="176"/>
      <c r="AQ107" s="177" t="s">
        <v>97</v>
      </c>
      <c r="AR107" s="70" t="s">
        <v>349</v>
      </c>
      <c r="AS107" s="71" t="str">
        <f t="shared" ref="AS107:AT107" si="184">AS106</f>
        <v>KPBS-1.019</v>
      </c>
      <c r="AT107" s="71" t="str">
        <f t="shared" si="184"/>
        <v>A08</v>
      </c>
      <c r="AU107" s="72"/>
      <c r="AV107" s="202">
        <v>0.71361059159999995</v>
      </c>
      <c r="AW107" s="202">
        <v>124.3218553951</v>
      </c>
      <c r="AX107" s="65" t="s">
        <v>98</v>
      </c>
      <c r="AY107" s="65" t="s">
        <v>94</v>
      </c>
      <c r="AZ107" s="65" t="s">
        <v>94</v>
      </c>
      <c r="BA107" s="73" t="s">
        <v>77</v>
      </c>
      <c r="BB107" s="65" t="s">
        <v>98</v>
      </c>
      <c r="BC107" s="65">
        <v>31</v>
      </c>
      <c r="BD107" s="65" t="s">
        <v>98</v>
      </c>
      <c r="BE107" s="211" t="str">
        <f t="shared" si="181"/>
        <v>88, POYOWA BESAR,</v>
      </c>
    </row>
    <row r="108" spans="1:57" s="211" customFormat="1" ht="15.75" customHeight="1">
      <c r="A108" s="221"/>
      <c r="B108" s="222"/>
      <c r="C108" s="222"/>
      <c r="D108" s="222"/>
      <c r="E108" s="222"/>
      <c r="F108" s="222"/>
      <c r="G108" s="223"/>
      <c r="H108" s="23">
        <v>3</v>
      </c>
      <c r="I108" s="64" t="str">
        <f t="shared" ref="I108:L108" si="185">I107</f>
        <v>MR.KPBS.P008</v>
      </c>
      <c r="J108" s="64">
        <f t="shared" si="185"/>
        <v>0.71366057409999994</v>
      </c>
      <c r="K108" s="64">
        <f t="shared" si="185"/>
        <v>124.3217201298</v>
      </c>
      <c r="L108" s="64" t="str">
        <f t="shared" si="185"/>
        <v>JL. RAYA POYOWA BESAR</v>
      </c>
      <c r="M108" s="64" t="str">
        <f t="shared" si="40"/>
        <v>SULAWESU UTARA</v>
      </c>
      <c r="N108" s="65" t="s">
        <v>105</v>
      </c>
      <c r="O108" s="66" t="s">
        <v>118</v>
      </c>
      <c r="P108" s="65" t="s">
        <v>119</v>
      </c>
      <c r="Q108" s="66">
        <v>95717</v>
      </c>
      <c r="R108" s="67"/>
      <c r="S108" s="68"/>
      <c r="T108" s="68"/>
      <c r="U108" s="68"/>
      <c r="V108" s="68"/>
      <c r="W108" s="65" t="s">
        <v>105</v>
      </c>
      <c r="X108" s="64"/>
      <c r="Y108" s="64" t="s">
        <v>106</v>
      </c>
      <c r="Z108" s="64" t="str">
        <f t="shared" si="97"/>
        <v>KELURAHAN POYOWA BESAR SATU KOTAMOBAGU</v>
      </c>
      <c r="AA108" s="65"/>
      <c r="AB108" s="65"/>
      <c r="AC108" s="65" t="s">
        <v>70</v>
      </c>
      <c r="AD108" s="64" t="str">
        <f t="shared" ref="AD108" si="186">AD107</f>
        <v>POYOWA BESAR</v>
      </c>
      <c r="AE108" s="67"/>
      <c r="AF108" s="67"/>
      <c r="AG108" s="67"/>
      <c r="AH108" s="67"/>
      <c r="AI108" s="69"/>
      <c r="AJ108" s="11" t="s">
        <v>411</v>
      </c>
      <c r="AK108" s="65" t="s">
        <v>96</v>
      </c>
      <c r="AL108" s="65"/>
      <c r="AM108" s="176"/>
      <c r="AN108" s="176"/>
      <c r="AO108" s="176"/>
      <c r="AP108" s="176"/>
      <c r="AQ108" s="177" t="s">
        <v>97</v>
      </c>
      <c r="AR108" s="70" t="s">
        <v>349</v>
      </c>
      <c r="AS108" s="71" t="str">
        <f t="shared" ref="AS108:AT108" si="187">AS107</f>
        <v>KPBS-1.019</v>
      </c>
      <c r="AT108" s="71" t="str">
        <f t="shared" si="187"/>
        <v>A08</v>
      </c>
      <c r="AU108" s="72"/>
      <c r="AV108" s="202">
        <v>0.7136348387</v>
      </c>
      <c r="AW108" s="202">
        <v>124.3215199989</v>
      </c>
      <c r="AX108" s="65" t="s">
        <v>98</v>
      </c>
      <c r="AY108" s="65" t="s">
        <v>94</v>
      </c>
      <c r="AZ108" s="65" t="s">
        <v>94</v>
      </c>
      <c r="BA108" s="73" t="s">
        <v>77</v>
      </c>
      <c r="BB108" s="65" t="s">
        <v>98</v>
      </c>
      <c r="BC108" s="65">
        <v>31</v>
      </c>
      <c r="BD108" s="65" t="s">
        <v>98</v>
      </c>
      <c r="BE108" s="211" t="str">
        <f t="shared" si="181"/>
        <v>89, POYOWA BESAR,</v>
      </c>
    </row>
    <row r="109" spans="1:57" s="211" customFormat="1" ht="15.75" customHeight="1">
      <c r="A109" s="224"/>
      <c r="B109" s="225"/>
      <c r="C109" s="225"/>
      <c r="D109" s="225"/>
      <c r="E109" s="225"/>
      <c r="F109" s="225"/>
      <c r="G109" s="226"/>
      <c r="H109" s="23">
        <v>4</v>
      </c>
      <c r="I109" s="64" t="str">
        <f t="shared" ref="I109:L109" si="188">I108</f>
        <v>MR.KPBS.P008</v>
      </c>
      <c r="J109" s="64">
        <f t="shared" si="188"/>
        <v>0.71366057409999994</v>
      </c>
      <c r="K109" s="64">
        <f t="shared" si="188"/>
        <v>124.3217201298</v>
      </c>
      <c r="L109" s="64" t="str">
        <f t="shared" si="188"/>
        <v>JL. RAYA POYOWA BESAR</v>
      </c>
      <c r="M109" s="64" t="str">
        <f t="shared" si="40"/>
        <v>SULAWESU UTARA</v>
      </c>
      <c r="N109" s="65" t="s">
        <v>105</v>
      </c>
      <c r="O109" s="66" t="s">
        <v>118</v>
      </c>
      <c r="P109" s="65" t="s">
        <v>119</v>
      </c>
      <c r="Q109" s="66">
        <v>95717</v>
      </c>
      <c r="R109" s="67"/>
      <c r="S109" s="68"/>
      <c r="T109" s="68"/>
      <c r="U109" s="68"/>
      <c r="V109" s="68"/>
      <c r="W109" s="65" t="s">
        <v>105</v>
      </c>
      <c r="X109" s="64"/>
      <c r="Y109" s="64" t="s">
        <v>106</v>
      </c>
      <c r="Z109" s="64" t="str">
        <f t="shared" si="97"/>
        <v>KELURAHAN POYOWA BESAR SATU KOTAMOBAGU</v>
      </c>
      <c r="AA109" s="65"/>
      <c r="AB109" s="65"/>
      <c r="AC109" s="65" t="s">
        <v>70</v>
      </c>
      <c r="AD109" s="64" t="str">
        <f t="shared" ref="AD109" si="189">AD108</f>
        <v>POYOWA BESAR</v>
      </c>
      <c r="AE109" s="67"/>
      <c r="AF109" s="67"/>
      <c r="AG109" s="67"/>
      <c r="AH109" s="67"/>
      <c r="AI109" s="69"/>
      <c r="AJ109" s="11" t="s">
        <v>412</v>
      </c>
      <c r="AK109" s="65" t="s">
        <v>96</v>
      </c>
      <c r="AL109" s="65"/>
      <c r="AM109" s="176"/>
      <c r="AN109" s="176"/>
      <c r="AO109" s="176"/>
      <c r="AP109" s="176"/>
      <c r="AQ109" s="177" t="s">
        <v>97</v>
      </c>
      <c r="AR109" s="70" t="s">
        <v>349</v>
      </c>
      <c r="AS109" s="71" t="str">
        <f t="shared" ref="AS109:AT109" si="190">AS108</f>
        <v>KPBS-1.019</v>
      </c>
      <c r="AT109" s="71" t="str">
        <f t="shared" si="190"/>
        <v>A08</v>
      </c>
      <c r="AU109" s="72"/>
      <c r="AV109" s="202">
        <v>0.71369253020000001</v>
      </c>
      <c r="AW109" s="202">
        <v>124.32184788630001</v>
      </c>
      <c r="AX109" s="65" t="s">
        <v>98</v>
      </c>
      <c r="AY109" s="65" t="s">
        <v>94</v>
      </c>
      <c r="AZ109" s="65" t="s">
        <v>94</v>
      </c>
      <c r="BA109" s="73" t="s">
        <v>77</v>
      </c>
      <c r="BB109" s="65" t="s">
        <v>98</v>
      </c>
      <c r="BC109" s="65">
        <v>31</v>
      </c>
      <c r="BD109" s="65" t="s">
        <v>98</v>
      </c>
      <c r="BE109" s="211" t="str">
        <f t="shared" si="181"/>
        <v>90, POYOWA BESAR,</v>
      </c>
    </row>
    <row r="110" spans="1:57" s="211" customFormat="1" ht="15.75" customHeight="1">
      <c r="A110" s="224"/>
      <c r="B110" s="225"/>
      <c r="C110" s="225"/>
      <c r="D110" s="225"/>
      <c r="E110" s="225"/>
      <c r="F110" s="225"/>
      <c r="G110" s="226"/>
      <c r="H110" s="23">
        <v>5</v>
      </c>
      <c r="I110" s="64" t="str">
        <f t="shared" ref="I110:L110" si="191">I109</f>
        <v>MR.KPBS.P008</v>
      </c>
      <c r="J110" s="64">
        <f t="shared" si="191"/>
        <v>0.71366057409999994</v>
      </c>
      <c r="K110" s="64">
        <f t="shared" si="191"/>
        <v>124.3217201298</v>
      </c>
      <c r="L110" s="64" t="str">
        <f t="shared" si="191"/>
        <v>JL. RAYA POYOWA BESAR</v>
      </c>
      <c r="M110" s="64" t="str">
        <f t="shared" si="40"/>
        <v>SULAWESU UTARA</v>
      </c>
      <c r="N110" s="65" t="s">
        <v>105</v>
      </c>
      <c r="O110" s="66" t="s">
        <v>118</v>
      </c>
      <c r="P110" s="65" t="s">
        <v>119</v>
      </c>
      <c r="Q110" s="66">
        <v>95717</v>
      </c>
      <c r="R110" s="67"/>
      <c r="S110" s="68"/>
      <c r="T110" s="68"/>
      <c r="U110" s="68"/>
      <c r="V110" s="68"/>
      <c r="W110" s="65" t="s">
        <v>105</v>
      </c>
      <c r="X110" s="64"/>
      <c r="Y110" s="64" t="s">
        <v>106</v>
      </c>
      <c r="Z110" s="64" t="str">
        <f t="shared" si="97"/>
        <v>KELURAHAN POYOWA BESAR SATU KOTAMOBAGU</v>
      </c>
      <c r="AA110" s="65"/>
      <c r="AB110" s="65"/>
      <c r="AC110" s="65" t="s">
        <v>70</v>
      </c>
      <c r="AD110" s="64" t="str">
        <f t="shared" ref="AD110" si="192">AD109</f>
        <v>POYOWA BESAR</v>
      </c>
      <c r="AE110" s="67"/>
      <c r="AF110" s="67"/>
      <c r="AG110" s="67"/>
      <c r="AH110" s="67"/>
      <c r="AI110" s="69"/>
      <c r="AJ110" s="11" t="s">
        <v>413</v>
      </c>
      <c r="AK110" s="65" t="s">
        <v>96</v>
      </c>
      <c r="AL110" s="65"/>
      <c r="AM110" s="176"/>
      <c r="AN110" s="176"/>
      <c r="AO110" s="176"/>
      <c r="AP110" s="176"/>
      <c r="AQ110" s="177" t="s">
        <v>97</v>
      </c>
      <c r="AR110" s="70" t="s">
        <v>349</v>
      </c>
      <c r="AS110" s="71" t="str">
        <f t="shared" ref="AS110:AT110" si="193">AS109</f>
        <v>KPBS-1.019</v>
      </c>
      <c r="AT110" s="71" t="str">
        <f t="shared" si="193"/>
        <v>A08</v>
      </c>
      <c r="AU110" s="72"/>
      <c r="AV110" s="202">
        <v>0.71373370319999996</v>
      </c>
      <c r="AW110" s="202">
        <v>124.32151582500001</v>
      </c>
      <c r="AX110" s="65" t="s">
        <v>98</v>
      </c>
      <c r="AY110" s="65" t="s">
        <v>94</v>
      </c>
      <c r="AZ110" s="65" t="s">
        <v>94</v>
      </c>
      <c r="BA110" s="73" t="s">
        <v>77</v>
      </c>
      <c r="BB110" s="65" t="s">
        <v>98</v>
      </c>
      <c r="BC110" s="65">
        <v>31</v>
      </c>
      <c r="BD110" s="65" t="s">
        <v>98</v>
      </c>
      <c r="BE110" s="211" t="str">
        <f t="shared" si="181"/>
        <v>91, POYOWA BESAR,</v>
      </c>
    </row>
    <row r="111" spans="1:57" s="211" customFormat="1" ht="15.75" customHeight="1">
      <c r="A111" s="224"/>
      <c r="B111" s="225"/>
      <c r="C111" s="225"/>
      <c r="D111" s="225"/>
      <c r="E111" s="225"/>
      <c r="F111" s="225"/>
      <c r="G111" s="226"/>
      <c r="H111" s="23">
        <v>6</v>
      </c>
      <c r="I111" s="64" t="str">
        <f t="shared" ref="I111:L111" si="194">I110</f>
        <v>MR.KPBS.P008</v>
      </c>
      <c r="J111" s="64">
        <f t="shared" si="194"/>
        <v>0.71366057409999994</v>
      </c>
      <c r="K111" s="64">
        <f t="shared" si="194"/>
        <v>124.3217201298</v>
      </c>
      <c r="L111" s="64" t="str">
        <f t="shared" si="194"/>
        <v>JL. RAYA POYOWA BESAR</v>
      </c>
      <c r="M111" s="64" t="str">
        <f t="shared" si="40"/>
        <v>SULAWESU UTARA</v>
      </c>
      <c r="N111" s="65" t="s">
        <v>105</v>
      </c>
      <c r="O111" s="66" t="s">
        <v>118</v>
      </c>
      <c r="P111" s="65" t="s">
        <v>119</v>
      </c>
      <c r="Q111" s="66">
        <v>95717</v>
      </c>
      <c r="R111" s="67"/>
      <c r="S111" s="68"/>
      <c r="T111" s="74"/>
      <c r="U111" s="74"/>
      <c r="V111" s="74"/>
      <c r="W111" s="65" t="s">
        <v>105</v>
      </c>
      <c r="X111" s="64"/>
      <c r="Y111" s="64" t="s">
        <v>106</v>
      </c>
      <c r="Z111" s="64" t="str">
        <f t="shared" si="97"/>
        <v>KELURAHAN POYOWA BESAR SATU KOTAMOBAGU</v>
      </c>
      <c r="AA111" s="65"/>
      <c r="AB111" s="65"/>
      <c r="AC111" s="65" t="s">
        <v>70</v>
      </c>
      <c r="AD111" s="64" t="str">
        <f t="shared" ref="AD111" si="195">AD110</f>
        <v>POYOWA BESAR</v>
      </c>
      <c r="AE111" s="75"/>
      <c r="AF111" s="75"/>
      <c r="AG111" s="75"/>
      <c r="AH111" s="75"/>
      <c r="AI111" s="69"/>
      <c r="AJ111" s="11" t="s">
        <v>414</v>
      </c>
      <c r="AK111" s="65" t="s">
        <v>96</v>
      </c>
      <c r="AL111" s="65"/>
      <c r="AM111" s="176"/>
      <c r="AN111" s="176"/>
      <c r="AO111" s="176"/>
      <c r="AP111" s="176"/>
      <c r="AQ111" s="186" t="s">
        <v>97</v>
      </c>
      <c r="AR111" s="70" t="s">
        <v>349</v>
      </c>
      <c r="AS111" s="71" t="str">
        <f t="shared" ref="AS111:AT111" si="196">AS110</f>
        <v>KPBS-1.019</v>
      </c>
      <c r="AT111" s="71" t="str">
        <f t="shared" si="196"/>
        <v>A08</v>
      </c>
      <c r="AU111" s="72"/>
      <c r="AV111" s="202">
        <v>0.71381229739999996</v>
      </c>
      <c r="AW111" s="202">
        <v>124.32153418</v>
      </c>
      <c r="AX111" s="65" t="s">
        <v>98</v>
      </c>
      <c r="AY111" s="65" t="s">
        <v>94</v>
      </c>
      <c r="AZ111" s="65" t="s">
        <v>94</v>
      </c>
      <c r="BA111" s="73" t="s">
        <v>77</v>
      </c>
      <c r="BB111" s="65" t="s">
        <v>98</v>
      </c>
      <c r="BC111" s="65">
        <v>31</v>
      </c>
      <c r="BD111" s="65" t="s">
        <v>98</v>
      </c>
      <c r="BE111" s="211" t="str">
        <f t="shared" si="181"/>
        <v>92, POYOWA BESAR,</v>
      </c>
    </row>
    <row r="112" spans="1:57" s="211" customFormat="1" ht="15.75" customHeight="1">
      <c r="A112" s="224"/>
      <c r="B112" s="225"/>
      <c r="C112" s="225"/>
      <c r="D112" s="225"/>
      <c r="E112" s="225"/>
      <c r="F112" s="225"/>
      <c r="G112" s="226"/>
      <c r="H112" s="23">
        <v>7</v>
      </c>
      <c r="I112" s="64" t="str">
        <f t="shared" ref="I112:M112" si="197">I111</f>
        <v>MR.KPBS.P008</v>
      </c>
      <c r="J112" s="64">
        <f t="shared" si="197"/>
        <v>0.71366057409999994</v>
      </c>
      <c r="K112" s="64">
        <f t="shared" si="197"/>
        <v>124.3217201298</v>
      </c>
      <c r="L112" s="64" t="str">
        <f t="shared" si="197"/>
        <v>JL. RAYA POYOWA BESAR</v>
      </c>
      <c r="M112" s="64" t="str">
        <f t="shared" si="197"/>
        <v>SULAWESU UTARA</v>
      </c>
      <c r="N112" s="65" t="s">
        <v>105</v>
      </c>
      <c r="O112" s="66" t="s">
        <v>118</v>
      </c>
      <c r="P112" s="65" t="s">
        <v>119</v>
      </c>
      <c r="Q112" s="66">
        <v>95717</v>
      </c>
      <c r="R112" s="67"/>
      <c r="S112" s="68"/>
      <c r="T112" s="68"/>
      <c r="U112" s="68"/>
      <c r="V112" s="68"/>
      <c r="W112" s="65" t="s">
        <v>105</v>
      </c>
      <c r="X112" s="64"/>
      <c r="Y112" s="64" t="s">
        <v>106</v>
      </c>
      <c r="Z112" s="64" t="str">
        <f t="shared" si="97"/>
        <v>KELURAHAN POYOWA BESAR SATU KOTAMOBAGU</v>
      </c>
      <c r="AA112" s="65"/>
      <c r="AB112" s="65"/>
      <c r="AC112" s="65" t="s">
        <v>70</v>
      </c>
      <c r="AD112" s="64" t="str">
        <f t="shared" ref="AD112" si="198">AD111</f>
        <v>POYOWA BESAR</v>
      </c>
      <c r="AE112" s="67"/>
      <c r="AF112" s="67"/>
      <c r="AG112" s="67"/>
      <c r="AH112" s="67"/>
      <c r="AI112" s="69"/>
      <c r="AJ112" s="11" t="s">
        <v>415</v>
      </c>
      <c r="AK112" s="65" t="s">
        <v>96</v>
      </c>
      <c r="AL112" s="65"/>
      <c r="AM112" s="65"/>
      <c r="AN112" s="65"/>
      <c r="AO112" s="65"/>
      <c r="AP112" s="65"/>
      <c r="AQ112" s="177" t="s">
        <v>97</v>
      </c>
      <c r="AR112" s="70" t="s">
        <v>349</v>
      </c>
      <c r="AS112" s="71" t="str">
        <f t="shared" ref="AS112:AT112" si="199">AS111</f>
        <v>KPBS-1.019</v>
      </c>
      <c r="AT112" s="71" t="str">
        <f t="shared" si="199"/>
        <v>A08</v>
      </c>
      <c r="AU112" s="72"/>
      <c r="AV112" s="202">
        <v>0.71383570839999999</v>
      </c>
      <c r="AW112" s="202">
        <v>124.3218537242</v>
      </c>
      <c r="AX112" s="65" t="s">
        <v>98</v>
      </c>
      <c r="AY112" s="65" t="s">
        <v>94</v>
      </c>
      <c r="AZ112" s="65" t="s">
        <v>94</v>
      </c>
      <c r="BA112" s="73" t="s">
        <v>77</v>
      </c>
      <c r="BB112" s="65" t="s">
        <v>98</v>
      </c>
      <c r="BC112" s="65">
        <v>31</v>
      </c>
      <c r="BD112" s="65" t="s">
        <v>98</v>
      </c>
      <c r="BE112" s="211" t="str">
        <f t="shared" si="181"/>
        <v>94, POYOWA BESAR,</v>
      </c>
    </row>
    <row r="113" spans="1:57" s="211" customFormat="1" ht="15.75" customHeight="1">
      <c r="A113" s="224"/>
      <c r="B113" s="225"/>
      <c r="C113" s="225"/>
      <c r="D113" s="225"/>
      <c r="E113" s="225"/>
      <c r="F113" s="225"/>
      <c r="G113" s="226"/>
      <c r="H113" s="23">
        <v>8</v>
      </c>
      <c r="I113" s="64" t="str">
        <f t="shared" ref="I113:M113" si="200">I112</f>
        <v>MR.KPBS.P008</v>
      </c>
      <c r="J113" s="64">
        <f t="shared" si="200"/>
        <v>0.71366057409999994</v>
      </c>
      <c r="K113" s="64">
        <f t="shared" si="200"/>
        <v>124.3217201298</v>
      </c>
      <c r="L113" s="64" t="str">
        <f t="shared" si="200"/>
        <v>JL. RAYA POYOWA BESAR</v>
      </c>
      <c r="M113" s="64" t="str">
        <f t="shared" si="200"/>
        <v>SULAWESU UTARA</v>
      </c>
      <c r="N113" s="65" t="s">
        <v>105</v>
      </c>
      <c r="O113" s="66" t="s">
        <v>118</v>
      </c>
      <c r="P113" s="65" t="s">
        <v>119</v>
      </c>
      <c r="Q113" s="66">
        <v>95717</v>
      </c>
      <c r="R113" s="67"/>
      <c r="S113" s="68"/>
      <c r="T113" s="68"/>
      <c r="U113" s="68"/>
      <c r="V113" s="68"/>
      <c r="W113" s="64" t="s">
        <v>105</v>
      </c>
      <c r="X113" s="64"/>
      <c r="Y113" s="64" t="s">
        <v>106</v>
      </c>
      <c r="Z113" s="64" t="str">
        <f t="shared" si="97"/>
        <v>KELURAHAN POYOWA BESAR SATU KOTAMOBAGU</v>
      </c>
      <c r="AA113" s="65"/>
      <c r="AB113" s="65"/>
      <c r="AC113" s="65" t="s">
        <v>70</v>
      </c>
      <c r="AD113" s="64" t="str">
        <f t="shared" ref="AD113" si="201">AD112</f>
        <v>POYOWA BESAR</v>
      </c>
      <c r="AE113" s="67"/>
      <c r="AF113" s="67"/>
      <c r="AG113" s="67"/>
      <c r="AH113" s="67"/>
      <c r="AI113" s="69"/>
      <c r="AJ113" s="11" t="s">
        <v>416</v>
      </c>
      <c r="AK113" s="65" t="s">
        <v>96</v>
      </c>
      <c r="AL113" s="65"/>
      <c r="AM113" s="65"/>
      <c r="AN113" s="65"/>
      <c r="AO113" s="65"/>
      <c r="AP113" s="65"/>
      <c r="AQ113" s="177" t="s">
        <v>97</v>
      </c>
      <c r="AR113" s="70" t="s">
        <v>349</v>
      </c>
      <c r="AS113" s="71" t="str">
        <f t="shared" ref="AS113:AT113" si="202">AS112</f>
        <v>KPBS-1.019</v>
      </c>
      <c r="AT113" s="71" t="str">
        <f t="shared" si="202"/>
        <v>A08</v>
      </c>
      <c r="AU113" s="72"/>
      <c r="AV113" s="202">
        <v>0.71387584159999995</v>
      </c>
      <c r="AW113" s="202">
        <v>124.3215250025</v>
      </c>
      <c r="AX113" s="65" t="s">
        <v>98</v>
      </c>
      <c r="AY113" s="65" t="s">
        <v>94</v>
      </c>
      <c r="AZ113" s="65" t="s">
        <v>94</v>
      </c>
      <c r="BA113" s="73" t="s">
        <v>77</v>
      </c>
      <c r="BB113" s="65" t="s">
        <v>98</v>
      </c>
      <c r="BC113" s="65">
        <v>31</v>
      </c>
      <c r="BD113" s="65" t="s">
        <v>98</v>
      </c>
      <c r="BE113" s="211" t="str">
        <f t="shared" si="181"/>
        <v>95, POYOWA BESAR,</v>
      </c>
    </row>
    <row r="114" spans="1:57" s="211" customFormat="1" ht="15.75" customHeight="1">
      <c r="A114" s="224"/>
      <c r="B114" s="225"/>
      <c r="C114" s="225"/>
      <c r="D114" s="225"/>
      <c r="E114" s="225"/>
      <c r="F114" s="225"/>
      <c r="G114" s="226"/>
      <c r="H114" s="23">
        <v>9</v>
      </c>
      <c r="I114" s="64" t="str">
        <f t="shared" ref="I114:M114" si="203">I113</f>
        <v>MR.KPBS.P008</v>
      </c>
      <c r="J114" s="64">
        <f t="shared" si="203"/>
        <v>0.71366057409999994</v>
      </c>
      <c r="K114" s="64">
        <f t="shared" si="203"/>
        <v>124.3217201298</v>
      </c>
      <c r="L114" s="64" t="str">
        <f t="shared" si="203"/>
        <v>JL. RAYA POYOWA BESAR</v>
      </c>
      <c r="M114" s="64" t="str">
        <f t="shared" si="203"/>
        <v>SULAWESU UTARA</v>
      </c>
      <c r="N114" s="65" t="s">
        <v>105</v>
      </c>
      <c r="O114" s="66" t="s">
        <v>118</v>
      </c>
      <c r="P114" s="65" t="s">
        <v>119</v>
      </c>
      <c r="Q114" s="66">
        <v>95717</v>
      </c>
      <c r="R114" s="67"/>
      <c r="S114" s="68"/>
      <c r="T114" s="68"/>
      <c r="U114" s="68"/>
      <c r="V114" s="68"/>
      <c r="W114" s="64" t="s">
        <v>105</v>
      </c>
      <c r="X114" s="64"/>
      <c r="Y114" s="64" t="s">
        <v>106</v>
      </c>
      <c r="Z114" s="64" t="str">
        <f t="shared" si="97"/>
        <v>KELURAHAN POYOWA BESAR SATU KOTAMOBAGU</v>
      </c>
      <c r="AA114" s="65"/>
      <c r="AB114" s="65"/>
      <c r="AC114" s="65" t="s">
        <v>70</v>
      </c>
      <c r="AD114" s="64" t="str">
        <f t="shared" ref="AD114" si="204">AD113</f>
        <v>POYOWA BESAR</v>
      </c>
      <c r="AE114" s="67"/>
      <c r="AF114" s="67"/>
      <c r="AG114" s="67"/>
      <c r="AH114" s="67"/>
      <c r="AI114" s="69"/>
      <c r="AJ114" s="11" t="s">
        <v>417</v>
      </c>
      <c r="AK114" s="65" t="s">
        <v>96</v>
      </c>
      <c r="AL114" s="65"/>
      <c r="AM114" s="65"/>
      <c r="AN114" s="65"/>
      <c r="AO114" s="65"/>
      <c r="AP114" s="65"/>
      <c r="AQ114" s="177" t="s">
        <v>97</v>
      </c>
      <c r="AR114" s="70" t="s">
        <v>349</v>
      </c>
      <c r="AS114" s="71" t="str">
        <f t="shared" ref="AS114:AT114" si="205">AS113</f>
        <v>KPBS-1.019</v>
      </c>
      <c r="AT114" s="71" t="str">
        <f t="shared" si="205"/>
        <v>A08</v>
      </c>
      <c r="AU114" s="72"/>
      <c r="AV114" s="202">
        <v>0.71391012200000004</v>
      </c>
      <c r="AW114" s="202">
        <v>124.3218595643</v>
      </c>
      <c r="AX114" s="65" t="s">
        <v>98</v>
      </c>
      <c r="AY114" s="65" t="s">
        <v>94</v>
      </c>
      <c r="AZ114" s="65" t="s">
        <v>94</v>
      </c>
      <c r="BA114" s="73" t="s">
        <v>77</v>
      </c>
      <c r="BB114" s="65" t="s">
        <v>98</v>
      </c>
      <c r="BC114" s="65">
        <v>31</v>
      </c>
      <c r="BD114" s="65" t="s">
        <v>98</v>
      </c>
      <c r="BE114" s="211" t="str">
        <f t="shared" si="181"/>
        <v>97, POYOWA BESAR,</v>
      </c>
    </row>
    <row r="115" spans="1:57" s="211" customFormat="1" ht="15.75" customHeight="1">
      <c r="A115" s="224"/>
      <c r="B115" s="225"/>
      <c r="C115" s="225"/>
      <c r="D115" s="225"/>
      <c r="E115" s="225"/>
      <c r="F115" s="225"/>
      <c r="G115" s="226"/>
      <c r="H115" s="23">
        <v>10</v>
      </c>
      <c r="I115" s="64" t="str">
        <f t="shared" ref="I115:M116" si="206">I114</f>
        <v>MR.KPBS.P008</v>
      </c>
      <c r="J115" s="64">
        <f t="shared" si="206"/>
        <v>0.71366057409999994</v>
      </c>
      <c r="K115" s="64">
        <f t="shared" si="206"/>
        <v>124.3217201298</v>
      </c>
      <c r="L115" s="64" t="str">
        <f t="shared" si="206"/>
        <v>JL. RAYA POYOWA BESAR</v>
      </c>
      <c r="M115" s="64" t="str">
        <f t="shared" si="206"/>
        <v>SULAWESU UTARA</v>
      </c>
      <c r="N115" s="65" t="s">
        <v>105</v>
      </c>
      <c r="O115" s="66" t="s">
        <v>118</v>
      </c>
      <c r="P115" s="65" t="s">
        <v>119</v>
      </c>
      <c r="Q115" s="66">
        <v>95717</v>
      </c>
      <c r="R115" s="67"/>
      <c r="S115" s="68"/>
      <c r="T115" s="68"/>
      <c r="U115" s="68"/>
      <c r="V115" s="68"/>
      <c r="W115" s="64" t="s">
        <v>105</v>
      </c>
      <c r="X115" s="64"/>
      <c r="Y115" s="64" t="s">
        <v>106</v>
      </c>
      <c r="Z115" s="64" t="str">
        <f t="shared" si="97"/>
        <v>KELURAHAN POYOWA BESAR SATU KOTAMOBAGU</v>
      </c>
      <c r="AA115" s="65"/>
      <c r="AB115" s="65"/>
      <c r="AC115" s="65" t="s">
        <v>70</v>
      </c>
      <c r="AD115" s="64" t="str">
        <f t="shared" ref="AD115" si="207">AD114</f>
        <v>POYOWA BESAR</v>
      </c>
      <c r="AE115" s="67"/>
      <c r="AF115" s="67"/>
      <c r="AG115" s="67"/>
      <c r="AH115" s="67"/>
      <c r="AI115" s="69"/>
      <c r="AJ115" s="11" t="s">
        <v>418</v>
      </c>
      <c r="AK115" s="65" t="s">
        <v>96</v>
      </c>
      <c r="AL115" s="65"/>
      <c r="AM115" s="65"/>
      <c r="AN115" s="65"/>
      <c r="AO115" s="65"/>
      <c r="AP115" s="65"/>
      <c r="AQ115" s="177" t="s">
        <v>97</v>
      </c>
      <c r="AR115" s="70" t="s">
        <v>349</v>
      </c>
      <c r="AS115" s="71" t="str">
        <f t="shared" ref="AS115:AT115" si="208">AS114</f>
        <v>KPBS-1.019</v>
      </c>
      <c r="AT115" s="71" t="str">
        <f t="shared" si="208"/>
        <v>A08</v>
      </c>
      <c r="AU115" s="72"/>
      <c r="AV115" s="202">
        <v>0.71395945240000003</v>
      </c>
      <c r="AW115" s="202">
        <v>124.3215617124</v>
      </c>
      <c r="AX115" s="65" t="s">
        <v>98</v>
      </c>
      <c r="AY115" s="65" t="s">
        <v>94</v>
      </c>
      <c r="AZ115" s="65" t="s">
        <v>94</v>
      </c>
      <c r="BA115" s="73" t="s">
        <v>77</v>
      </c>
      <c r="BB115" s="65" t="s">
        <v>98</v>
      </c>
      <c r="BC115" s="65">
        <v>31</v>
      </c>
      <c r="BD115" s="65" t="s">
        <v>98</v>
      </c>
      <c r="BE115" s="211" t="str">
        <f t="shared" si="181"/>
        <v>96, POYOWA BESAR,</v>
      </c>
    </row>
    <row r="116" spans="1:57" s="211" customFormat="1" ht="15.75" customHeight="1">
      <c r="A116" s="36" t="s">
        <v>78</v>
      </c>
      <c r="B116" s="36">
        <f>B106+1</f>
        <v>9</v>
      </c>
      <c r="C116" s="33" t="s">
        <v>99</v>
      </c>
      <c r="D116" s="37" t="s">
        <v>101</v>
      </c>
      <c r="E116" s="38">
        <v>1</v>
      </c>
      <c r="F116" s="39">
        <v>1</v>
      </c>
      <c r="G116" s="243" t="s">
        <v>80</v>
      </c>
      <c r="H116" s="35">
        <v>1</v>
      </c>
      <c r="I116" s="48" t="s">
        <v>979</v>
      </c>
      <c r="J116" s="54">
        <v>0.71298039059999996</v>
      </c>
      <c r="K116" s="54">
        <v>124.32480779079999</v>
      </c>
      <c r="L116" s="116" t="s">
        <v>116</v>
      </c>
      <c r="M116" s="56" t="str">
        <f t="shared" si="206"/>
        <v>SULAWESU UTARA</v>
      </c>
      <c r="N116" s="76" t="s">
        <v>105</v>
      </c>
      <c r="O116" s="49" t="s">
        <v>118</v>
      </c>
      <c r="P116" s="76" t="s">
        <v>119</v>
      </c>
      <c r="Q116" s="49">
        <v>95717</v>
      </c>
      <c r="R116" s="51"/>
      <c r="S116" s="52"/>
      <c r="T116" s="53"/>
      <c r="U116" s="52"/>
      <c r="V116" s="53"/>
      <c r="W116" s="50" t="s">
        <v>105</v>
      </c>
      <c r="X116" s="54"/>
      <c r="Y116" s="56" t="s">
        <v>106</v>
      </c>
      <c r="Z116" s="56" t="str">
        <f t="shared" si="97"/>
        <v>KELURAHAN POYOWA BESAR SATU KOTAMOBAGU</v>
      </c>
      <c r="AA116" s="55"/>
      <c r="AB116" s="55"/>
      <c r="AC116" s="55" t="s">
        <v>70</v>
      </c>
      <c r="AD116" s="116" t="s">
        <v>119</v>
      </c>
      <c r="AE116" s="57"/>
      <c r="AF116" s="57"/>
      <c r="AG116" s="57"/>
      <c r="AH116" s="57"/>
      <c r="AI116" s="58"/>
      <c r="AJ116" s="114" t="s">
        <v>419</v>
      </c>
      <c r="AK116" s="55" t="s">
        <v>96</v>
      </c>
      <c r="AL116" s="62"/>
      <c r="AM116" s="184"/>
      <c r="AN116" s="184"/>
      <c r="AO116" s="184"/>
      <c r="AP116" s="184"/>
      <c r="AQ116" s="185" t="s">
        <v>97</v>
      </c>
      <c r="AR116" s="59" t="s">
        <v>349</v>
      </c>
      <c r="AS116" s="60" t="str">
        <f>AS70</f>
        <v>KPBS-1.019</v>
      </c>
      <c r="AT116" s="60" t="str">
        <f>G116</f>
        <v>B01</v>
      </c>
      <c r="AU116" s="61"/>
      <c r="AV116" s="201">
        <v>0.71314513800000001</v>
      </c>
      <c r="AW116" s="201">
        <v>124.32456140159999</v>
      </c>
      <c r="AX116" s="62" t="s">
        <v>98</v>
      </c>
      <c r="AY116" s="62" t="s">
        <v>94</v>
      </c>
      <c r="AZ116" s="62" t="s">
        <v>94</v>
      </c>
      <c r="BA116" s="63" t="s">
        <v>77</v>
      </c>
      <c r="BB116" s="62" t="s">
        <v>98</v>
      </c>
      <c r="BC116" s="62">
        <v>31</v>
      </c>
      <c r="BD116" s="62" t="s">
        <v>98</v>
      </c>
      <c r="BE116" s="211" t="str">
        <f t="shared" ref="BE116:BE129" si="209">AJ116&amp;", "&amp;AD116&amp;","&amp;AI116</f>
        <v>167, POYOWA BESAR,</v>
      </c>
    </row>
    <row r="117" spans="1:57" s="211" customFormat="1" ht="15.75" customHeight="1">
      <c r="A117" s="46"/>
      <c r="B117" s="46"/>
      <c r="C117" s="22" t="s">
        <v>99</v>
      </c>
      <c r="D117" s="22" t="s">
        <v>101</v>
      </c>
      <c r="E117" s="33">
        <v>1</v>
      </c>
      <c r="F117" s="47">
        <f>F116+1</f>
        <v>2</v>
      </c>
      <c r="G117" s="244"/>
      <c r="H117" s="23">
        <v>2</v>
      </c>
      <c r="I117" s="64" t="str">
        <f t="shared" ref="I117:M117" si="210">I116</f>
        <v>EXT.MR.KTG.KPBS.P050</v>
      </c>
      <c r="J117" s="64">
        <f t="shared" si="210"/>
        <v>0.71298039059999996</v>
      </c>
      <c r="K117" s="64">
        <f t="shared" si="210"/>
        <v>124.32480779079999</v>
      </c>
      <c r="L117" s="64" t="str">
        <f t="shared" si="210"/>
        <v>JL. RAYA POYOWA BESAR</v>
      </c>
      <c r="M117" s="64" t="str">
        <f t="shared" si="210"/>
        <v>SULAWESU UTARA</v>
      </c>
      <c r="N117" s="65" t="s">
        <v>105</v>
      </c>
      <c r="O117" s="66" t="s">
        <v>118</v>
      </c>
      <c r="P117" s="65" t="s">
        <v>119</v>
      </c>
      <c r="Q117" s="66">
        <v>95717</v>
      </c>
      <c r="R117" s="67"/>
      <c r="S117" s="68"/>
      <c r="T117" s="68"/>
      <c r="U117" s="68"/>
      <c r="V117" s="68"/>
      <c r="W117" s="65" t="s">
        <v>105</v>
      </c>
      <c r="X117" s="64"/>
      <c r="Y117" s="64" t="s">
        <v>106</v>
      </c>
      <c r="Z117" s="64" t="str">
        <f t="shared" si="97"/>
        <v>KELURAHAN POYOWA BESAR SATU KOTAMOBAGU</v>
      </c>
      <c r="AA117" s="65"/>
      <c r="AB117" s="65"/>
      <c r="AC117" s="65" t="s">
        <v>70</v>
      </c>
      <c r="AD117" s="64" t="str">
        <f t="shared" ref="AD117" si="211">AD116</f>
        <v>POYOWA BESAR</v>
      </c>
      <c r="AE117" s="67"/>
      <c r="AF117" s="67"/>
      <c r="AG117" s="67"/>
      <c r="AH117" s="67"/>
      <c r="AI117" s="69"/>
      <c r="AJ117" s="11" t="s">
        <v>420</v>
      </c>
      <c r="AK117" s="65" t="s">
        <v>96</v>
      </c>
      <c r="AL117" s="65"/>
      <c r="AM117" s="176"/>
      <c r="AN117" s="176"/>
      <c r="AO117" s="176"/>
      <c r="AP117" s="176"/>
      <c r="AQ117" s="177" t="s">
        <v>97</v>
      </c>
      <c r="AR117" s="70" t="s">
        <v>349</v>
      </c>
      <c r="AS117" s="71" t="str">
        <f t="shared" ref="AS117:AT117" si="212">AS116</f>
        <v>KPBS-1.019</v>
      </c>
      <c r="AT117" s="71" t="str">
        <f t="shared" si="212"/>
        <v>B01</v>
      </c>
      <c r="AU117" s="72"/>
      <c r="AV117" s="202">
        <v>0.71336585129999996</v>
      </c>
      <c r="AW117" s="202">
        <v>124.3248274972</v>
      </c>
      <c r="AX117" s="65" t="s">
        <v>98</v>
      </c>
      <c r="AY117" s="65" t="s">
        <v>94</v>
      </c>
      <c r="AZ117" s="65" t="s">
        <v>94</v>
      </c>
      <c r="BA117" s="73" t="s">
        <v>77</v>
      </c>
      <c r="BB117" s="65" t="s">
        <v>98</v>
      </c>
      <c r="BC117" s="65">
        <v>31</v>
      </c>
      <c r="BD117" s="65" t="s">
        <v>98</v>
      </c>
      <c r="BE117" s="211" t="str">
        <f t="shared" si="209"/>
        <v>169, POYOWA BESAR,</v>
      </c>
    </row>
    <row r="118" spans="1:57" s="211" customFormat="1" ht="15.75" customHeight="1">
      <c r="A118" s="221"/>
      <c r="B118" s="222"/>
      <c r="C118" s="222"/>
      <c r="D118" s="222"/>
      <c r="E118" s="222"/>
      <c r="F118" s="222"/>
      <c r="G118" s="223"/>
      <c r="H118" s="23">
        <v>3</v>
      </c>
      <c r="I118" s="64" t="str">
        <f t="shared" ref="I118:M118" si="213">I117</f>
        <v>EXT.MR.KTG.KPBS.P050</v>
      </c>
      <c r="J118" s="64">
        <f t="shared" si="213"/>
        <v>0.71298039059999996</v>
      </c>
      <c r="K118" s="64">
        <f t="shared" si="213"/>
        <v>124.32480779079999</v>
      </c>
      <c r="L118" s="64" t="str">
        <f t="shared" si="213"/>
        <v>JL. RAYA POYOWA BESAR</v>
      </c>
      <c r="M118" s="64" t="str">
        <f t="shared" si="213"/>
        <v>SULAWESU UTARA</v>
      </c>
      <c r="N118" s="65" t="s">
        <v>105</v>
      </c>
      <c r="O118" s="66" t="s">
        <v>118</v>
      </c>
      <c r="P118" s="65" t="s">
        <v>119</v>
      </c>
      <c r="Q118" s="66">
        <v>95717</v>
      </c>
      <c r="R118" s="67"/>
      <c r="S118" s="68"/>
      <c r="T118" s="68"/>
      <c r="U118" s="68"/>
      <c r="V118" s="68"/>
      <c r="W118" s="65" t="s">
        <v>105</v>
      </c>
      <c r="X118" s="64"/>
      <c r="Y118" s="64" t="s">
        <v>106</v>
      </c>
      <c r="Z118" s="64" t="str">
        <f t="shared" si="97"/>
        <v>KELURAHAN POYOWA BESAR SATU KOTAMOBAGU</v>
      </c>
      <c r="AA118" s="65"/>
      <c r="AB118" s="65"/>
      <c r="AC118" s="65" t="s">
        <v>70</v>
      </c>
      <c r="AD118" s="64" t="str">
        <f t="shared" ref="AD118" si="214">AD117</f>
        <v>POYOWA BESAR</v>
      </c>
      <c r="AE118" s="67"/>
      <c r="AF118" s="67"/>
      <c r="AG118" s="67"/>
      <c r="AH118" s="67"/>
      <c r="AI118" s="69"/>
      <c r="AJ118" s="11" t="s">
        <v>421</v>
      </c>
      <c r="AK118" s="65" t="s">
        <v>96</v>
      </c>
      <c r="AL118" s="65"/>
      <c r="AM118" s="176"/>
      <c r="AN118" s="176"/>
      <c r="AO118" s="176"/>
      <c r="AP118" s="176"/>
      <c r="AQ118" s="177" t="s">
        <v>97</v>
      </c>
      <c r="AR118" s="70" t="s">
        <v>349</v>
      </c>
      <c r="AS118" s="71" t="str">
        <f t="shared" ref="AS118:AT118" si="215">AS117</f>
        <v>KPBS-1.019</v>
      </c>
      <c r="AT118" s="71" t="str">
        <f t="shared" si="215"/>
        <v>B01</v>
      </c>
      <c r="AU118" s="72"/>
      <c r="AV118" s="202">
        <v>0.71330451959999996</v>
      </c>
      <c r="AW118" s="202">
        <v>124.3248559991</v>
      </c>
      <c r="AX118" s="65" t="s">
        <v>98</v>
      </c>
      <c r="AY118" s="65" t="s">
        <v>94</v>
      </c>
      <c r="AZ118" s="65" t="s">
        <v>94</v>
      </c>
      <c r="BA118" s="73" t="s">
        <v>77</v>
      </c>
      <c r="BB118" s="65" t="s">
        <v>98</v>
      </c>
      <c r="BC118" s="65">
        <v>31</v>
      </c>
      <c r="BD118" s="65" t="s">
        <v>98</v>
      </c>
      <c r="BE118" s="211" t="str">
        <f t="shared" si="209"/>
        <v>168, POYOWA BESAR,</v>
      </c>
    </row>
    <row r="119" spans="1:57" s="211" customFormat="1" ht="15.75" customHeight="1">
      <c r="A119" s="224"/>
      <c r="B119" s="225"/>
      <c r="C119" s="225"/>
      <c r="D119" s="225"/>
      <c r="E119" s="225"/>
      <c r="F119" s="225"/>
      <c r="G119" s="226"/>
      <c r="H119" s="23">
        <v>4</v>
      </c>
      <c r="I119" s="64" t="str">
        <f t="shared" ref="I119:M119" si="216">I118</f>
        <v>EXT.MR.KTG.KPBS.P050</v>
      </c>
      <c r="J119" s="64">
        <f t="shared" si="216"/>
        <v>0.71298039059999996</v>
      </c>
      <c r="K119" s="64">
        <f t="shared" si="216"/>
        <v>124.32480779079999</v>
      </c>
      <c r="L119" s="64" t="str">
        <f t="shared" si="216"/>
        <v>JL. RAYA POYOWA BESAR</v>
      </c>
      <c r="M119" s="64" t="str">
        <f t="shared" si="216"/>
        <v>SULAWESU UTARA</v>
      </c>
      <c r="N119" s="65" t="s">
        <v>105</v>
      </c>
      <c r="O119" s="66" t="s">
        <v>118</v>
      </c>
      <c r="P119" s="65" t="s">
        <v>119</v>
      </c>
      <c r="Q119" s="66">
        <v>95717</v>
      </c>
      <c r="R119" s="67"/>
      <c r="S119" s="68"/>
      <c r="T119" s="68"/>
      <c r="U119" s="68"/>
      <c r="V119" s="68"/>
      <c r="W119" s="65" t="s">
        <v>105</v>
      </c>
      <c r="X119" s="64"/>
      <c r="Y119" s="64" t="s">
        <v>106</v>
      </c>
      <c r="Z119" s="64" t="str">
        <f t="shared" si="97"/>
        <v>KELURAHAN POYOWA BESAR SATU KOTAMOBAGU</v>
      </c>
      <c r="AA119" s="65"/>
      <c r="AB119" s="65"/>
      <c r="AC119" s="65" t="s">
        <v>70</v>
      </c>
      <c r="AD119" s="64" t="str">
        <f t="shared" ref="AD119" si="217">AD118</f>
        <v>POYOWA BESAR</v>
      </c>
      <c r="AE119" s="67"/>
      <c r="AF119" s="67"/>
      <c r="AG119" s="67"/>
      <c r="AH119" s="67"/>
      <c r="AI119" s="69"/>
      <c r="AJ119" s="11" t="s">
        <v>422</v>
      </c>
      <c r="AK119" s="65" t="s">
        <v>96</v>
      </c>
      <c r="AL119" s="65"/>
      <c r="AM119" s="176"/>
      <c r="AN119" s="176"/>
      <c r="AO119" s="176"/>
      <c r="AP119" s="176"/>
      <c r="AQ119" s="177" t="s">
        <v>97</v>
      </c>
      <c r="AR119" s="70" t="s">
        <v>349</v>
      </c>
      <c r="AS119" s="71" t="str">
        <f t="shared" ref="AS119:AT119" si="218">AS118</f>
        <v>KPBS-1.019</v>
      </c>
      <c r="AT119" s="71" t="str">
        <f t="shared" si="218"/>
        <v>B01</v>
      </c>
      <c r="AU119" s="72"/>
      <c r="AV119" s="202">
        <v>0.71321179820000002</v>
      </c>
      <c r="AW119" s="202">
        <v>124.3248600518</v>
      </c>
      <c r="AX119" s="65" t="s">
        <v>98</v>
      </c>
      <c r="AY119" s="65" t="s">
        <v>94</v>
      </c>
      <c r="AZ119" s="65" t="s">
        <v>94</v>
      </c>
      <c r="BA119" s="73" t="s">
        <v>77</v>
      </c>
      <c r="BB119" s="65" t="s">
        <v>98</v>
      </c>
      <c r="BC119" s="65">
        <v>31</v>
      </c>
      <c r="BD119" s="65" t="s">
        <v>98</v>
      </c>
      <c r="BE119" s="211" t="str">
        <f t="shared" si="209"/>
        <v>166, POYOWA BESAR,</v>
      </c>
    </row>
    <row r="120" spans="1:57" s="211" customFormat="1" ht="15.75" customHeight="1">
      <c r="A120" s="224"/>
      <c r="B120" s="225"/>
      <c r="C120" s="225"/>
      <c r="D120" s="225"/>
      <c r="E120" s="225"/>
      <c r="F120" s="225"/>
      <c r="G120" s="226"/>
      <c r="H120" s="23">
        <v>5</v>
      </c>
      <c r="I120" s="64" t="str">
        <f t="shared" ref="I120:M120" si="219">I119</f>
        <v>EXT.MR.KTG.KPBS.P050</v>
      </c>
      <c r="J120" s="64">
        <f t="shared" si="219"/>
        <v>0.71298039059999996</v>
      </c>
      <c r="K120" s="64">
        <f t="shared" si="219"/>
        <v>124.32480779079999</v>
      </c>
      <c r="L120" s="64" t="str">
        <f t="shared" si="219"/>
        <v>JL. RAYA POYOWA BESAR</v>
      </c>
      <c r="M120" s="64" t="str">
        <f t="shared" si="219"/>
        <v>SULAWESU UTARA</v>
      </c>
      <c r="N120" s="65" t="s">
        <v>105</v>
      </c>
      <c r="O120" s="66" t="s">
        <v>118</v>
      </c>
      <c r="P120" s="65" t="s">
        <v>119</v>
      </c>
      <c r="Q120" s="66">
        <v>95717</v>
      </c>
      <c r="R120" s="67"/>
      <c r="S120" s="68"/>
      <c r="T120" s="68"/>
      <c r="U120" s="68"/>
      <c r="V120" s="68"/>
      <c r="W120" s="65" t="s">
        <v>105</v>
      </c>
      <c r="X120" s="64"/>
      <c r="Y120" s="64" t="s">
        <v>106</v>
      </c>
      <c r="Z120" s="64" t="str">
        <f t="shared" si="97"/>
        <v>KELURAHAN POYOWA BESAR SATU KOTAMOBAGU</v>
      </c>
      <c r="AA120" s="65"/>
      <c r="AB120" s="65"/>
      <c r="AC120" s="65" t="s">
        <v>70</v>
      </c>
      <c r="AD120" s="64" t="str">
        <f t="shared" ref="AD120" si="220">AD119</f>
        <v>POYOWA BESAR</v>
      </c>
      <c r="AE120" s="67"/>
      <c r="AF120" s="67"/>
      <c r="AG120" s="67"/>
      <c r="AH120" s="67"/>
      <c r="AI120" s="69"/>
      <c r="AJ120" s="11" t="s">
        <v>423</v>
      </c>
      <c r="AK120" s="65" t="s">
        <v>96</v>
      </c>
      <c r="AL120" s="65"/>
      <c r="AM120" s="176"/>
      <c r="AN120" s="176"/>
      <c r="AO120" s="176"/>
      <c r="AP120" s="176"/>
      <c r="AQ120" s="177" t="s">
        <v>97</v>
      </c>
      <c r="AR120" s="70" t="s">
        <v>349</v>
      </c>
      <c r="AS120" s="71" t="str">
        <f t="shared" ref="AS120:AT120" si="221">AS119</f>
        <v>KPBS-1.019</v>
      </c>
      <c r="AT120" s="71" t="str">
        <f t="shared" si="221"/>
        <v>B01</v>
      </c>
      <c r="AU120" s="72"/>
      <c r="AV120" s="202">
        <v>0.71314785879999998</v>
      </c>
      <c r="AW120" s="202">
        <v>124.32488855939999</v>
      </c>
      <c r="AX120" s="65" t="s">
        <v>98</v>
      </c>
      <c r="AY120" s="65" t="s">
        <v>94</v>
      </c>
      <c r="AZ120" s="65" t="s">
        <v>94</v>
      </c>
      <c r="BA120" s="73" t="s">
        <v>77</v>
      </c>
      <c r="BB120" s="65" t="s">
        <v>98</v>
      </c>
      <c r="BC120" s="65">
        <v>31</v>
      </c>
      <c r="BD120" s="65" t="s">
        <v>98</v>
      </c>
      <c r="BE120" s="211" t="str">
        <f t="shared" si="209"/>
        <v>165, POYOWA BESAR,</v>
      </c>
    </row>
    <row r="121" spans="1:57" s="211" customFormat="1" ht="15.75" customHeight="1">
      <c r="A121" s="224"/>
      <c r="B121" s="225"/>
      <c r="C121" s="225"/>
      <c r="D121" s="225"/>
      <c r="E121" s="225"/>
      <c r="F121" s="225"/>
      <c r="G121" s="226"/>
      <c r="H121" s="23">
        <v>6</v>
      </c>
      <c r="I121" s="64" t="str">
        <f t="shared" ref="I121:M121" si="222">I120</f>
        <v>EXT.MR.KTG.KPBS.P050</v>
      </c>
      <c r="J121" s="64">
        <f t="shared" si="222"/>
        <v>0.71298039059999996</v>
      </c>
      <c r="K121" s="64">
        <f t="shared" si="222"/>
        <v>124.32480779079999</v>
      </c>
      <c r="L121" s="64" t="str">
        <f t="shared" si="222"/>
        <v>JL. RAYA POYOWA BESAR</v>
      </c>
      <c r="M121" s="64" t="str">
        <f t="shared" si="222"/>
        <v>SULAWESU UTARA</v>
      </c>
      <c r="N121" s="65" t="s">
        <v>105</v>
      </c>
      <c r="O121" s="66" t="s">
        <v>118</v>
      </c>
      <c r="P121" s="65" t="s">
        <v>119</v>
      </c>
      <c r="Q121" s="66">
        <v>95717</v>
      </c>
      <c r="R121" s="67"/>
      <c r="S121" s="68"/>
      <c r="T121" s="74"/>
      <c r="U121" s="74"/>
      <c r="V121" s="74"/>
      <c r="W121" s="65" t="s">
        <v>105</v>
      </c>
      <c r="X121" s="64"/>
      <c r="Y121" s="64" t="s">
        <v>106</v>
      </c>
      <c r="Z121" s="64" t="str">
        <f t="shared" si="97"/>
        <v>KELURAHAN POYOWA BESAR SATU KOTAMOBAGU</v>
      </c>
      <c r="AA121" s="65"/>
      <c r="AB121" s="65"/>
      <c r="AC121" s="65" t="s">
        <v>70</v>
      </c>
      <c r="AD121" s="64" t="str">
        <f t="shared" ref="AD121" si="223">AD120</f>
        <v>POYOWA BESAR</v>
      </c>
      <c r="AE121" s="75"/>
      <c r="AF121" s="75"/>
      <c r="AG121" s="75"/>
      <c r="AH121" s="75"/>
      <c r="AI121" s="69"/>
      <c r="AJ121" s="11" t="s">
        <v>424</v>
      </c>
      <c r="AK121" s="65" t="s">
        <v>96</v>
      </c>
      <c r="AL121" s="65"/>
      <c r="AM121" s="176"/>
      <c r="AN121" s="176"/>
      <c r="AO121" s="176"/>
      <c r="AP121" s="176"/>
      <c r="AQ121" s="186" t="s">
        <v>97</v>
      </c>
      <c r="AR121" s="70" t="s">
        <v>349</v>
      </c>
      <c r="AS121" s="71" t="str">
        <f t="shared" ref="AS121:AT121" si="224">AS120</f>
        <v>KPBS-1.019</v>
      </c>
      <c r="AT121" s="71" t="str">
        <f t="shared" si="224"/>
        <v>B01</v>
      </c>
      <c r="AU121" s="72"/>
      <c r="AV121" s="202">
        <v>0.71310024439999997</v>
      </c>
      <c r="AW121" s="202">
        <v>124.3246211317</v>
      </c>
      <c r="AX121" s="65" t="s">
        <v>98</v>
      </c>
      <c r="AY121" s="65" t="s">
        <v>94</v>
      </c>
      <c r="AZ121" s="65" t="s">
        <v>94</v>
      </c>
      <c r="BA121" s="73" t="s">
        <v>77</v>
      </c>
      <c r="BB121" s="65" t="s">
        <v>98</v>
      </c>
      <c r="BC121" s="65">
        <v>31</v>
      </c>
      <c r="BD121" s="65" t="s">
        <v>98</v>
      </c>
      <c r="BE121" s="211" t="str">
        <f t="shared" si="209"/>
        <v>164, POYOWA BESAR,</v>
      </c>
    </row>
    <row r="122" spans="1:57" s="211" customFormat="1" ht="15.75" customHeight="1">
      <c r="A122" s="224"/>
      <c r="B122" s="225"/>
      <c r="C122" s="225"/>
      <c r="D122" s="225"/>
      <c r="E122" s="225"/>
      <c r="F122" s="225"/>
      <c r="G122" s="226"/>
      <c r="H122" s="23">
        <v>7</v>
      </c>
      <c r="I122" s="64" t="str">
        <f t="shared" ref="I122:M122" si="225">I121</f>
        <v>EXT.MR.KTG.KPBS.P050</v>
      </c>
      <c r="J122" s="64">
        <f t="shared" si="225"/>
        <v>0.71298039059999996</v>
      </c>
      <c r="K122" s="64">
        <f t="shared" si="225"/>
        <v>124.32480779079999</v>
      </c>
      <c r="L122" s="64" t="str">
        <f t="shared" si="225"/>
        <v>JL. RAYA POYOWA BESAR</v>
      </c>
      <c r="M122" s="64" t="str">
        <f t="shared" si="225"/>
        <v>SULAWESU UTARA</v>
      </c>
      <c r="N122" s="65" t="s">
        <v>105</v>
      </c>
      <c r="O122" s="66" t="s">
        <v>118</v>
      </c>
      <c r="P122" s="65" t="s">
        <v>119</v>
      </c>
      <c r="Q122" s="66">
        <v>95717</v>
      </c>
      <c r="R122" s="67"/>
      <c r="S122" s="68"/>
      <c r="T122" s="68"/>
      <c r="U122" s="68"/>
      <c r="V122" s="68"/>
      <c r="W122" s="65" t="s">
        <v>105</v>
      </c>
      <c r="X122" s="64"/>
      <c r="Y122" s="64" t="s">
        <v>106</v>
      </c>
      <c r="Z122" s="64" t="str">
        <f t="shared" si="97"/>
        <v>KELURAHAN POYOWA BESAR SATU KOTAMOBAGU</v>
      </c>
      <c r="AA122" s="65"/>
      <c r="AB122" s="65"/>
      <c r="AC122" s="65" t="s">
        <v>70</v>
      </c>
      <c r="AD122" s="64" t="str">
        <f t="shared" ref="AD122" si="226">AD121</f>
        <v>POYOWA BESAR</v>
      </c>
      <c r="AE122" s="67"/>
      <c r="AF122" s="67"/>
      <c r="AG122" s="67"/>
      <c r="AH122" s="67"/>
      <c r="AI122" s="69"/>
      <c r="AJ122" s="11" t="s">
        <v>425</v>
      </c>
      <c r="AK122" s="65" t="s">
        <v>96</v>
      </c>
      <c r="AL122" s="65"/>
      <c r="AM122" s="65"/>
      <c r="AN122" s="65"/>
      <c r="AO122" s="65"/>
      <c r="AP122" s="65"/>
      <c r="AQ122" s="177" t="s">
        <v>97</v>
      </c>
      <c r="AR122" s="70" t="s">
        <v>349</v>
      </c>
      <c r="AS122" s="71" t="str">
        <f t="shared" ref="AS122:AT122" si="227">AS121</f>
        <v>KPBS-1.019</v>
      </c>
      <c r="AT122" s="71" t="str">
        <f t="shared" si="227"/>
        <v>B01</v>
      </c>
      <c r="AU122" s="72"/>
      <c r="AV122" s="202">
        <v>0.71303331510000001</v>
      </c>
      <c r="AW122" s="202">
        <v>124.3246523415</v>
      </c>
      <c r="AX122" s="65" t="s">
        <v>98</v>
      </c>
      <c r="AY122" s="65" t="s">
        <v>94</v>
      </c>
      <c r="AZ122" s="65" t="s">
        <v>94</v>
      </c>
      <c r="BA122" s="73" t="s">
        <v>77</v>
      </c>
      <c r="BB122" s="65" t="s">
        <v>98</v>
      </c>
      <c r="BC122" s="65">
        <v>31</v>
      </c>
      <c r="BD122" s="65" t="s">
        <v>98</v>
      </c>
      <c r="BE122" s="211" t="str">
        <f t="shared" si="209"/>
        <v>162, POYOWA BESAR,</v>
      </c>
    </row>
    <row r="123" spans="1:57" s="211" customFormat="1" ht="15.75" customHeight="1">
      <c r="A123" s="224"/>
      <c r="B123" s="225"/>
      <c r="C123" s="225"/>
      <c r="D123" s="225"/>
      <c r="E123" s="225"/>
      <c r="F123" s="225"/>
      <c r="G123" s="226"/>
      <c r="H123" s="23">
        <v>8</v>
      </c>
      <c r="I123" s="64" t="str">
        <f t="shared" ref="I123:M123" si="228">I122</f>
        <v>EXT.MR.KTG.KPBS.P050</v>
      </c>
      <c r="J123" s="64">
        <f t="shared" si="228"/>
        <v>0.71298039059999996</v>
      </c>
      <c r="K123" s="64">
        <f t="shared" si="228"/>
        <v>124.32480779079999</v>
      </c>
      <c r="L123" s="64" t="str">
        <f t="shared" si="228"/>
        <v>JL. RAYA POYOWA BESAR</v>
      </c>
      <c r="M123" s="64" t="str">
        <f t="shared" si="228"/>
        <v>SULAWESU UTARA</v>
      </c>
      <c r="N123" s="65" t="s">
        <v>105</v>
      </c>
      <c r="O123" s="66" t="s">
        <v>118</v>
      </c>
      <c r="P123" s="65" t="s">
        <v>119</v>
      </c>
      <c r="Q123" s="66">
        <v>95717</v>
      </c>
      <c r="R123" s="67"/>
      <c r="S123" s="68"/>
      <c r="T123" s="68"/>
      <c r="U123" s="68"/>
      <c r="V123" s="68"/>
      <c r="W123" s="64" t="s">
        <v>105</v>
      </c>
      <c r="X123" s="64"/>
      <c r="Y123" s="64" t="s">
        <v>106</v>
      </c>
      <c r="Z123" s="64" t="str">
        <f t="shared" si="97"/>
        <v>KELURAHAN POYOWA BESAR SATU KOTAMOBAGU</v>
      </c>
      <c r="AA123" s="65"/>
      <c r="AB123" s="65"/>
      <c r="AC123" s="65" t="s">
        <v>70</v>
      </c>
      <c r="AD123" s="64" t="str">
        <f t="shared" ref="AD123" si="229">AD122</f>
        <v>POYOWA BESAR</v>
      </c>
      <c r="AE123" s="67"/>
      <c r="AF123" s="67"/>
      <c r="AG123" s="67"/>
      <c r="AH123" s="67"/>
      <c r="AI123" s="69"/>
      <c r="AJ123" s="11" t="s">
        <v>426</v>
      </c>
      <c r="AK123" s="65" t="s">
        <v>96</v>
      </c>
      <c r="AL123" s="65"/>
      <c r="AM123" s="65"/>
      <c r="AN123" s="65"/>
      <c r="AO123" s="65"/>
      <c r="AP123" s="65"/>
      <c r="AQ123" s="177" t="s">
        <v>97</v>
      </c>
      <c r="AR123" s="70" t="s">
        <v>349</v>
      </c>
      <c r="AS123" s="71" t="str">
        <f t="shared" ref="AS123:AT123" si="230">AS122</f>
        <v>KPBS-1.019</v>
      </c>
      <c r="AT123" s="71" t="str">
        <f t="shared" si="230"/>
        <v>B01</v>
      </c>
      <c r="AU123" s="72"/>
      <c r="AV123" s="202">
        <v>0.71306187759999995</v>
      </c>
      <c r="AW123" s="202">
        <v>124.3249034793</v>
      </c>
      <c r="AX123" s="65" t="s">
        <v>98</v>
      </c>
      <c r="AY123" s="65" t="s">
        <v>94</v>
      </c>
      <c r="AZ123" s="65" t="s">
        <v>94</v>
      </c>
      <c r="BA123" s="73" t="s">
        <v>77</v>
      </c>
      <c r="BB123" s="65" t="s">
        <v>98</v>
      </c>
      <c r="BC123" s="65">
        <v>31</v>
      </c>
      <c r="BD123" s="65" t="s">
        <v>98</v>
      </c>
      <c r="BE123" s="211" t="str">
        <f t="shared" si="209"/>
        <v>163, POYOWA BESAR,</v>
      </c>
    </row>
    <row r="124" spans="1:57" s="211" customFormat="1" ht="15.75" customHeight="1">
      <c r="A124" s="224"/>
      <c r="B124" s="225"/>
      <c r="C124" s="225"/>
      <c r="D124" s="225"/>
      <c r="E124" s="225"/>
      <c r="F124" s="225"/>
      <c r="G124" s="226"/>
      <c r="H124" s="23">
        <v>9</v>
      </c>
      <c r="I124" s="64" t="str">
        <f t="shared" ref="I124:M124" si="231">I123</f>
        <v>EXT.MR.KTG.KPBS.P050</v>
      </c>
      <c r="J124" s="64">
        <f t="shared" si="231"/>
        <v>0.71298039059999996</v>
      </c>
      <c r="K124" s="64">
        <f t="shared" si="231"/>
        <v>124.32480779079999</v>
      </c>
      <c r="L124" s="64" t="str">
        <f t="shared" si="231"/>
        <v>JL. RAYA POYOWA BESAR</v>
      </c>
      <c r="M124" s="64" t="str">
        <f t="shared" si="231"/>
        <v>SULAWESU UTARA</v>
      </c>
      <c r="N124" s="65" t="s">
        <v>105</v>
      </c>
      <c r="O124" s="66" t="s">
        <v>118</v>
      </c>
      <c r="P124" s="65" t="s">
        <v>119</v>
      </c>
      <c r="Q124" s="66">
        <v>95717</v>
      </c>
      <c r="R124" s="67"/>
      <c r="S124" s="68"/>
      <c r="T124" s="68"/>
      <c r="U124" s="68"/>
      <c r="V124" s="68"/>
      <c r="W124" s="64" t="s">
        <v>105</v>
      </c>
      <c r="X124" s="64"/>
      <c r="Y124" s="64" t="s">
        <v>106</v>
      </c>
      <c r="Z124" s="64" t="str">
        <f t="shared" si="97"/>
        <v>KELURAHAN POYOWA BESAR SATU KOTAMOBAGU</v>
      </c>
      <c r="AA124" s="65"/>
      <c r="AB124" s="65"/>
      <c r="AC124" s="65" t="s">
        <v>70</v>
      </c>
      <c r="AD124" s="64" t="str">
        <f t="shared" ref="AD124" si="232">AD123</f>
        <v>POYOWA BESAR</v>
      </c>
      <c r="AE124" s="67"/>
      <c r="AF124" s="67"/>
      <c r="AG124" s="67"/>
      <c r="AH124" s="67"/>
      <c r="AI124" s="69"/>
      <c r="AJ124" s="11" t="s">
        <v>427</v>
      </c>
      <c r="AK124" s="65" t="s">
        <v>96</v>
      </c>
      <c r="AL124" s="65"/>
      <c r="AM124" s="65"/>
      <c r="AN124" s="65"/>
      <c r="AO124" s="65"/>
      <c r="AP124" s="65"/>
      <c r="AQ124" s="177" t="s">
        <v>97</v>
      </c>
      <c r="AR124" s="70" t="s">
        <v>349</v>
      </c>
      <c r="AS124" s="71" t="str">
        <f t="shared" ref="AS124:AT124" si="233">AS123</f>
        <v>KPBS-1.019</v>
      </c>
      <c r="AT124" s="71" t="str">
        <f t="shared" si="233"/>
        <v>B01</v>
      </c>
      <c r="AU124" s="72"/>
      <c r="AV124" s="202">
        <v>0.7129857007</v>
      </c>
      <c r="AW124" s="202">
        <v>124.3249279142</v>
      </c>
      <c r="AX124" s="65" t="s">
        <v>98</v>
      </c>
      <c r="AY124" s="65" t="s">
        <v>94</v>
      </c>
      <c r="AZ124" s="65" t="s">
        <v>94</v>
      </c>
      <c r="BA124" s="73" t="s">
        <v>77</v>
      </c>
      <c r="BB124" s="65" t="s">
        <v>98</v>
      </c>
      <c r="BC124" s="65">
        <v>31</v>
      </c>
      <c r="BD124" s="65" t="s">
        <v>98</v>
      </c>
      <c r="BE124" s="211" t="str">
        <f t="shared" si="209"/>
        <v>161, POYOWA BESAR,</v>
      </c>
    </row>
    <row r="125" spans="1:57" s="211" customFormat="1" ht="15.75" customHeight="1">
      <c r="A125" s="224"/>
      <c r="B125" s="225"/>
      <c r="C125" s="225"/>
      <c r="D125" s="225"/>
      <c r="E125" s="225"/>
      <c r="F125" s="225"/>
      <c r="G125" s="226"/>
      <c r="H125" s="23">
        <v>10</v>
      </c>
      <c r="I125" s="64" t="str">
        <f t="shared" ref="I125:M125" si="234">I124</f>
        <v>EXT.MR.KTG.KPBS.P050</v>
      </c>
      <c r="J125" s="64">
        <f t="shared" si="234"/>
        <v>0.71298039059999996</v>
      </c>
      <c r="K125" s="64">
        <f t="shared" si="234"/>
        <v>124.32480779079999</v>
      </c>
      <c r="L125" s="64" t="str">
        <f t="shared" si="234"/>
        <v>JL. RAYA POYOWA BESAR</v>
      </c>
      <c r="M125" s="64" t="str">
        <f t="shared" si="234"/>
        <v>SULAWESU UTARA</v>
      </c>
      <c r="N125" s="65" t="s">
        <v>105</v>
      </c>
      <c r="O125" s="66" t="s">
        <v>118</v>
      </c>
      <c r="P125" s="65" t="s">
        <v>119</v>
      </c>
      <c r="Q125" s="66">
        <v>95717</v>
      </c>
      <c r="R125" s="67"/>
      <c r="S125" s="68"/>
      <c r="T125" s="68"/>
      <c r="U125" s="68"/>
      <c r="V125" s="68"/>
      <c r="W125" s="64" t="s">
        <v>105</v>
      </c>
      <c r="X125" s="64"/>
      <c r="Y125" s="64" t="s">
        <v>106</v>
      </c>
      <c r="Z125" s="64" t="str">
        <f t="shared" si="97"/>
        <v>KELURAHAN POYOWA BESAR SATU KOTAMOBAGU</v>
      </c>
      <c r="AA125" s="65"/>
      <c r="AB125" s="65"/>
      <c r="AC125" s="65" t="s">
        <v>70</v>
      </c>
      <c r="AD125" s="64" t="str">
        <f t="shared" ref="AD125" si="235">AD124</f>
        <v>POYOWA BESAR</v>
      </c>
      <c r="AE125" s="67"/>
      <c r="AF125" s="67"/>
      <c r="AG125" s="67"/>
      <c r="AH125" s="67"/>
      <c r="AI125" s="69"/>
      <c r="AJ125" s="11" t="s">
        <v>428</v>
      </c>
      <c r="AK125" s="65" t="s">
        <v>96</v>
      </c>
      <c r="AL125" s="65"/>
      <c r="AM125" s="65"/>
      <c r="AN125" s="65"/>
      <c r="AO125" s="65"/>
      <c r="AP125" s="65"/>
      <c r="AQ125" s="177" t="s">
        <v>97</v>
      </c>
      <c r="AR125" s="70" t="s">
        <v>349</v>
      </c>
      <c r="AS125" s="71" t="str">
        <f t="shared" ref="AS125:AT125" si="236">AS124</f>
        <v>KPBS-1.019</v>
      </c>
      <c r="AT125" s="71" t="str">
        <f t="shared" si="236"/>
        <v>B01</v>
      </c>
      <c r="AU125" s="72"/>
      <c r="AV125" s="202">
        <v>0.71291768</v>
      </c>
      <c r="AW125" s="202">
        <v>124.3249523492</v>
      </c>
      <c r="AX125" s="65" t="s">
        <v>98</v>
      </c>
      <c r="AY125" s="65" t="s">
        <v>94</v>
      </c>
      <c r="AZ125" s="65" t="s">
        <v>94</v>
      </c>
      <c r="BA125" s="73" t="s">
        <v>77</v>
      </c>
      <c r="BB125" s="65" t="s">
        <v>98</v>
      </c>
      <c r="BC125" s="65">
        <v>31</v>
      </c>
      <c r="BD125" s="65" t="s">
        <v>98</v>
      </c>
      <c r="BE125" s="211" t="str">
        <f t="shared" si="209"/>
        <v>160, POYOWA BESAR,</v>
      </c>
    </row>
    <row r="126" spans="1:57" s="211" customFormat="1" ht="15.75" customHeight="1">
      <c r="A126" s="224"/>
      <c r="B126" s="225"/>
      <c r="C126" s="225"/>
      <c r="D126" s="225"/>
      <c r="E126" s="225"/>
      <c r="F126" s="225"/>
      <c r="G126" s="226"/>
      <c r="H126" s="23">
        <v>11</v>
      </c>
      <c r="I126" s="64" t="str">
        <f t="shared" ref="I126:M126" si="237">I125</f>
        <v>EXT.MR.KTG.KPBS.P050</v>
      </c>
      <c r="J126" s="64">
        <f t="shared" si="237"/>
        <v>0.71298039059999996</v>
      </c>
      <c r="K126" s="64">
        <f t="shared" si="237"/>
        <v>124.32480779079999</v>
      </c>
      <c r="L126" s="64" t="str">
        <f t="shared" si="237"/>
        <v>JL. RAYA POYOWA BESAR</v>
      </c>
      <c r="M126" s="64" t="str">
        <f t="shared" si="237"/>
        <v>SULAWESU UTARA</v>
      </c>
      <c r="N126" s="65" t="s">
        <v>105</v>
      </c>
      <c r="O126" s="66" t="s">
        <v>118</v>
      </c>
      <c r="P126" s="65" t="s">
        <v>119</v>
      </c>
      <c r="Q126" s="66">
        <v>95717</v>
      </c>
      <c r="R126" s="66"/>
      <c r="S126" s="66"/>
      <c r="T126" s="66"/>
      <c r="U126" s="66"/>
      <c r="V126" s="66"/>
      <c r="W126" s="64" t="s">
        <v>105</v>
      </c>
      <c r="X126" s="64"/>
      <c r="Y126" s="64" t="s">
        <v>106</v>
      </c>
      <c r="Z126" s="64" t="str">
        <f t="shared" si="97"/>
        <v>KELURAHAN POYOWA BESAR SATU KOTAMOBAGU</v>
      </c>
      <c r="AA126" s="65"/>
      <c r="AB126" s="65"/>
      <c r="AC126" s="65" t="s">
        <v>70</v>
      </c>
      <c r="AD126" s="64" t="str">
        <f t="shared" ref="AD126" si="238">AD125</f>
        <v>POYOWA BESAR</v>
      </c>
      <c r="AE126" s="66"/>
      <c r="AF126" s="66"/>
      <c r="AG126" s="66"/>
      <c r="AH126" s="66"/>
      <c r="AI126" s="69"/>
      <c r="AJ126" s="11" t="s">
        <v>429</v>
      </c>
      <c r="AK126" s="178" t="s">
        <v>96</v>
      </c>
      <c r="AL126" s="178"/>
      <c r="AM126" s="178"/>
      <c r="AN126" s="178"/>
      <c r="AO126" s="178"/>
      <c r="AP126" s="178"/>
      <c r="AQ126" s="179" t="s">
        <v>97</v>
      </c>
      <c r="AR126" s="70" t="s">
        <v>349</v>
      </c>
      <c r="AS126" s="71" t="str">
        <f t="shared" ref="AS126:AT126" si="239">AS125</f>
        <v>KPBS-1.019</v>
      </c>
      <c r="AT126" s="71" t="str">
        <f t="shared" si="239"/>
        <v>B01</v>
      </c>
      <c r="AU126" s="72"/>
      <c r="AV126" s="202">
        <v>0.712903933099999</v>
      </c>
      <c r="AW126" s="202">
        <v>124.3246916361</v>
      </c>
      <c r="AX126" s="65" t="s">
        <v>98</v>
      </c>
      <c r="AY126" s="65" t="s">
        <v>94</v>
      </c>
      <c r="AZ126" s="65" t="s">
        <v>94</v>
      </c>
      <c r="BA126" s="73" t="s">
        <v>77</v>
      </c>
      <c r="BB126" s="65" t="s">
        <v>98</v>
      </c>
      <c r="BC126" s="65">
        <v>31</v>
      </c>
      <c r="BD126" s="65" t="s">
        <v>98</v>
      </c>
      <c r="BE126" s="211" t="str">
        <f t="shared" si="209"/>
        <v>158, POYOWA BESAR,</v>
      </c>
    </row>
    <row r="127" spans="1:57" s="211" customFormat="1" ht="15.75" customHeight="1">
      <c r="A127" s="224"/>
      <c r="B127" s="225"/>
      <c r="C127" s="225"/>
      <c r="D127" s="225"/>
      <c r="E127" s="225"/>
      <c r="F127" s="225"/>
      <c r="G127" s="226"/>
      <c r="H127" s="23">
        <v>12</v>
      </c>
      <c r="I127" s="64" t="str">
        <f t="shared" ref="I127:M127" si="240">I126</f>
        <v>EXT.MR.KTG.KPBS.P050</v>
      </c>
      <c r="J127" s="64">
        <f t="shared" si="240"/>
        <v>0.71298039059999996</v>
      </c>
      <c r="K127" s="64">
        <f t="shared" si="240"/>
        <v>124.32480779079999</v>
      </c>
      <c r="L127" s="64" t="str">
        <f t="shared" si="240"/>
        <v>JL. RAYA POYOWA BESAR</v>
      </c>
      <c r="M127" s="64" t="str">
        <f t="shared" si="240"/>
        <v>SULAWESU UTARA</v>
      </c>
      <c r="N127" s="65" t="s">
        <v>105</v>
      </c>
      <c r="O127" s="66" t="s">
        <v>118</v>
      </c>
      <c r="P127" s="65" t="s">
        <v>119</v>
      </c>
      <c r="Q127" s="66">
        <v>95717</v>
      </c>
      <c r="R127" s="67"/>
      <c r="S127" s="68"/>
      <c r="T127" s="68"/>
      <c r="U127" s="68"/>
      <c r="V127" s="68"/>
      <c r="W127" s="64" t="s">
        <v>105</v>
      </c>
      <c r="X127" s="64"/>
      <c r="Y127" s="64" t="s">
        <v>106</v>
      </c>
      <c r="Z127" s="64" t="str">
        <f t="shared" si="97"/>
        <v>KELURAHAN POYOWA BESAR SATU KOTAMOBAGU</v>
      </c>
      <c r="AA127" s="65"/>
      <c r="AB127" s="65"/>
      <c r="AC127" s="65" t="s">
        <v>70</v>
      </c>
      <c r="AD127" s="64" t="str">
        <f t="shared" ref="AD127" si="241">AD126</f>
        <v>POYOWA BESAR</v>
      </c>
      <c r="AE127" s="67"/>
      <c r="AF127" s="67"/>
      <c r="AG127" s="67"/>
      <c r="AH127" s="67"/>
      <c r="AI127" s="69"/>
      <c r="AJ127" s="11" t="s">
        <v>430</v>
      </c>
      <c r="AK127" s="178" t="s">
        <v>96</v>
      </c>
      <c r="AL127" s="178"/>
      <c r="AM127" s="178"/>
      <c r="AN127" s="178"/>
      <c r="AO127" s="178"/>
      <c r="AP127" s="178"/>
      <c r="AQ127" s="179" t="s">
        <v>97</v>
      </c>
      <c r="AR127" s="70" t="s">
        <v>349</v>
      </c>
      <c r="AS127" s="71" t="str">
        <f t="shared" ref="AS127:AT127" si="242">AS126</f>
        <v>KPBS-1.019</v>
      </c>
      <c r="AT127" s="71" t="str">
        <f t="shared" si="242"/>
        <v>B01</v>
      </c>
      <c r="AU127" s="72"/>
      <c r="AV127" s="202">
        <v>0.71283047079999895</v>
      </c>
      <c r="AW127" s="202">
        <v>124.3247242162</v>
      </c>
      <c r="AX127" s="65" t="s">
        <v>98</v>
      </c>
      <c r="AY127" s="65" t="s">
        <v>94</v>
      </c>
      <c r="AZ127" s="65" t="s">
        <v>94</v>
      </c>
      <c r="BA127" s="73" t="s">
        <v>77</v>
      </c>
      <c r="BB127" s="65" t="s">
        <v>98</v>
      </c>
      <c r="BC127" s="65">
        <v>31</v>
      </c>
      <c r="BD127" s="65" t="s">
        <v>98</v>
      </c>
      <c r="BE127" s="211" t="str">
        <f t="shared" si="209"/>
        <v>157, POYOWA BESAR,</v>
      </c>
    </row>
    <row r="128" spans="1:57" s="211" customFormat="1" ht="15.75" customHeight="1">
      <c r="A128" s="224"/>
      <c r="B128" s="225"/>
      <c r="C128" s="225"/>
      <c r="D128" s="225"/>
      <c r="E128" s="225"/>
      <c r="F128" s="225"/>
      <c r="G128" s="226"/>
      <c r="H128" s="23">
        <v>13</v>
      </c>
      <c r="I128" s="64" t="str">
        <f t="shared" ref="I128:M128" si="243">I127</f>
        <v>EXT.MR.KTG.KPBS.P050</v>
      </c>
      <c r="J128" s="64">
        <f t="shared" si="243"/>
        <v>0.71298039059999996</v>
      </c>
      <c r="K128" s="64">
        <f t="shared" si="243"/>
        <v>124.32480779079999</v>
      </c>
      <c r="L128" s="64" t="str">
        <f t="shared" si="243"/>
        <v>JL. RAYA POYOWA BESAR</v>
      </c>
      <c r="M128" s="64" t="str">
        <f t="shared" si="243"/>
        <v>SULAWESU UTARA</v>
      </c>
      <c r="N128" s="65" t="s">
        <v>105</v>
      </c>
      <c r="O128" s="66" t="s">
        <v>118</v>
      </c>
      <c r="P128" s="65" t="s">
        <v>119</v>
      </c>
      <c r="Q128" s="66">
        <v>95717</v>
      </c>
      <c r="R128" s="66"/>
      <c r="S128" s="66"/>
      <c r="T128" s="66"/>
      <c r="U128" s="66"/>
      <c r="V128" s="66"/>
      <c r="W128" s="64" t="s">
        <v>105</v>
      </c>
      <c r="X128" s="64"/>
      <c r="Y128" s="64" t="s">
        <v>106</v>
      </c>
      <c r="Z128" s="64" t="str">
        <f t="shared" si="97"/>
        <v>KELURAHAN POYOWA BESAR SATU KOTAMOBAGU</v>
      </c>
      <c r="AA128" s="65"/>
      <c r="AB128" s="65"/>
      <c r="AC128" s="65" t="s">
        <v>70</v>
      </c>
      <c r="AD128" s="64" t="str">
        <f t="shared" ref="AD128" si="244">AD127</f>
        <v>POYOWA BESAR</v>
      </c>
      <c r="AE128" s="66"/>
      <c r="AF128" s="66"/>
      <c r="AG128" s="66"/>
      <c r="AH128" s="66"/>
      <c r="AI128" s="69"/>
      <c r="AJ128" s="11" t="s">
        <v>431</v>
      </c>
      <c r="AK128" s="178" t="s">
        <v>96</v>
      </c>
      <c r="AL128" s="178"/>
      <c r="AM128" s="178"/>
      <c r="AN128" s="178"/>
      <c r="AO128" s="178"/>
      <c r="AP128" s="178"/>
      <c r="AQ128" s="179" t="s">
        <v>97</v>
      </c>
      <c r="AR128" s="70" t="s">
        <v>349</v>
      </c>
      <c r="AS128" s="71" t="str">
        <f t="shared" ref="AS128:AT128" si="245">AS127</f>
        <v>KPBS-1.019</v>
      </c>
      <c r="AT128" s="71" t="str">
        <f t="shared" si="245"/>
        <v>B01</v>
      </c>
      <c r="AU128" s="72"/>
      <c r="AV128" s="202">
        <v>0.71264817549999904</v>
      </c>
      <c r="AW128" s="202">
        <v>124.32484367630001</v>
      </c>
      <c r="AX128" s="65" t="s">
        <v>98</v>
      </c>
      <c r="AY128" s="65" t="s">
        <v>94</v>
      </c>
      <c r="AZ128" s="65" t="s">
        <v>94</v>
      </c>
      <c r="BA128" s="73" t="s">
        <v>77</v>
      </c>
      <c r="BB128" s="65" t="s">
        <v>98</v>
      </c>
      <c r="BC128" s="65">
        <v>31</v>
      </c>
      <c r="BD128" s="65" t="s">
        <v>98</v>
      </c>
      <c r="BE128" s="211" t="str">
        <f t="shared" si="209"/>
        <v>159, POYOWA BESAR,</v>
      </c>
    </row>
    <row r="129" spans="1:57" s="211" customFormat="1" ht="15.75" customHeight="1">
      <c r="A129" s="224"/>
      <c r="B129" s="225"/>
      <c r="C129" s="225"/>
      <c r="D129" s="225"/>
      <c r="E129" s="225"/>
      <c r="F129" s="225"/>
      <c r="G129" s="226"/>
      <c r="H129" s="23">
        <v>14</v>
      </c>
      <c r="I129" s="64" t="str">
        <f t="shared" ref="I129:M129" si="246">I128</f>
        <v>EXT.MR.KTG.KPBS.P050</v>
      </c>
      <c r="J129" s="64">
        <f t="shared" si="246"/>
        <v>0.71298039059999996</v>
      </c>
      <c r="K129" s="64">
        <f t="shared" si="246"/>
        <v>124.32480779079999</v>
      </c>
      <c r="L129" s="64" t="str">
        <f t="shared" si="246"/>
        <v>JL. RAYA POYOWA BESAR</v>
      </c>
      <c r="M129" s="64" t="str">
        <f t="shared" si="246"/>
        <v>SULAWESU UTARA</v>
      </c>
      <c r="N129" s="65" t="s">
        <v>105</v>
      </c>
      <c r="O129" s="66" t="s">
        <v>118</v>
      </c>
      <c r="P129" s="65" t="s">
        <v>119</v>
      </c>
      <c r="Q129" s="66">
        <v>95717</v>
      </c>
      <c r="R129" s="67"/>
      <c r="S129" s="68"/>
      <c r="T129" s="68"/>
      <c r="U129" s="68"/>
      <c r="V129" s="68"/>
      <c r="W129" s="64" t="s">
        <v>105</v>
      </c>
      <c r="X129" s="64"/>
      <c r="Y129" s="64" t="s">
        <v>106</v>
      </c>
      <c r="Z129" s="64" t="str">
        <f t="shared" si="97"/>
        <v>KELURAHAN POYOWA BESAR SATU KOTAMOBAGU</v>
      </c>
      <c r="AA129" s="65"/>
      <c r="AB129" s="65"/>
      <c r="AC129" s="65" t="s">
        <v>70</v>
      </c>
      <c r="AD129" s="64" t="str">
        <f t="shared" ref="AD129" si="247">AD128</f>
        <v>POYOWA BESAR</v>
      </c>
      <c r="AE129" s="67"/>
      <c r="AF129" s="67"/>
      <c r="AG129" s="67"/>
      <c r="AH129" s="67"/>
      <c r="AI129" s="69"/>
      <c r="AJ129" s="11" t="s">
        <v>432</v>
      </c>
      <c r="AK129" s="178" t="s">
        <v>96</v>
      </c>
      <c r="AL129" s="178"/>
      <c r="AM129" s="178"/>
      <c r="AN129" s="178"/>
      <c r="AO129" s="178"/>
      <c r="AP129" s="178"/>
      <c r="AQ129" s="179" t="s">
        <v>97</v>
      </c>
      <c r="AR129" s="70" t="s">
        <v>349</v>
      </c>
      <c r="AS129" s="71" t="str">
        <f t="shared" ref="AS129:AT129" si="248">AS128</f>
        <v>KPBS-1.019</v>
      </c>
      <c r="AT129" s="71" t="str">
        <f t="shared" si="248"/>
        <v>B01</v>
      </c>
      <c r="AU129" s="72"/>
      <c r="AV129" s="202">
        <v>0.71258695699999897</v>
      </c>
      <c r="AW129" s="202">
        <v>124.3247907336</v>
      </c>
      <c r="AX129" s="65" t="s">
        <v>98</v>
      </c>
      <c r="AY129" s="65" t="s">
        <v>94</v>
      </c>
      <c r="AZ129" s="65" t="s">
        <v>94</v>
      </c>
      <c r="BA129" s="73" t="s">
        <v>77</v>
      </c>
      <c r="BB129" s="65" t="s">
        <v>98</v>
      </c>
      <c r="BC129" s="65">
        <v>31</v>
      </c>
      <c r="BD129" s="65" t="s">
        <v>98</v>
      </c>
      <c r="BE129" s="211" t="str">
        <f t="shared" si="209"/>
        <v>156, POYOWA BESAR,</v>
      </c>
    </row>
    <row r="130" spans="1:57" s="211" customFormat="1" ht="15.75" customHeight="1">
      <c r="A130" s="36" t="s">
        <v>78</v>
      </c>
      <c r="B130" s="36">
        <f>B116+1</f>
        <v>10</v>
      </c>
      <c r="C130" s="33" t="s">
        <v>99</v>
      </c>
      <c r="D130" s="33" t="s">
        <v>101</v>
      </c>
      <c r="E130" s="38">
        <v>1</v>
      </c>
      <c r="F130" s="39">
        <f>F117+1</f>
        <v>3</v>
      </c>
      <c r="G130" s="214" t="s">
        <v>81</v>
      </c>
      <c r="H130" s="35">
        <v>1</v>
      </c>
      <c r="I130" s="48" t="s">
        <v>111</v>
      </c>
      <c r="J130" s="54">
        <v>0.71261218410000005</v>
      </c>
      <c r="K130" s="54">
        <v>124.3244222165</v>
      </c>
      <c r="L130" s="112" t="s">
        <v>116</v>
      </c>
      <c r="M130" s="56" t="str">
        <f t="shared" ref="M130" si="249">M129</f>
        <v>SULAWESU UTARA</v>
      </c>
      <c r="N130" s="76" t="s">
        <v>105</v>
      </c>
      <c r="O130" s="49" t="s">
        <v>118</v>
      </c>
      <c r="P130" s="76" t="s">
        <v>119</v>
      </c>
      <c r="Q130" s="49">
        <v>95717</v>
      </c>
      <c r="R130" s="51"/>
      <c r="S130" s="52"/>
      <c r="T130" s="53"/>
      <c r="U130" s="52"/>
      <c r="V130" s="53"/>
      <c r="W130" s="50" t="s">
        <v>105</v>
      </c>
      <c r="X130" s="54"/>
      <c r="Y130" s="56" t="s">
        <v>106</v>
      </c>
      <c r="Z130" s="56" t="str">
        <f t="shared" si="97"/>
        <v>KELURAHAN POYOWA BESAR SATU KOTAMOBAGU</v>
      </c>
      <c r="AA130" s="55"/>
      <c r="AB130" s="55"/>
      <c r="AC130" s="55" t="s">
        <v>70</v>
      </c>
      <c r="AD130" s="112" t="s">
        <v>119</v>
      </c>
      <c r="AE130" s="57"/>
      <c r="AF130" s="57"/>
      <c r="AG130" s="57"/>
      <c r="AH130" s="57"/>
      <c r="AI130" s="58"/>
      <c r="AJ130" s="114" t="s">
        <v>433</v>
      </c>
      <c r="AK130" s="55" t="s">
        <v>96</v>
      </c>
      <c r="AL130" s="62"/>
      <c r="AM130" s="184"/>
      <c r="AN130" s="184"/>
      <c r="AO130" s="184"/>
      <c r="AP130" s="184"/>
      <c r="AQ130" s="185" t="s">
        <v>97</v>
      </c>
      <c r="AR130" s="59" t="s">
        <v>349</v>
      </c>
      <c r="AS130" s="60" t="str">
        <f>AS41</f>
        <v>KPBS-1.019</v>
      </c>
      <c r="AT130" s="60" t="str">
        <f>G130</f>
        <v>B02</v>
      </c>
      <c r="AU130" s="61"/>
      <c r="AV130" s="201">
        <v>0.7124983882</v>
      </c>
      <c r="AW130" s="201">
        <v>124.3244845039</v>
      </c>
      <c r="AX130" s="62" t="s">
        <v>98</v>
      </c>
      <c r="AY130" s="62" t="s">
        <v>94</v>
      </c>
      <c r="AZ130" s="62" t="s">
        <v>94</v>
      </c>
      <c r="BA130" s="63" t="s">
        <v>77</v>
      </c>
      <c r="BB130" s="62" t="s">
        <v>98</v>
      </c>
      <c r="BC130" s="62">
        <v>31</v>
      </c>
      <c r="BD130" s="62" t="s">
        <v>98</v>
      </c>
      <c r="BE130" s="211" t="str">
        <f t="shared" ref="BE130:BE192" si="250">AJ130&amp;", "&amp;AD130&amp;","&amp;AI130</f>
        <v>150, POYOWA BESAR,</v>
      </c>
    </row>
    <row r="131" spans="1:57" s="211" customFormat="1" ht="15.75" customHeight="1">
      <c r="A131" s="24"/>
      <c r="B131" s="24"/>
      <c r="C131" s="22" t="s">
        <v>99</v>
      </c>
      <c r="D131" s="22" t="s">
        <v>101</v>
      </c>
      <c r="E131" s="33">
        <v>1</v>
      </c>
      <c r="F131" s="25">
        <f>F130+1</f>
        <v>4</v>
      </c>
      <c r="G131" s="235"/>
      <c r="H131" s="23">
        <v>2</v>
      </c>
      <c r="I131" s="64" t="str">
        <f t="shared" ref="I131:M134" si="251">I130</f>
        <v>MR.KPBS.P010</v>
      </c>
      <c r="J131" s="64">
        <f t="shared" si="251"/>
        <v>0.71261218410000005</v>
      </c>
      <c r="K131" s="64">
        <f t="shared" si="251"/>
        <v>124.3244222165</v>
      </c>
      <c r="L131" s="64" t="str">
        <f t="shared" si="251"/>
        <v>JL. RAYA POYOWA BESAR</v>
      </c>
      <c r="M131" s="64" t="str">
        <f t="shared" si="251"/>
        <v>SULAWESU UTARA</v>
      </c>
      <c r="N131" s="65" t="s">
        <v>105</v>
      </c>
      <c r="O131" s="66" t="s">
        <v>118</v>
      </c>
      <c r="P131" s="65" t="s">
        <v>119</v>
      </c>
      <c r="Q131" s="66">
        <v>95717</v>
      </c>
      <c r="R131" s="67"/>
      <c r="S131" s="68"/>
      <c r="T131" s="68"/>
      <c r="U131" s="68"/>
      <c r="V131" s="68"/>
      <c r="W131" s="65" t="s">
        <v>105</v>
      </c>
      <c r="X131" s="64"/>
      <c r="Y131" s="64" t="s">
        <v>106</v>
      </c>
      <c r="Z131" s="64" t="str">
        <f t="shared" si="97"/>
        <v>KELURAHAN POYOWA BESAR SATU KOTAMOBAGU</v>
      </c>
      <c r="AA131" s="65"/>
      <c r="AB131" s="65"/>
      <c r="AC131" s="65" t="s">
        <v>70</v>
      </c>
      <c r="AD131" s="64" t="s">
        <v>119</v>
      </c>
      <c r="AE131" s="67"/>
      <c r="AF131" s="67"/>
      <c r="AG131" s="67"/>
      <c r="AH131" s="67"/>
      <c r="AI131" s="69"/>
      <c r="AJ131" s="11" t="s">
        <v>434</v>
      </c>
      <c r="AK131" s="65" t="s">
        <v>96</v>
      </c>
      <c r="AL131" s="65"/>
      <c r="AM131" s="176"/>
      <c r="AN131" s="176"/>
      <c r="AO131" s="176"/>
      <c r="AP131" s="176"/>
      <c r="AQ131" s="177" t="s">
        <v>97</v>
      </c>
      <c r="AR131" s="70" t="s">
        <v>349</v>
      </c>
      <c r="AS131" s="71" t="str">
        <f t="shared" ref="AS131:AT145" si="252">AS130</f>
        <v>KPBS-1.019</v>
      </c>
      <c r="AT131" s="71" t="str">
        <f t="shared" si="252"/>
        <v>B02</v>
      </c>
      <c r="AU131" s="72"/>
      <c r="AV131" s="202">
        <v>0.71285087699999905</v>
      </c>
      <c r="AW131" s="202">
        <v>124.3246115436</v>
      </c>
      <c r="AX131" s="65" t="s">
        <v>98</v>
      </c>
      <c r="AY131" s="65" t="s">
        <v>94</v>
      </c>
      <c r="AZ131" s="65" t="s">
        <v>94</v>
      </c>
      <c r="BA131" s="73" t="s">
        <v>77</v>
      </c>
      <c r="BB131" s="65" t="s">
        <v>98</v>
      </c>
      <c r="BC131" s="65">
        <v>31</v>
      </c>
      <c r="BD131" s="65" t="s">
        <v>98</v>
      </c>
      <c r="BE131" s="211" t="str">
        <f t="shared" si="250"/>
        <v>155, POYOWA BESAR,</v>
      </c>
    </row>
    <row r="132" spans="1:57" s="211" customFormat="1" ht="15.75" customHeight="1">
      <c r="A132" s="221"/>
      <c r="B132" s="222"/>
      <c r="C132" s="222"/>
      <c r="D132" s="222"/>
      <c r="E132" s="222"/>
      <c r="F132" s="222"/>
      <c r="G132" s="223"/>
      <c r="H132" s="23">
        <v>3</v>
      </c>
      <c r="I132" s="64" t="str">
        <f t="shared" si="251"/>
        <v>MR.KPBS.P010</v>
      </c>
      <c r="J132" s="64">
        <f t="shared" si="251"/>
        <v>0.71261218410000005</v>
      </c>
      <c r="K132" s="64">
        <f t="shared" si="251"/>
        <v>124.3244222165</v>
      </c>
      <c r="L132" s="64" t="str">
        <f t="shared" si="251"/>
        <v>JL. RAYA POYOWA BESAR</v>
      </c>
      <c r="M132" s="64" t="str">
        <f t="shared" si="251"/>
        <v>SULAWESU UTARA</v>
      </c>
      <c r="N132" s="65" t="s">
        <v>105</v>
      </c>
      <c r="O132" s="66" t="s">
        <v>118</v>
      </c>
      <c r="P132" s="65" t="s">
        <v>119</v>
      </c>
      <c r="Q132" s="66">
        <v>95717</v>
      </c>
      <c r="R132" s="67"/>
      <c r="S132" s="68"/>
      <c r="T132" s="68"/>
      <c r="U132" s="68"/>
      <c r="V132" s="68"/>
      <c r="W132" s="65" t="s">
        <v>105</v>
      </c>
      <c r="X132" s="64"/>
      <c r="Y132" s="64" t="s">
        <v>106</v>
      </c>
      <c r="Z132" s="64" t="str">
        <f t="shared" si="97"/>
        <v>KELURAHAN POYOWA BESAR SATU KOTAMOBAGU</v>
      </c>
      <c r="AA132" s="65"/>
      <c r="AB132" s="65"/>
      <c r="AC132" s="65" t="s">
        <v>70</v>
      </c>
      <c r="AD132" s="64" t="str">
        <f t="shared" ref="AD132" si="253">AD131</f>
        <v>POYOWA BESAR</v>
      </c>
      <c r="AE132" s="67"/>
      <c r="AF132" s="67"/>
      <c r="AG132" s="67"/>
      <c r="AH132" s="67"/>
      <c r="AI132" s="69"/>
      <c r="AJ132" s="11" t="s">
        <v>435</v>
      </c>
      <c r="AK132" s="65" t="s">
        <v>96</v>
      </c>
      <c r="AL132" s="65"/>
      <c r="AM132" s="176"/>
      <c r="AN132" s="176"/>
      <c r="AO132" s="176"/>
      <c r="AP132" s="176"/>
      <c r="AQ132" s="177" t="s">
        <v>97</v>
      </c>
      <c r="AR132" s="70" t="s">
        <v>349</v>
      </c>
      <c r="AS132" s="71" t="str">
        <f t="shared" si="252"/>
        <v>KPBS-1.019</v>
      </c>
      <c r="AT132" s="71" t="str">
        <f t="shared" si="252"/>
        <v>B02</v>
      </c>
      <c r="AU132" s="72"/>
      <c r="AV132" s="202">
        <v>0.71257251509999997</v>
      </c>
      <c r="AW132" s="202">
        <v>124.3246713299</v>
      </c>
      <c r="AX132" s="65" t="s">
        <v>98</v>
      </c>
      <c r="AY132" s="65" t="s">
        <v>94</v>
      </c>
      <c r="AZ132" s="65" t="s">
        <v>94</v>
      </c>
      <c r="BA132" s="73" t="s">
        <v>77</v>
      </c>
      <c r="BB132" s="65" t="s">
        <v>98</v>
      </c>
      <c r="BC132" s="65">
        <v>31</v>
      </c>
      <c r="BD132" s="65" t="s">
        <v>98</v>
      </c>
      <c r="BE132" s="211" t="str">
        <f t="shared" si="250"/>
        <v>154, POYOWA BESAR,</v>
      </c>
    </row>
    <row r="133" spans="1:57" s="211" customFormat="1" ht="15.75" customHeight="1">
      <c r="A133" s="224"/>
      <c r="B133" s="225"/>
      <c r="C133" s="225"/>
      <c r="D133" s="225"/>
      <c r="E133" s="225"/>
      <c r="F133" s="225"/>
      <c r="G133" s="226"/>
      <c r="H133" s="23">
        <v>4</v>
      </c>
      <c r="I133" s="64" t="str">
        <f t="shared" si="251"/>
        <v>MR.KPBS.P010</v>
      </c>
      <c r="J133" s="64">
        <f t="shared" si="251"/>
        <v>0.71261218410000005</v>
      </c>
      <c r="K133" s="64">
        <f t="shared" si="251"/>
        <v>124.3244222165</v>
      </c>
      <c r="L133" s="64" t="str">
        <f t="shared" si="251"/>
        <v>JL. RAYA POYOWA BESAR</v>
      </c>
      <c r="M133" s="64" t="str">
        <f t="shared" si="251"/>
        <v>SULAWESU UTARA</v>
      </c>
      <c r="N133" s="65" t="s">
        <v>105</v>
      </c>
      <c r="O133" s="66" t="s">
        <v>118</v>
      </c>
      <c r="P133" s="65" t="s">
        <v>119</v>
      </c>
      <c r="Q133" s="66">
        <v>95717</v>
      </c>
      <c r="R133" s="67"/>
      <c r="S133" s="68"/>
      <c r="T133" s="68"/>
      <c r="U133" s="68"/>
      <c r="V133" s="68"/>
      <c r="W133" s="65" t="s">
        <v>105</v>
      </c>
      <c r="X133" s="64"/>
      <c r="Y133" s="64" t="s">
        <v>106</v>
      </c>
      <c r="Z133" s="64" t="str">
        <f t="shared" si="97"/>
        <v>KELURAHAN POYOWA BESAR SATU KOTAMOBAGU</v>
      </c>
      <c r="AA133" s="65"/>
      <c r="AB133" s="65"/>
      <c r="AC133" s="65" t="s">
        <v>70</v>
      </c>
      <c r="AD133" s="64" t="str">
        <f t="shared" ref="AD133" si="254">AD132</f>
        <v>POYOWA BESAR</v>
      </c>
      <c r="AE133" s="67"/>
      <c r="AF133" s="67"/>
      <c r="AG133" s="67"/>
      <c r="AH133" s="67"/>
      <c r="AI133" s="69"/>
      <c r="AJ133" s="11" t="s">
        <v>436</v>
      </c>
      <c r="AK133" s="65" t="s">
        <v>96</v>
      </c>
      <c r="AL133" s="65"/>
      <c r="AM133" s="176"/>
      <c r="AN133" s="176"/>
      <c r="AO133" s="176"/>
      <c r="AP133" s="176"/>
      <c r="AQ133" s="177" t="s">
        <v>97</v>
      </c>
      <c r="AR133" s="70" t="s">
        <v>349</v>
      </c>
      <c r="AS133" s="71" t="str">
        <f t="shared" si="252"/>
        <v>KPBS-1.019</v>
      </c>
      <c r="AT133" s="71" t="str">
        <f t="shared" si="252"/>
        <v>B02</v>
      </c>
      <c r="AU133" s="72"/>
      <c r="AV133" s="202">
        <v>0.71255914870000003</v>
      </c>
      <c r="AW133" s="202">
        <v>124.3246129229</v>
      </c>
      <c r="AX133" s="65" t="s">
        <v>98</v>
      </c>
      <c r="AY133" s="65" t="s">
        <v>94</v>
      </c>
      <c r="AZ133" s="65" t="s">
        <v>94</v>
      </c>
      <c r="BA133" s="73" t="s">
        <v>77</v>
      </c>
      <c r="BB133" s="65" t="s">
        <v>98</v>
      </c>
      <c r="BC133" s="65">
        <v>31</v>
      </c>
      <c r="BD133" s="65" t="s">
        <v>98</v>
      </c>
      <c r="BE133" s="211" t="str">
        <f t="shared" si="250"/>
        <v>153, POYOWA BESAR,</v>
      </c>
    </row>
    <row r="134" spans="1:57" s="211" customFormat="1" ht="15.75" customHeight="1">
      <c r="A134" s="224"/>
      <c r="B134" s="225"/>
      <c r="C134" s="225"/>
      <c r="D134" s="225"/>
      <c r="E134" s="225"/>
      <c r="F134" s="225"/>
      <c r="G134" s="226"/>
      <c r="H134" s="23">
        <v>5</v>
      </c>
      <c r="I134" s="64" t="str">
        <f t="shared" si="251"/>
        <v>MR.KPBS.P010</v>
      </c>
      <c r="J134" s="64">
        <f t="shared" si="251"/>
        <v>0.71261218410000005</v>
      </c>
      <c r="K134" s="64">
        <f t="shared" si="251"/>
        <v>124.3244222165</v>
      </c>
      <c r="L134" s="64" t="str">
        <f t="shared" si="251"/>
        <v>JL. RAYA POYOWA BESAR</v>
      </c>
      <c r="M134" s="64" t="str">
        <f t="shared" si="251"/>
        <v>SULAWESU UTARA</v>
      </c>
      <c r="N134" s="65" t="s">
        <v>105</v>
      </c>
      <c r="O134" s="66" t="s">
        <v>118</v>
      </c>
      <c r="P134" s="65" t="s">
        <v>119</v>
      </c>
      <c r="Q134" s="66">
        <v>95717</v>
      </c>
      <c r="R134" s="67"/>
      <c r="S134" s="68"/>
      <c r="T134" s="68"/>
      <c r="U134" s="68"/>
      <c r="V134" s="68"/>
      <c r="W134" s="65" t="s">
        <v>105</v>
      </c>
      <c r="X134" s="64"/>
      <c r="Y134" s="64" t="s">
        <v>106</v>
      </c>
      <c r="Z134" s="64" t="str">
        <f t="shared" si="97"/>
        <v>KELURAHAN POYOWA BESAR SATU KOTAMOBAGU</v>
      </c>
      <c r="AA134" s="65"/>
      <c r="AB134" s="65"/>
      <c r="AC134" s="65" t="s">
        <v>70</v>
      </c>
      <c r="AD134" s="64" t="str">
        <f t="shared" ref="AD134" si="255">AD133</f>
        <v>POYOWA BESAR</v>
      </c>
      <c r="AE134" s="67"/>
      <c r="AF134" s="67"/>
      <c r="AG134" s="67"/>
      <c r="AH134" s="67"/>
      <c r="AI134" s="69"/>
      <c r="AJ134" s="11" t="s">
        <v>437</v>
      </c>
      <c r="AK134" s="65" t="s">
        <v>96</v>
      </c>
      <c r="AL134" s="65"/>
      <c r="AM134" s="176"/>
      <c r="AN134" s="176"/>
      <c r="AO134" s="176"/>
      <c r="AP134" s="176"/>
      <c r="AQ134" s="177" t="s">
        <v>97</v>
      </c>
      <c r="AR134" s="70" t="s">
        <v>349</v>
      </c>
      <c r="AS134" s="71" t="str">
        <f t="shared" si="252"/>
        <v>KPBS-1.019</v>
      </c>
      <c r="AT134" s="71" t="str">
        <f t="shared" si="252"/>
        <v>B02</v>
      </c>
      <c r="AU134" s="72"/>
      <c r="AV134" s="202">
        <v>0.71285440290000002</v>
      </c>
      <c r="AW134" s="202">
        <v>124.3245033205</v>
      </c>
      <c r="AX134" s="65" t="s">
        <v>98</v>
      </c>
      <c r="AY134" s="65" t="s">
        <v>94</v>
      </c>
      <c r="AZ134" s="65" t="s">
        <v>94</v>
      </c>
      <c r="BA134" s="73" t="s">
        <v>77</v>
      </c>
      <c r="BB134" s="65" t="s">
        <v>98</v>
      </c>
      <c r="BC134" s="65">
        <v>31</v>
      </c>
      <c r="BD134" s="65" t="s">
        <v>98</v>
      </c>
      <c r="BE134" s="211" t="str">
        <f t="shared" si="250"/>
        <v>151, POYOWA BESAR,</v>
      </c>
    </row>
    <row r="135" spans="1:57" s="211" customFormat="1" ht="15.75" customHeight="1">
      <c r="A135" s="224"/>
      <c r="B135" s="225"/>
      <c r="C135" s="225"/>
      <c r="D135" s="225"/>
      <c r="E135" s="225"/>
      <c r="F135" s="225"/>
      <c r="G135" s="226"/>
      <c r="H135" s="23">
        <v>6</v>
      </c>
      <c r="I135" s="64" t="str">
        <f t="shared" ref="I135:M135" si="256">I134</f>
        <v>MR.KPBS.P010</v>
      </c>
      <c r="J135" s="64">
        <f t="shared" si="256"/>
        <v>0.71261218410000005</v>
      </c>
      <c r="K135" s="64">
        <f t="shared" si="256"/>
        <v>124.3244222165</v>
      </c>
      <c r="L135" s="64" t="str">
        <f t="shared" si="256"/>
        <v>JL. RAYA POYOWA BESAR</v>
      </c>
      <c r="M135" s="64" t="str">
        <f t="shared" si="256"/>
        <v>SULAWESU UTARA</v>
      </c>
      <c r="N135" s="65" t="s">
        <v>105</v>
      </c>
      <c r="O135" s="66" t="s">
        <v>118</v>
      </c>
      <c r="P135" s="65" t="s">
        <v>119</v>
      </c>
      <c r="Q135" s="66">
        <v>95717</v>
      </c>
      <c r="R135" s="67"/>
      <c r="S135" s="68"/>
      <c r="T135" s="74"/>
      <c r="U135" s="74"/>
      <c r="V135" s="74"/>
      <c r="W135" s="65" t="s">
        <v>105</v>
      </c>
      <c r="X135" s="64"/>
      <c r="Y135" s="64" t="s">
        <v>106</v>
      </c>
      <c r="Z135" s="64" t="str">
        <f t="shared" si="97"/>
        <v>KELURAHAN POYOWA BESAR SATU KOTAMOBAGU</v>
      </c>
      <c r="AA135" s="65"/>
      <c r="AB135" s="65"/>
      <c r="AC135" s="65" t="s">
        <v>70</v>
      </c>
      <c r="AD135" s="64" t="str">
        <f t="shared" ref="AD135" si="257">AD134</f>
        <v>POYOWA BESAR</v>
      </c>
      <c r="AE135" s="75"/>
      <c r="AF135" s="75"/>
      <c r="AG135" s="75"/>
      <c r="AH135" s="75"/>
      <c r="AI135" s="69"/>
      <c r="AJ135" s="11" t="s">
        <v>438</v>
      </c>
      <c r="AK135" s="65" t="s">
        <v>96</v>
      </c>
      <c r="AL135" s="65"/>
      <c r="AM135" s="176"/>
      <c r="AN135" s="176"/>
      <c r="AO135" s="176"/>
      <c r="AP135" s="176"/>
      <c r="AQ135" s="177" t="s">
        <v>97</v>
      </c>
      <c r="AR135" s="70" t="s">
        <v>349</v>
      </c>
      <c r="AS135" s="71" t="str">
        <f t="shared" ref="AS135:AT135" si="258">AS134</f>
        <v>KPBS-1.019</v>
      </c>
      <c r="AT135" s="71" t="str">
        <f t="shared" si="258"/>
        <v>B02</v>
      </c>
      <c r="AU135" s="72"/>
      <c r="AV135" s="202">
        <v>0.71249745490000005</v>
      </c>
      <c r="AW135" s="202">
        <v>124.3245773621</v>
      </c>
      <c r="AX135" s="65" t="s">
        <v>98</v>
      </c>
      <c r="AY135" s="65" t="s">
        <v>94</v>
      </c>
      <c r="AZ135" s="65" t="s">
        <v>94</v>
      </c>
      <c r="BA135" s="73" t="s">
        <v>77</v>
      </c>
      <c r="BB135" s="65" t="s">
        <v>98</v>
      </c>
      <c r="BC135" s="65">
        <v>31</v>
      </c>
      <c r="BD135" s="65" t="s">
        <v>98</v>
      </c>
      <c r="BE135" s="211" t="str">
        <f t="shared" ref="BE135:BE137" si="259">AJ135&amp;", "&amp;AD135&amp;","&amp;AI135</f>
        <v>152, POYOWA BESAR,</v>
      </c>
    </row>
    <row r="136" spans="1:57" s="211" customFormat="1" ht="15.75" customHeight="1">
      <c r="A136" s="224"/>
      <c r="B136" s="225"/>
      <c r="C136" s="225"/>
      <c r="D136" s="225"/>
      <c r="E136" s="225"/>
      <c r="F136" s="225"/>
      <c r="G136" s="226"/>
      <c r="H136" s="23">
        <v>7</v>
      </c>
      <c r="I136" s="64" t="str">
        <f t="shared" ref="I136:M136" si="260">I135</f>
        <v>MR.KPBS.P010</v>
      </c>
      <c r="J136" s="64">
        <f t="shared" si="260"/>
        <v>0.71261218410000005</v>
      </c>
      <c r="K136" s="64">
        <f t="shared" si="260"/>
        <v>124.3244222165</v>
      </c>
      <c r="L136" s="64" t="str">
        <f t="shared" si="260"/>
        <v>JL. RAYA POYOWA BESAR</v>
      </c>
      <c r="M136" s="64" t="str">
        <f t="shared" si="260"/>
        <v>SULAWESU UTARA</v>
      </c>
      <c r="N136" s="65" t="s">
        <v>105</v>
      </c>
      <c r="O136" s="66" t="s">
        <v>118</v>
      </c>
      <c r="P136" s="65" t="s">
        <v>119</v>
      </c>
      <c r="Q136" s="66">
        <v>95717</v>
      </c>
      <c r="R136" s="67"/>
      <c r="S136" s="68"/>
      <c r="T136" s="74"/>
      <c r="U136" s="74"/>
      <c r="V136" s="74"/>
      <c r="W136" s="65" t="s">
        <v>105</v>
      </c>
      <c r="X136" s="64"/>
      <c r="Y136" s="64" t="s">
        <v>106</v>
      </c>
      <c r="Z136" s="64" t="str">
        <f t="shared" si="97"/>
        <v>KELURAHAN POYOWA BESAR SATU KOTAMOBAGU</v>
      </c>
      <c r="AA136" s="65"/>
      <c r="AB136" s="65"/>
      <c r="AC136" s="65" t="s">
        <v>70</v>
      </c>
      <c r="AD136" s="64" t="str">
        <f t="shared" ref="AD136" si="261">AD135</f>
        <v>POYOWA BESAR</v>
      </c>
      <c r="AE136" s="75"/>
      <c r="AF136" s="75"/>
      <c r="AG136" s="75"/>
      <c r="AH136" s="75"/>
      <c r="AI136" s="69"/>
      <c r="AJ136" s="11" t="s">
        <v>439</v>
      </c>
      <c r="AK136" s="65" t="s">
        <v>96</v>
      </c>
      <c r="AL136" s="65"/>
      <c r="AM136" s="176"/>
      <c r="AN136" s="176"/>
      <c r="AO136" s="176"/>
      <c r="AP136" s="176"/>
      <c r="AQ136" s="177" t="s">
        <v>97</v>
      </c>
      <c r="AR136" s="70" t="s">
        <v>349</v>
      </c>
      <c r="AS136" s="71" t="str">
        <f t="shared" ref="AS136:AT136" si="262">AS135</f>
        <v>KPBS-1.019</v>
      </c>
      <c r="AT136" s="71" t="str">
        <f t="shared" si="262"/>
        <v>B02</v>
      </c>
      <c r="AU136" s="72"/>
      <c r="AV136" s="202">
        <v>0.71280064180000002</v>
      </c>
      <c r="AW136" s="202">
        <v>124.3244141742</v>
      </c>
      <c r="AX136" s="65" t="s">
        <v>98</v>
      </c>
      <c r="AY136" s="65" t="s">
        <v>94</v>
      </c>
      <c r="AZ136" s="65" t="s">
        <v>94</v>
      </c>
      <c r="BA136" s="73" t="s">
        <v>77</v>
      </c>
      <c r="BB136" s="65" t="s">
        <v>98</v>
      </c>
      <c r="BC136" s="65">
        <v>31</v>
      </c>
      <c r="BD136" s="65" t="s">
        <v>98</v>
      </c>
      <c r="BE136" s="211" t="str">
        <f t="shared" si="259"/>
        <v>149, POYOWA BESAR,</v>
      </c>
    </row>
    <row r="137" spans="1:57" s="211" customFormat="1" ht="15.75" customHeight="1">
      <c r="A137" s="224"/>
      <c r="B137" s="225"/>
      <c r="C137" s="225"/>
      <c r="D137" s="225"/>
      <c r="E137" s="225"/>
      <c r="F137" s="225"/>
      <c r="G137" s="226"/>
      <c r="H137" s="23">
        <v>8</v>
      </c>
      <c r="I137" s="64" t="str">
        <f t="shared" ref="I137:M137" si="263">I136</f>
        <v>MR.KPBS.P010</v>
      </c>
      <c r="J137" s="64">
        <f t="shared" si="263"/>
        <v>0.71261218410000005</v>
      </c>
      <c r="K137" s="64">
        <f t="shared" si="263"/>
        <v>124.3244222165</v>
      </c>
      <c r="L137" s="64" t="str">
        <f t="shared" si="263"/>
        <v>JL. RAYA POYOWA BESAR</v>
      </c>
      <c r="M137" s="64" t="str">
        <f t="shared" si="263"/>
        <v>SULAWESU UTARA</v>
      </c>
      <c r="N137" s="65" t="s">
        <v>105</v>
      </c>
      <c r="O137" s="66" t="s">
        <v>118</v>
      </c>
      <c r="P137" s="65" t="s">
        <v>119</v>
      </c>
      <c r="Q137" s="66">
        <v>95717</v>
      </c>
      <c r="R137" s="67"/>
      <c r="S137" s="68"/>
      <c r="T137" s="74"/>
      <c r="U137" s="74"/>
      <c r="V137" s="74"/>
      <c r="W137" s="65" t="s">
        <v>105</v>
      </c>
      <c r="X137" s="64"/>
      <c r="Y137" s="64" t="s">
        <v>106</v>
      </c>
      <c r="Z137" s="64" t="str">
        <f t="shared" ref="Z137:Z201" si="264">Z136</f>
        <v>KELURAHAN POYOWA BESAR SATU KOTAMOBAGU</v>
      </c>
      <c r="AA137" s="65"/>
      <c r="AB137" s="65"/>
      <c r="AC137" s="65" t="s">
        <v>70</v>
      </c>
      <c r="AD137" s="64" t="str">
        <f t="shared" ref="AD137" si="265">AD136</f>
        <v>POYOWA BESAR</v>
      </c>
      <c r="AE137" s="75"/>
      <c r="AF137" s="75"/>
      <c r="AG137" s="75"/>
      <c r="AH137" s="75"/>
      <c r="AI137" s="69"/>
      <c r="AJ137" s="11" t="s">
        <v>440</v>
      </c>
      <c r="AK137" s="65" t="s">
        <v>96</v>
      </c>
      <c r="AL137" s="65"/>
      <c r="AM137" s="176"/>
      <c r="AN137" s="176"/>
      <c r="AO137" s="176"/>
      <c r="AP137" s="176"/>
      <c r="AQ137" s="177" t="s">
        <v>97</v>
      </c>
      <c r="AR137" s="70" t="s">
        <v>349</v>
      </c>
      <c r="AS137" s="71" t="str">
        <f t="shared" ref="AS137:AT137" si="266">AS136</f>
        <v>KPBS-1.019</v>
      </c>
      <c r="AT137" s="71" t="str">
        <f t="shared" si="266"/>
        <v>B02</v>
      </c>
      <c r="AU137" s="72"/>
      <c r="AV137" s="202">
        <v>0.7127492903</v>
      </c>
      <c r="AW137" s="202">
        <v>124.3243235568</v>
      </c>
      <c r="AX137" s="65" t="s">
        <v>98</v>
      </c>
      <c r="AY137" s="65" t="s">
        <v>94</v>
      </c>
      <c r="AZ137" s="65" t="s">
        <v>94</v>
      </c>
      <c r="BA137" s="73" t="s">
        <v>77</v>
      </c>
      <c r="BB137" s="65" t="s">
        <v>98</v>
      </c>
      <c r="BC137" s="65">
        <v>31</v>
      </c>
      <c r="BD137" s="65" t="s">
        <v>98</v>
      </c>
      <c r="BE137" s="211" t="str">
        <f t="shared" si="259"/>
        <v>147, POYOWA BESAR,</v>
      </c>
    </row>
    <row r="138" spans="1:57" s="211" customFormat="1" ht="15.75" customHeight="1">
      <c r="A138" s="224"/>
      <c r="B138" s="225"/>
      <c r="C138" s="225"/>
      <c r="D138" s="225"/>
      <c r="E138" s="225"/>
      <c r="F138" s="225"/>
      <c r="G138" s="226"/>
      <c r="H138" s="23">
        <v>9</v>
      </c>
      <c r="I138" s="64" t="str">
        <f t="shared" ref="I138:M138" si="267">I137</f>
        <v>MR.KPBS.P010</v>
      </c>
      <c r="J138" s="64">
        <f t="shared" si="267"/>
        <v>0.71261218410000005</v>
      </c>
      <c r="K138" s="64">
        <f t="shared" si="267"/>
        <v>124.3244222165</v>
      </c>
      <c r="L138" s="64" t="str">
        <f t="shared" si="267"/>
        <v>JL. RAYA POYOWA BESAR</v>
      </c>
      <c r="M138" s="64" t="str">
        <f t="shared" si="267"/>
        <v>SULAWESU UTARA</v>
      </c>
      <c r="N138" s="65" t="s">
        <v>105</v>
      </c>
      <c r="O138" s="66" t="s">
        <v>118</v>
      </c>
      <c r="P138" s="65" t="s">
        <v>119</v>
      </c>
      <c r="Q138" s="66">
        <v>95717</v>
      </c>
      <c r="R138" s="67"/>
      <c r="S138" s="68"/>
      <c r="T138" s="74"/>
      <c r="U138" s="74"/>
      <c r="V138" s="74"/>
      <c r="W138" s="65" t="s">
        <v>105</v>
      </c>
      <c r="X138" s="64"/>
      <c r="Y138" s="64" t="s">
        <v>106</v>
      </c>
      <c r="Z138" s="64" t="str">
        <f t="shared" si="264"/>
        <v>KELURAHAN POYOWA BESAR SATU KOTAMOBAGU</v>
      </c>
      <c r="AA138" s="65"/>
      <c r="AB138" s="65"/>
      <c r="AC138" s="65" t="s">
        <v>70</v>
      </c>
      <c r="AD138" s="64" t="str">
        <f t="shared" ref="AD138" si="268">AD137</f>
        <v>POYOWA BESAR</v>
      </c>
      <c r="AE138" s="75"/>
      <c r="AF138" s="75"/>
      <c r="AG138" s="75"/>
      <c r="AH138" s="75"/>
      <c r="AI138" s="69"/>
      <c r="AJ138" s="11" t="s">
        <v>441</v>
      </c>
      <c r="AK138" s="65" t="s">
        <v>96</v>
      </c>
      <c r="AL138" s="65"/>
      <c r="AM138" s="176"/>
      <c r="AN138" s="176"/>
      <c r="AO138" s="176"/>
      <c r="AP138" s="176"/>
      <c r="AQ138" s="177" t="s">
        <v>97</v>
      </c>
      <c r="AR138" s="70" t="s">
        <v>349</v>
      </c>
      <c r="AS138" s="71" t="str">
        <f>AS134</f>
        <v>KPBS-1.019</v>
      </c>
      <c r="AT138" s="71" t="str">
        <f>AT134</f>
        <v>B02</v>
      </c>
      <c r="AU138" s="72"/>
      <c r="AV138" s="202">
        <v>0.71249025580000003</v>
      </c>
      <c r="AW138" s="202">
        <v>124.324419584</v>
      </c>
      <c r="AX138" s="65" t="s">
        <v>98</v>
      </c>
      <c r="AY138" s="65" t="s">
        <v>94</v>
      </c>
      <c r="AZ138" s="65" t="s">
        <v>94</v>
      </c>
      <c r="BA138" s="73" t="s">
        <v>77</v>
      </c>
      <c r="BB138" s="65" t="s">
        <v>98</v>
      </c>
      <c r="BC138" s="65">
        <v>31</v>
      </c>
      <c r="BD138" s="65" t="s">
        <v>98</v>
      </c>
      <c r="BE138" s="211" t="str">
        <f t="shared" si="250"/>
        <v>148, POYOWA BESAR,</v>
      </c>
    </row>
    <row r="139" spans="1:57" s="211" customFormat="1" ht="15.75" customHeight="1">
      <c r="A139" s="224"/>
      <c r="B139" s="225"/>
      <c r="C139" s="225"/>
      <c r="D139" s="225"/>
      <c r="E139" s="225"/>
      <c r="F139" s="225"/>
      <c r="G139" s="226"/>
      <c r="H139" s="23">
        <v>10</v>
      </c>
      <c r="I139" s="64" t="str">
        <f t="shared" ref="I139:M139" si="269">I138</f>
        <v>MR.KPBS.P010</v>
      </c>
      <c r="J139" s="64">
        <f t="shared" si="269"/>
        <v>0.71261218410000005</v>
      </c>
      <c r="K139" s="64">
        <f t="shared" si="269"/>
        <v>124.3244222165</v>
      </c>
      <c r="L139" s="64" t="str">
        <f t="shared" si="269"/>
        <v>JL. RAYA POYOWA BESAR</v>
      </c>
      <c r="M139" s="64" t="str">
        <f t="shared" si="269"/>
        <v>SULAWESU UTARA</v>
      </c>
      <c r="N139" s="65" t="s">
        <v>105</v>
      </c>
      <c r="O139" s="66" t="s">
        <v>118</v>
      </c>
      <c r="P139" s="65" t="s">
        <v>119</v>
      </c>
      <c r="Q139" s="66">
        <v>95717</v>
      </c>
      <c r="R139" s="67"/>
      <c r="S139" s="68"/>
      <c r="T139" s="68"/>
      <c r="U139" s="68"/>
      <c r="V139" s="68"/>
      <c r="W139" s="65" t="s">
        <v>105</v>
      </c>
      <c r="X139" s="64"/>
      <c r="Y139" s="64" t="s">
        <v>106</v>
      </c>
      <c r="Z139" s="64" t="str">
        <f t="shared" si="264"/>
        <v>KELURAHAN POYOWA BESAR SATU KOTAMOBAGU</v>
      </c>
      <c r="AA139" s="65"/>
      <c r="AB139" s="65"/>
      <c r="AC139" s="65" t="s">
        <v>70</v>
      </c>
      <c r="AD139" s="64" t="str">
        <f t="shared" ref="AD139" si="270">AD138</f>
        <v>POYOWA BESAR</v>
      </c>
      <c r="AE139" s="67"/>
      <c r="AF139" s="67"/>
      <c r="AG139" s="67"/>
      <c r="AH139" s="67"/>
      <c r="AI139" s="69"/>
      <c r="AJ139" s="11" t="s">
        <v>442</v>
      </c>
      <c r="AK139" s="65" t="s">
        <v>96</v>
      </c>
      <c r="AL139" s="65"/>
      <c r="AM139" s="65"/>
      <c r="AN139" s="65"/>
      <c r="AO139" s="65"/>
      <c r="AP139" s="65"/>
      <c r="AQ139" s="177" t="s">
        <v>97</v>
      </c>
      <c r="AR139" s="70" t="s">
        <v>349</v>
      </c>
      <c r="AS139" s="71" t="str">
        <f t="shared" si="252"/>
        <v>KPBS-1.019</v>
      </c>
      <c r="AT139" s="71" t="str">
        <f t="shared" si="252"/>
        <v>B02</v>
      </c>
      <c r="AU139" s="72"/>
      <c r="AV139" s="202">
        <v>0.71245908179999895</v>
      </c>
      <c r="AW139" s="202">
        <v>124.3243506068</v>
      </c>
      <c r="AX139" s="65" t="s">
        <v>98</v>
      </c>
      <c r="AY139" s="65" t="s">
        <v>94</v>
      </c>
      <c r="AZ139" s="65" t="s">
        <v>94</v>
      </c>
      <c r="BA139" s="73" t="s">
        <v>77</v>
      </c>
      <c r="BB139" s="65" t="s">
        <v>98</v>
      </c>
      <c r="BC139" s="65">
        <v>31</v>
      </c>
      <c r="BD139" s="65" t="s">
        <v>98</v>
      </c>
      <c r="BE139" s="211" t="str">
        <f t="shared" si="250"/>
        <v>146, POYOWA BESAR,</v>
      </c>
    </row>
    <row r="140" spans="1:57" s="211" customFormat="1" ht="15.75" customHeight="1">
      <c r="A140" s="224"/>
      <c r="B140" s="225"/>
      <c r="C140" s="225"/>
      <c r="D140" s="225"/>
      <c r="E140" s="225"/>
      <c r="F140" s="225"/>
      <c r="G140" s="226"/>
      <c r="H140" s="23">
        <v>11</v>
      </c>
      <c r="I140" s="64" t="str">
        <f t="shared" ref="I140:M140" si="271">I139</f>
        <v>MR.KPBS.P010</v>
      </c>
      <c r="J140" s="64">
        <f t="shared" si="271"/>
        <v>0.71261218410000005</v>
      </c>
      <c r="K140" s="64">
        <f t="shared" si="271"/>
        <v>124.3244222165</v>
      </c>
      <c r="L140" s="64" t="str">
        <f t="shared" si="271"/>
        <v>JL. RAYA POYOWA BESAR</v>
      </c>
      <c r="M140" s="64" t="str">
        <f t="shared" si="271"/>
        <v>SULAWESU UTARA</v>
      </c>
      <c r="N140" s="65" t="s">
        <v>105</v>
      </c>
      <c r="O140" s="66" t="s">
        <v>118</v>
      </c>
      <c r="P140" s="65" t="s">
        <v>119</v>
      </c>
      <c r="Q140" s="66">
        <v>95717</v>
      </c>
      <c r="R140" s="67"/>
      <c r="S140" s="68"/>
      <c r="T140" s="68"/>
      <c r="U140" s="68"/>
      <c r="V140" s="68"/>
      <c r="W140" s="64" t="s">
        <v>105</v>
      </c>
      <c r="X140" s="64"/>
      <c r="Y140" s="64" t="s">
        <v>106</v>
      </c>
      <c r="Z140" s="64" t="str">
        <f t="shared" si="264"/>
        <v>KELURAHAN POYOWA BESAR SATU KOTAMOBAGU</v>
      </c>
      <c r="AA140" s="65"/>
      <c r="AB140" s="65"/>
      <c r="AC140" s="65" t="s">
        <v>70</v>
      </c>
      <c r="AD140" s="64" t="str">
        <f t="shared" ref="AD140" si="272">AD139</f>
        <v>POYOWA BESAR</v>
      </c>
      <c r="AE140" s="67"/>
      <c r="AF140" s="67"/>
      <c r="AG140" s="67"/>
      <c r="AH140" s="67"/>
      <c r="AI140" s="69"/>
      <c r="AJ140" s="11" t="s">
        <v>443</v>
      </c>
      <c r="AK140" s="65" t="s">
        <v>96</v>
      </c>
      <c r="AL140" s="65"/>
      <c r="AM140" s="65"/>
      <c r="AN140" s="65"/>
      <c r="AO140" s="65"/>
      <c r="AP140" s="65"/>
      <c r="AQ140" s="177" t="s">
        <v>97</v>
      </c>
      <c r="AR140" s="70" t="s">
        <v>349</v>
      </c>
      <c r="AS140" s="71" t="str">
        <f t="shared" si="252"/>
        <v>KPBS-1.019</v>
      </c>
      <c r="AT140" s="71" t="str">
        <f t="shared" si="252"/>
        <v>B02</v>
      </c>
      <c r="AU140" s="72"/>
      <c r="AV140" s="202">
        <v>0.71273016109999998</v>
      </c>
      <c r="AW140" s="202">
        <v>124.3242248247</v>
      </c>
      <c r="AX140" s="65" t="s">
        <v>98</v>
      </c>
      <c r="AY140" s="65" t="s">
        <v>94</v>
      </c>
      <c r="AZ140" s="65" t="s">
        <v>94</v>
      </c>
      <c r="BA140" s="73" t="s">
        <v>77</v>
      </c>
      <c r="BB140" s="65" t="s">
        <v>98</v>
      </c>
      <c r="BC140" s="65">
        <v>31</v>
      </c>
      <c r="BD140" s="65" t="s">
        <v>98</v>
      </c>
      <c r="BE140" s="211" t="str">
        <f t="shared" si="250"/>
        <v>145, POYOWA BESAR,</v>
      </c>
    </row>
    <row r="141" spans="1:57" s="211" customFormat="1" ht="15.75" customHeight="1">
      <c r="A141" s="224"/>
      <c r="B141" s="225"/>
      <c r="C141" s="225"/>
      <c r="D141" s="225"/>
      <c r="E141" s="225"/>
      <c r="F141" s="225"/>
      <c r="G141" s="226"/>
      <c r="H141" s="23">
        <v>12</v>
      </c>
      <c r="I141" s="64" t="str">
        <f t="shared" ref="I141:M141" si="273">I140</f>
        <v>MR.KPBS.P010</v>
      </c>
      <c r="J141" s="64">
        <f t="shared" si="273"/>
        <v>0.71261218410000005</v>
      </c>
      <c r="K141" s="64">
        <f t="shared" si="273"/>
        <v>124.3244222165</v>
      </c>
      <c r="L141" s="64" t="str">
        <f t="shared" si="273"/>
        <v>JL. RAYA POYOWA BESAR</v>
      </c>
      <c r="M141" s="64" t="str">
        <f t="shared" si="273"/>
        <v>SULAWESU UTARA</v>
      </c>
      <c r="N141" s="65" t="s">
        <v>105</v>
      </c>
      <c r="O141" s="66" t="s">
        <v>118</v>
      </c>
      <c r="P141" s="65" t="s">
        <v>119</v>
      </c>
      <c r="Q141" s="66">
        <v>95717</v>
      </c>
      <c r="R141" s="67"/>
      <c r="S141" s="68"/>
      <c r="T141" s="68"/>
      <c r="U141" s="68"/>
      <c r="V141" s="68"/>
      <c r="W141" s="64" t="s">
        <v>105</v>
      </c>
      <c r="X141" s="64"/>
      <c r="Y141" s="64" t="s">
        <v>106</v>
      </c>
      <c r="Z141" s="64" t="str">
        <f t="shared" si="264"/>
        <v>KELURAHAN POYOWA BESAR SATU KOTAMOBAGU</v>
      </c>
      <c r="AA141" s="65"/>
      <c r="AB141" s="65"/>
      <c r="AC141" s="65" t="s">
        <v>70</v>
      </c>
      <c r="AD141" s="64" t="str">
        <f t="shared" ref="AD141" si="274">AD140</f>
        <v>POYOWA BESAR</v>
      </c>
      <c r="AE141" s="67"/>
      <c r="AF141" s="67"/>
      <c r="AG141" s="67"/>
      <c r="AH141" s="67"/>
      <c r="AI141" s="69"/>
      <c r="AJ141" s="11" t="s">
        <v>444</v>
      </c>
      <c r="AK141" s="65" t="s">
        <v>96</v>
      </c>
      <c r="AL141" s="65"/>
      <c r="AM141" s="65"/>
      <c r="AN141" s="65"/>
      <c r="AO141" s="65"/>
      <c r="AP141" s="65"/>
      <c r="AQ141" s="177" t="s">
        <v>97</v>
      </c>
      <c r="AR141" s="70" t="s">
        <v>349</v>
      </c>
      <c r="AS141" s="71" t="str">
        <f t="shared" si="252"/>
        <v>KPBS-1.019</v>
      </c>
      <c r="AT141" s="71" t="str">
        <f t="shared" si="252"/>
        <v>B02</v>
      </c>
      <c r="AU141" s="72"/>
      <c r="AV141" s="202">
        <v>0.71243762109999997</v>
      </c>
      <c r="AW141" s="202">
        <v>124.3242641602</v>
      </c>
      <c r="AX141" s="65" t="s">
        <v>98</v>
      </c>
      <c r="AY141" s="65" t="s">
        <v>94</v>
      </c>
      <c r="AZ141" s="65" t="s">
        <v>94</v>
      </c>
      <c r="BA141" s="73" t="s">
        <v>77</v>
      </c>
      <c r="BB141" s="65" t="s">
        <v>98</v>
      </c>
      <c r="BC141" s="65">
        <v>31</v>
      </c>
      <c r="BD141" s="65" t="s">
        <v>98</v>
      </c>
      <c r="BE141" s="211" t="str">
        <f t="shared" si="250"/>
        <v>144, POYOWA BESAR,</v>
      </c>
    </row>
    <row r="142" spans="1:57" s="211" customFormat="1" ht="15.75" customHeight="1">
      <c r="A142" s="224"/>
      <c r="B142" s="225"/>
      <c r="C142" s="225"/>
      <c r="D142" s="225"/>
      <c r="E142" s="225"/>
      <c r="F142" s="225"/>
      <c r="G142" s="226"/>
      <c r="H142" s="23">
        <v>13</v>
      </c>
      <c r="I142" s="64" t="str">
        <f t="shared" ref="I142:M142" si="275">I141</f>
        <v>MR.KPBS.P010</v>
      </c>
      <c r="J142" s="64">
        <f t="shared" si="275"/>
        <v>0.71261218410000005</v>
      </c>
      <c r="K142" s="64">
        <f t="shared" si="275"/>
        <v>124.3244222165</v>
      </c>
      <c r="L142" s="64" t="str">
        <f t="shared" si="275"/>
        <v>JL. RAYA POYOWA BESAR</v>
      </c>
      <c r="M142" s="64" t="str">
        <f t="shared" si="275"/>
        <v>SULAWESU UTARA</v>
      </c>
      <c r="N142" s="65" t="s">
        <v>105</v>
      </c>
      <c r="O142" s="66" t="s">
        <v>118</v>
      </c>
      <c r="P142" s="65" t="s">
        <v>119</v>
      </c>
      <c r="Q142" s="66">
        <v>95717</v>
      </c>
      <c r="R142" s="67"/>
      <c r="S142" s="68"/>
      <c r="T142" s="68"/>
      <c r="U142" s="68"/>
      <c r="V142" s="68"/>
      <c r="W142" s="64" t="s">
        <v>105</v>
      </c>
      <c r="X142" s="64"/>
      <c r="Y142" s="64" t="s">
        <v>106</v>
      </c>
      <c r="Z142" s="64" t="str">
        <f t="shared" si="264"/>
        <v>KELURAHAN POYOWA BESAR SATU KOTAMOBAGU</v>
      </c>
      <c r="AA142" s="65"/>
      <c r="AB142" s="65"/>
      <c r="AC142" s="65" t="s">
        <v>70</v>
      </c>
      <c r="AD142" s="64" t="str">
        <f t="shared" ref="AD142" si="276">AD141</f>
        <v>POYOWA BESAR</v>
      </c>
      <c r="AE142" s="67"/>
      <c r="AF142" s="67"/>
      <c r="AG142" s="67"/>
      <c r="AH142" s="67"/>
      <c r="AI142" s="69"/>
      <c r="AJ142" s="11" t="s">
        <v>445</v>
      </c>
      <c r="AK142" s="65" t="s">
        <v>96</v>
      </c>
      <c r="AL142" s="65"/>
      <c r="AM142" s="65"/>
      <c r="AN142" s="65"/>
      <c r="AO142" s="65"/>
      <c r="AP142" s="65"/>
      <c r="AQ142" s="177" t="s">
        <v>97</v>
      </c>
      <c r="AR142" s="70" t="s">
        <v>349</v>
      </c>
      <c r="AS142" s="71" t="str">
        <f t="shared" si="252"/>
        <v>KPBS-1.019</v>
      </c>
      <c r="AT142" s="71" t="str">
        <f t="shared" si="252"/>
        <v>B02</v>
      </c>
      <c r="AU142" s="72"/>
      <c r="AV142" s="202">
        <v>0.7127244519</v>
      </c>
      <c r="AW142" s="202">
        <v>124.3240966571</v>
      </c>
      <c r="AX142" s="65" t="s">
        <v>98</v>
      </c>
      <c r="AY142" s="65" t="s">
        <v>94</v>
      </c>
      <c r="AZ142" s="65" t="s">
        <v>94</v>
      </c>
      <c r="BA142" s="73" t="s">
        <v>77</v>
      </c>
      <c r="BB142" s="65" t="s">
        <v>98</v>
      </c>
      <c r="BC142" s="65">
        <v>31</v>
      </c>
      <c r="BD142" s="65" t="s">
        <v>98</v>
      </c>
      <c r="BE142" s="211" t="str">
        <f t="shared" si="250"/>
        <v>143, POYOWA BESAR,</v>
      </c>
    </row>
    <row r="143" spans="1:57" s="211" customFormat="1" ht="15.75" customHeight="1">
      <c r="A143" s="224"/>
      <c r="B143" s="225"/>
      <c r="C143" s="225"/>
      <c r="D143" s="225"/>
      <c r="E143" s="225"/>
      <c r="F143" s="225"/>
      <c r="G143" s="226"/>
      <c r="H143" s="23">
        <v>14</v>
      </c>
      <c r="I143" s="64" t="str">
        <f t="shared" ref="I143:M143" si="277">I142</f>
        <v>MR.KPBS.P010</v>
      </c>
      <c r="J143" s="64">
        <f t="shared" si="277"/>
        <v>0.71261218410000005</v>
      </c>
      <c r="K143" s="64">
        <f t="shared" si="277"/>
        <v>124.3244222165</v>
      </c>
      <c r="L143" s="64" t="str">
        <f t="shared" si="277"/>
        <v>JL. RAYA POYOWA BESAR</v>
      </c>
      <c r="M143" s="64" t="str">
        <f t="shared" si="277"/>
        <v>SULAWESU UTARA</v>
      </c>
      <c r="N143" s="65" t="s">
        <v>105</v>
      </c>
      <c r="O143" s="66" t="s">
        <v>118</v>
      </c>
      <c r="P143" s="65" t="s">
        <v>119</v>
      </c>
      <c r="Q143" s="66">
        <v>95717</v>
      </c>
      <c r="R143" s="66"/>
      <c r="S143" s="66"/>
      <c r="T143" s="66"/>
      <c r="U143" s="66"/>
      <c r="V143" s="66"/>
      <c r="W143" s="64" t="s">
        <v>105</v>
      </c>
      <c r="X143" s="64"/>
      <c r="Y143" s="64" t="s">
        <v>106</v>
      </c>
      <c r="Z143" s="64" t="str">
        <f t="shared" si="264"/>
        <v>KELURAHAN POYOWA BESAR SATU KOTAMOBAGU</v>
      </c>
      <c r="AA143" s="65"/>
      <c r="AB143" s="65"/>
      <c r="AC143" s="65" t="s">
        <v>70</v>
      </c>
      <c r="AD143" s="64" t="str">
        <f t="shared" ref="AD143" si="278">AD142</f>
        <v>POYOWA BESAR</v>
      </c>
      <c r="AE143" s="66"/>
      <c r="AF143" s="66"/>
      <c r="AG143" s="66"/>
      <c r="AH143" s="66"/>
      <c r="AI143" s="69"/>
      <c r="AJ143" s="11" t="s">
        <v>446</v>
      </c>
      <c r="AK143" s="178" t="s">
        <v>96</v>
      </c>
      <c r="AL143" s="178"/>
      <c r="AM143" s="178"/>
      <c r="AN143" s="178"/>
      <c r="AO143" s="178"/>
      <c r="AP143" s="178"/>
      <c r="AQ143" s="179" t="s">
        <v>97</v>
      </c>
      <c r="AR143" s="70" t="s">
        <v>349</v>
      </c>
      <c r="AS143" s="71" t="str">
        <f t="shared" si="252"/>
        <v>KPBS-1.019</v>
      </c>
      <c r="AT143" s="71" t="str">
        <f t="shared" si="252"/>
        <v>B02</v>
      </c>
      <c r="AU143" s="72"/>
      <c r="AV143" s="202">
        <v>0.71234827499999998</v>
      </c>
      <c r="AW143" s="202">
        <v>124.324193917</v>
      </c>
      <c r="AX143" s="65" t="s">
        <v>98</v>
      </c>
      <c r="AY143" s="65" t="s">
        <v>94</v>
      </c>
      <c r="AZ143" s="65" t="s">
        <v>94</v>
      </c>
      <c r="BA143" s="73" t="s">
        <v>77</v>
      </c>
      <c r="BB143" s="65" t="s">
        <v>98</v>
      </c>
      <c r="BC143" s="65">
        <v>31</v>
      </c>
      <c r="BD143" s="65" t="s">
        <v>98</v>
      </c>
      <c r="BE143" s="211" t="str">
        <f t="shared" si="250"/>
        <v>142, POYOWA BESAR,</v>
      </c>
    </row>
    <row r="144" spans="1:57" s="211" customFormat="1" ht="15.75" customHeight="1">
      <c r="A144" s="224"/>
      <c r="B144" s="225"/>
      <c r="C144" s="225"/>
      <c r="D144" s="225"/>
      <c r="E144" s="225"/>
      <c r="F144" s="225"/>
      <c r="G144" s="226"/>
      <c r="H144" s="23">
        <v>15</v>
      </c>
      <c r="I144" s="64" t="str">
        <f t="shared" ref="I144:M144" si="279">I143</f>
        <v>MR.KPBS.P010</v>
      </c>
      <c r="J144" s="64">
        <f t="shared" si="279"/>
        <v>0.71261218410000005</v>
      </c>
      <c r="K144" s="64">
        <f t="shared" si="279"/>
        <v>124.3244222165</v>
      </c>
      <c r="L144" s="64" t="str">
        <f t="shared" si="279"/>
        <v>JL. RAYA POYOWA BESAR</v>
      </c>
      <c r="M144" s="64" t="str">
        <f t="shared" si="279"/>
        <v>SULAWESU UTARA</v>
      </c>
      <c r="N144" s="65" t="s">
        <v>105</v>
      </c>
      <c r="O144" s="66" t="s">
        <v>118</v>
      </c>
      <c r="P144" s="65" t="s">
        <v>119</v>
      </c>
      <c r="Q144" s="66">
        <v>95717</v>
      </c>
      <c r="R144" s="66"/>
      <c r="S144" s="66"/>
      <c r="T144" s="66"/>
      <c r="U144" s="66"/>
      <c r="V144" s="66"/>
      <c r="W144" s="64" t="s">
        <v>105</v>
      </c>
      <c r="X144" s="64"/>
      <c r="Y144" s="64" t="s">
        <v>106</v>
      </c>
      <c r="Z144" s="64" t="str">
        <f t="shared" si="264"/>
        <v>KELURAHAN POYOWA BESAR SATU KOTAMOBAGU</v>
      </c>
      <c r="AA144" s="65"/>
      <c r="AB144" s="65"/>
      <c r="AC144" s="65" t="s">
        <v>70</v>
      </c>
      <c r="AD144" s="64" t="str">
        <f t="shared" ref="AD144" si="280">AD143</f>
        <v>POYOWA BESAR</v>
      </c>
      <c r="AE144" s="66"/>
      <c r="AF144" s="66"/>
      <c r="AG144" s="66"/>
      <c r="AH144" s="66"/>
      <c r="AI144" s="69"/>
      <c r="AJ144" s="11" t="s">
        <v>447</v>
      </c>
      <c r="AK144" s="178" t="s">
        <v>96</v>
      </c>
      <c r="AL144" s="178"/>
      <c r="AM144" s="178"/>
      <c r="AN144" s="178"/>
      <c r="AO144" s="178"/>
      <c r="AP144" s="178"/>
      <c r="AQ144" s="179" t="s">
        <v>97</v>
      </c>
      <c r="AR144" s="70" t="s">
        <v>349</v>
      </c>
      <c r="AS144" s="71" t="str">
        <f t="shared" si="252"/>
        <v>KPBS-1.019</v>
      </c>
      <c r="AT144" s="71" t="str">
        <f t="shared" si="252"/>
        <v>B02</v>
      </c>
      <c r="AU144" s="72"/>
      <c r="AV144" s="202">
        <v>0.71271648929999898</v>
      </c>
      <c r="AW144" s="202">
        <v>124.32403181719999</v>
      </c>
      <c r="AX144" s="65" t="s">
        <v>98</v>
      </c>
      <c r="AY144" s="65" t="s">
        <v>94</v>
      </c>
      <c r="AZ144" s="65" t="s">
        <v>94</v>
      </c>
      <c r="BA144" s="73" t="s">
        <v>77</v>
      </c>
      <c r="BB144" s="65" t="s">
        <v>98</v>
      </c>
      <c r="BC144" s="65">
        <v>31</v>
      </c>
      <c r="BD144" s="65" t="s">
        <v>98</v>
      </c>
      <c r="BE144" s="211" t="str">
        <f t="shared" si="250"/>
        <v>141, POYOWA BESAR,</v>
      </c>
    </row>
    <row r="145" spans="1:57" s="211" customFormat="1" ht="15.75" customHeight="1">
      <c r="A145" s="224"/>
      <c r="B145" s="225"/>
      <c r="C145" s="225"/>
      <c r="D145" s="225"/>
      <c r="E145" s="225"/>
      <c r="F145" s="225"/>
      <c r="G145" s="226"/>
      <c r="H145" s="23">
        <v>16</v>
      </c>
      <c r="I145" s="64" t="str">
        <f t="shared" ref="I145:M145" si="281">I144</f>
        <v>MR.KPBS.P010</v>
      </c>
      <c r="J145" s="64">
        <f t="shared" si="281"/>
        <v>0.71261218410000005</v>
      </c>
      <c r="K145" s="64">
        <f t="shared" si="281"/>
        <v>124.3244222165</v>
      </c>
      <c r="L145" s="64" t="str">
        <f t="shared" si="281"/>
        <v>JL. RAYA POYOWA BESAR</v>
      </c>
      <c r="M145" s="64" t="str">
        <f t="shared" si="281"/>
        <v>SULAWESU UTARA</v>
      </c>
      <c r="N145" s="65" t="s">
        <v>105</v>
      </c>
      <c r="O145" s="66" t="s">
        <v>118</v>
      </c>
      <c r="P145" s="65" t="s">
        <v>119</v>
      </c>
      <c r="Q145" s="66">
        <v>95717</v>
      </c>
      <c r="R145" s="66"/>
      <c r="S145" s="66"/>
      <c r="T145" s="66"/>
      <c r="U145" s="66"/>
      <c r="V145" s="66"/>
      <c r="W145" s="64" t="s">
        <v>105</v>
      </c>
      <c r="X145" s="64"/>
      <c r="Y145" s="64" t="s">
        <v>106</v>
      </c>
      <c r="Z145" s="64" t="str">
        <f t="shared" si="264"/>
        <v>KELURAHAN POYOWA BESAR SATU KOTAMOBAGU</v>
      </c>
      <c r="AA145" s="65"/>
      <c r="AB145" s="65"/>
      <c r="AC145" s="65" t="s">
        <v>70</v>
      </c>
      <c r="AD145" s="64" t="str">
        <f t="shared" ref="AD145" si="282">AD144</f>
        <v>POYOWA BESAR</v>
      </c>
      <c r="AE145" s="66"/>
      <c r="AF145" s="66"/>
      <c r="AG145" s="66"/>
      <c r="AH145" s="66"/>
      <c r="AI145" s="69"/>
      <c r="AJ145" s="11" t="s">
        <v>448</v>
      </c>
      <c r="AK145" s="178" t="s">
        <v>96</v>
      </c>
      <c r="AL145" s="178"/>
      <c r="AM145" s="183"/>
      <c r="AN145" s="183"/>
      <c r="AO145" s="183"/>
      <c r="AP145" s="183"/>
      <c r="AQ145" s="179" t="s">
        <v>97</v>
      </c>
      <c r="AR145" s="70" t="s">
        <v>349</v>
      </c>
      <c r="AS145" s="71" t="str">
        <f t="shared" si="252"/>
        <v>KPBS-1.019</v>
      </c>
      <c r="AT145" s="71" t="str">
        <f t="shared" si="252"/>
        <v>B02</v>
      </c>
      <c r="AU145" s="72"/>
      <c r="AV145" s="202">
        <v>0.71235757629999996</v>
      </c>
      <c r="AW145" s="202">
        <v>124.32408036149999</v>
      </c>
      <c r="AX145" s="65" t="s">
        <v>98</v>
      </c>
      <c r="AY145" s="65" t="s">
        <v>94</v>
      </c>
      <c r="AZ145" s="65" t="s">
        <v>94</v>
      </c>
      <c r="BA145" s="73" t="s">
        <v>77</v>
      </c>
      <c r="BB145" s="65" t="s">
        <v>98</v>
      </c>
      <c r="BC145" s="65">
        <v>31</v>
      </c>
      <c r="BD145" s="65" t="s">
        <v>98</v>
      </c>
      <c r="BE145" s="211" t="str">
        <f t="shared" si="250"/>
        <v>140, POYOWA BESAR,</v>
      </c>
    </row>
    <row r="146" spans="1:57" s="211" customFormat="1" ht="15.75" customHeight="1">
      <c r="A146" s="36" t="s">
        <v>78</v>
      </c>
      <c r="B146" s="36">
        <f>B130+1</f>
        <v>11</v>
      </c>
      <c r="C146" s="33" t="s">
        <v>99</v>
      </c>
      <c r="D146" s="33" t="s">
        <v>101</v>
      </c>
      <c r="E146" s="38">
        <v>1</v>
      </c>
      <c r="F146" s="39">
        <f>F131+1</f>
        <v>5</v>
      </c>
      <c r="G146" s="214" t="s">
        <v>82</v>
      </c>
      <c r="H146" s="35">
        <v>1</v>
      </c>
      <c r="I146" s="48" t="s">
        <v>980</v>
      </c>
      <c r="J146" s="54">
        <v>0.7124322528</v>
      </c>
      <c r="K146" s="54">
        <v>124.3251107424</v>
      </c>
      <c r="L146" s="112" t="s">
        <v>116</v>
      </c>
      <c r="M146" s="56" t="str">
        <f t="shared" ref="M146" si="283">M145</f>
        <v>SULAWESU UTARA</v>
      </c>
      <c r="N146" s="76" t="s">
        <v>105</v>
      </c>
      <c r="O146" s="49" t="s">
        <v>118</v>
      </c>
      <c r="P146" s="76" t="s">
        <v>119</v>
      </c>
      <c r="Q146" s="49">
        <v>95717</v>
      </c>
      <c r="R146" s="51"/>
      <c r="S146" s="52"/>
      <c r="T146" s="53"/>
      <c r="U146" s="52"/>
      <c r="V146" s="53"/>
      <c r="W146" s="50" t="s">
        <v>105</v>
      </c>
      <c r="X146" s="54"/>
      <c r="Y146" s="56" t="s">
        <v>106</v>
      </c>
      <c r="Z146" s="56" t="str">
        <f t="shared" si="264"/>
        <v>KELURAHAN POYOWA BESAR SATU KOTAMOBAGU</v>
      </c>
      <c r="AA146" s="55"/>
      <c r="AB146" s="55"/>
      <c r="AC146" s="55" t="s">
        <v>70</v>
      </c>
      <c r="AD146" s="112" t="s">
        <v>119</v>
      </c>
      <c r="AE146" s="57"/>
      <c r="AF146" s="57"/>
      <c r="AG146" s="57"/>
      <c r="AH146" s="57"/>
      <c r="AI146" s="58"/>
      <c r="AJ146" s="114" t="s">
        <v>174</v>
      </c>
      <c r="AK146" s="55" t="s">
        <v>96</v>
      </c>
      <c r="AL146" s="62"/>
      <c r="AM146" s="184"/>
      <c r="AN146" s="184"/>
      <c r="AO146" s="184"/>
      <c r="AP146" s="184"/>
      <c r="AQ146" s="185" t="s">
        <v>97</v>
      </c>
      <c r="AR146" s="59" t="s">
        <v>349</v>
      </c>
      <c r="AS146" s="60" t="str">
        <f>AS130</f>
        <v>KPBS-1.019</v>
      </c>
      <c r="AT146" s="60" t="str">
        <f>G146</f>
        <v>B03</v>
      </c>
      <c r="AU146" s="61"/>
      <c r="AV146" s="201">
        <v>0.71248279250000002</v>
      </c>
      <c r="AW146" s="201">
        <v>124.3248378717</v>
      </c>
      <c r="AX146" s="62" t="s">
        <v>98</v>
      </c>
      <c r="AY146" s="62" t="s">
        <v>94</v>
      </c>
      <c r="AZ146" s="62" t="s">
        <v>94</v>
      </c>
      <c r="BA146" s="63" t="s">
        <v>77</v>
      </c>
      <c r="BB146" s="62" t="s">
        <v>98</v>
      </c>
      <c r="BC146" s="62">
        <v>31</v>
      </c>
      <c r="BD146" s="62" t="s">
        <v>98</v>
      </c>
      <c r="BE146" s="211" t="str">
        <f t="shared" si="250"/>
        <v>230, POYOWA BESAR,</v>
      </c>
    </row>
    <row r="147" spans="1:57" s="211" customFormat="1" ht="15.75" customHeight="1">
      <c r="A147" s="24"/>
      <c r="B147" s="24"/>
      <c r="C147" s="22" t="s">
        <v>99</v>
      </c>
      <c r="D147" s="22" t="s">
        <v>101</v>
      </c>
      <c r="E147" s="33">
        <v>1</v>
      </c>
      <c r="F147" s="25">
        <f>F146+1</f>
        <v>6</v>
      </c>
      <c r="G147" s="235"/>
      <c r="H147" s="23">
        <v>2</v>
      </c>
      <c r="I147" s="64" t="str">
        <f t="shared" ref="I147:M153" si="284">I146</f>
        <v>EXT.MR.KTG.KPBS.P052</v>
      </c>
      <c r="J147" s="64">
        <f t="shared" si="284"/>
        <v>0.7124322528</v>
      </c>
      <c r="K147" s="64">
        <f t="shared" si="284"/>
        <v>124.3251107424</v>
      </c>
      <c r="L147" s="64" t="str">
        <f t="shared" si="284"/>
        <v>JL. RAYA POYOWA BESAR</v>
      </c>
      <c r="M147" s="64" t="str">
        <f t="shared" si="284"/>
        <v>SULAWESU UTARA</v>
      </c>
      <c r="N147" s="65" t="s">
        <v>105</v>
      </c>
      <c r="O147" s="66" t="s">
        <v>118</v>
      </c>
      <c r="P147" s="65" t="s">
        <v>119</v>
      </c>
      <c r="Q147" s="66">
        <v>95717</v>
      </c>
      <c r="R147" s="67"/>
      <c r="S147" s="68"/>
      <c r="T147" s="68"/>
      <c r="U147" s="68"/>
      <c r="V147" s="68"/>
      <c r="W147" s="65" t="s">
        <v>105</v>
      </c>
      <c r="X147" s="64"/>
      <c r="Y147" s="64" t="s">
        <v>106</v>
      </c>
      <c r="Z147" s="64" t="str">
        <f t="shared" si="264"/>
        <v>KELURAHAN POYOWA BESAR SATU KOTAMOBAGU</v>
      </c>
      <c r="AA147" s="65"/>
      <c r="AB147" s="65"/>
      <c r="AC147" s="65" t="s">
        <v>70</v>
      </c>
      <c r="AD147" s="64" t="str">
        <f t="shared" ref="AD147" si="285">AD146</f>
        <v>POYOWA BESAR</v>
      </c>
      <c r="AE147" s="67"/>
      <c r="AF147" s="67"/>
      <c r="AG147" s="67"/>
      <c r="AH147" s="67"/>
      <c r="AI147" s="69"/>
      <c r="AJ147" s="11" t="s">
        <v>175</v>
      </c>
      <c r="AK147" s="65" t="s">
        <v>96</v>
      </c>
      <c r="AL147" s="65"/>
      <c r="AM147" s="176"/>
      <c r="AN147" s="176"/>
      <c r="AO147" s="176"/>
      <c r="AP147" s="176"/>
      <c r="AQ147" s="177" t="s">
        <v>97</v>
      </c>
      <c r="AR147" s="70" t="s">
        <v>349</v>
      </c>
      <c r="AS147" s="71" t="str">
        <f t="shared" ref="AS147:AT161" si="286">AS146</f>
        <v>KPBS-1.019</v>
      </c>
      <c r="AT147" s="71" t="str">
        <f t="shared" si="286"/>
        <v>B03</v>
      </c>
      <c r="AU147" s="72"/>
      <c r="AV147" s="202">
        <v>0.71237054979999903</v>
      </c>
      <c r="AW147" s="202">
        <v>124.32483650570001</v>
      </c>
      <c r="AX147" s="65" t="s">
        <v>98</v>
      </c>
      <c r="AY147" s="65" t="s">
        <v>94</v>
      </c>
      <c r="AZ147" s="65" t="s">
        <v>94</v>
      </c>
      <c r="BA147" s="73" t="s">
        <v>77</v>
      </c>
      <c r="BB147" s="65" t="s">
        <v>98</v>
      </c>
      <c r="BC147" s="65">
        <v>31</v>
      </c>
      <c r="BD147" s="65" t="s">
        <v>98</v>
      </c>
      <c r="BE147" s="211" t="str">
        <f t="shared" si="250"/>
        <v>231, POYOWA BESAR,</v>
      </c>
    </row>
    <row r="148" spans="1:57" s="211" customFormat="1" ht="15.75" customHeight="1">
      <c r="A148" s="221"/>
      <c r="B148" s="222"/>
      <c r="C148" s="222"/>
      <c r="D148" s="222"/>
      <c r="E148" s="222"/>
      <c r="F148" s="222"/>
      <c r="G148" s="223"/>
      <c r="H148" s="23">
        <v>3</v>
      </c>
      <c r="I148" s="64" t="str">
        <f t="shared" si="284"/>
        <v>EXT.MR.KTG.KPBS.P052</v>
      </c>
      <c r="J148" s="64">
        <f t="shared" si="284"/>
        <v>0.7124322528</v>
      </c>
      <c r="K148" s="64">
        <f t="shared" si="284"/>
        <v>124.3251107424</v>
      </c>
      <c r="L148" s="64" t="str">
        <f t="shared" si="284"/>
        <v>JL. RAYA POYOWA BESAR</v>
      </c>
      <c r="M148" s="64" t="str">
        <f t="shared" si="284"/>
        <v>SULAWESU UTARA</v>
      </c>
      <c r="N148" s="65" t="s">
        <v>105</v>
      </c>
      <c r="O148" s="66" t="s">
        <v>118</v>
      </c>
      <c r="P148" s="65" t="s">
        <v>119</v>
      </c>
      <c r="Q148" s="66">
        <v>95717</v>
      </c>
      <c r="R148" s="67"/>
      <c r="S148" s="68"/>
      <c r="T148" s="68"/>
      <c r="U148" s="68"/>
      <c r="V148" s="68"/>
      <c r="W148" s="65" t="s">
        <v>105</v>
      </c>
      <c r="X148" s="64"/>
      <c r="Y148" s="64" t="s">
        <v>106</v>
      </c>
      <c r="Z148" s="64" t="str">
        <f t="shared" si="264"/>
        <v>KELURAHAN POYOWA BESAR SATU KOTAMOBAGU</v>
      </c>
      <c r="AA148" s="65"/>
      <c r="AB148" s="65"/>
      <c r="AC148" s="65" t="s">
        <v>70</v>
      </c>
      <c r="AD148" s="64" t="str">
        <f t="shared" ref="AD148" si="287">AD147</f>
        <v>POYOWA BESAR</v>
      </c>
      <c r="AE148" s="67"/>
      <c r="AF148" s="67"/>
      <c r="AG148" s="67"/>
      <c r="AH148" s="67"/>
      <c r="AI148" s="69"/>
      <c r="AJ148" s="11" t="s">
        <v>176</v>
      </c>
      <c r="AK148" s="65" t="s">
        <v>96</v>
      </c>
      <c r="AL148" s="65"/>
      <c r="AM148" s="176"/>
      <c r="AN148" s="176"/>
      <c r="AO148" s="176"/>
      <c r="AP148" s="176"/>
      <c r="AQ148" s="177" t="s">
        <v>97</v>
      </c>
      <c r="AR148" s="70" t="s">
        <v>349</v>
      </c>
      <c r="AS148" s="71" t="str">
        <f t="shared" si="286"/>
        <v>KPBS-1.019</v>
      </c>
      <c r="AT148" s="71" t="str">
        <f t="shared" si="286"/>
        <v>B03</v>
      </c>
      <c r="AU148" s="72"/>
      <c r="AV148" s="202">
        <v>0.71229115860000003</v>
      </c>
      <c r="AW148" s="202">
        <v>124.32492528820001</v>
      </c>
      <c r="AX148" s="65" t="s">
        <v>98</v>
      </c>
      <c r="AY148" s="65" t="s">
        <v>94</v>
      </c>
      <c r="AZ148" s="65" t="s">
        <v>94</v>
      </c>
      <c r="BA148" s="73" t="s">
        <v>77</v>
      </c>
      <c r="BB148" s="65" t="s">
        <v>98</v>
      </c>
      <c r="BC148" s="65">
        <v>31</v>
      </c>
      <c r="BD148" s="65" t="s">
        <v>98</v>
      </c>
      <c r="BE148" s="211" t="str">
        <f t="shared" si="250"/>
        <v>232, POYOWA BESAR,</v>
      </c>
    </row>
    <row r="149" spans="1:57" s="211" customFormat="1" ht="15.75" customHeight="1">
      <c r="A149" s="224"/>
      <c r="B149" s="225"/>
      <c r="C149" s="225"/>
      <c r="D149" s="225"/>
      <c r="E149" s="225"/>
      <c r="F149" s="225"/>
      <c r="G149" s="226"/>
      <c r="H149" s="23">
        <v>4</v>
      </c>
      <c r="I149" s="64" t="str">
        <f t="shared" si="284"/>
        <v>EXT.MR.KTG.KPBS.P052</v>
      </c>
      <c r="J149" s="64">
        <f t="shared" si="284"/>
        <v>0.7124322528</v>
      </c>
      <c r="K149" s="64">
        <f t="shared" si="284"/>
        <v>124.3251107424</v>
      </c>
      <c r="L149" s="64" t="str">
        <f t="shared" si="284"/>
        <v>JL. RAYA POYOWA BESAR</v>
      </c>
      <c r="M149" s="64" t="str">
        <f t="shared" si="284"/>
        <v>SULAWESU UTARA</v>
      </c>
      <c r="N149" s="65" t="s">
        <v>105</v>
      </c>
      <c r="O149" s="66" t="s">
        <v>118</v>
      </c>
      <c r="P149" s="65" t="s">
        <v>119</v>
      </c>
      <c r="Q149" s="66">
        <v>95717</v>
      </c>
      <c r="R149" s="67"/>
      <c r="S149" s="68"/>
      <c r="T149" s="68"/>
      <c r="U149" s="68"/>
      <c r="V149" s="68"/>
      <c r="W149" s="65" t="s">
        <v>105</v>
      </c>
      <c r="X149" s="64"/>
      <c r="Y149" s="64" t="s">
        <v>106</v>
      </c>
      <c r="Z149" s="64" t="str">
        <f t="shared" si="264"/>
        <v>KELURAHAN POYOWA BESAR SATU KOTAMOBAGU</v>
      </c>
      <c r="AA149" s="65"/>
      <c r="AB149" s="65"/>
      <c r="AC149" s="65" t="s">
        <v>70</v>
      </c>
      <c r="AD149" s="64" t="str">
        <f t="shared" ref="AD149" si="288">AD148</f>
        <v>POYOWA BESAR</v>
      </c>
      <c r="AE149" s="67"/>
      <c r="AF149" s="67"/>
      <c r="AG149" s="67"/>
      <c r="AH149" s="67"/>
      <c r="AI149" s="69"/>
      <c r="AJ149" s="11" t="s">
        <v>177</v>
      </c>
      <c r="AK149" s="65" t="s">
        <v>96</v>
      </c>
      <c r="AL149" s="65"/>
      <c r="AM149" s="176"/>
      <c r="AN149" s="176"/>
      <c r="AO149" s="176"/>
      <c r="AP149" s="176"/>
      <c r="AQ149" s="177" t="s">
        <v>97</v>
      </c>
      <c r="AR149" s="70" t="s">
        <v>349</v>
      </c>
      <c r="AS149" s="71" t="str">
        <f t="shared" si="286"/>
        <v>KPBS-1.019</v>
      </c>
      <c r="AT149" s="71" t="str">
        <f t="shared" si="286"/>
        <v>B03</v>
      </c>
      <c r="AU149" s="72"/>
      <c r="AV149" s="202">
        <v>0.71221587389999896</v>
      </c>
      <c r="AW149" s="202">
        <v>124.32497855770001</v>
      </c>
      <c r="AX149" s="65" t="s">
        <v>98</v>
      </c>
      <c r="AY149" s="65" t="s">
        <v>94</v>
      </c>
      <c r="AZ149" s="65" t="s">
        <v>94</v>
      </c>
      <c r="BA149" s="73" t="s">
        <v>77</v>
      </c>
      <c r="BB149" s="65" t="s">
        <v>98</v>
      </c>
      <c r="BC149" s="65">
        <v>31</v>
      </c>
      <c r="BD149" s="65" t="s">
        <v>98</v>
      </c>
      <c r="BE149" s="211" t="str">
        <f t="shared" si="250"/>
        <v>233, POYOWA BESAR,</v>
      </c>
    </row>
    <row r="150" spans="1:57" s="211" customFormat="1" ht="15.75" customHeight="1">
      <c r="A150" s="224"/>
      <c r="B150" s="225"/>
      <c r="C150" s="225"/>
      <c r="D150" s="225"/>
      <c r="E150" s="225"/>
      <c r="F150" s="225"/>
      <c r="G150" s="226"/>
      <c r="H150" s="23">
        <v>5</v>
      </c>
      <c r="I150" s="64" t="str">
        <f t="shared" si="284"/>
        <v>EXT.MR.KTG.KPBS.P052</v>
      </c>
      <c r="J150" s="64">
        <f t="shared" si="284"/>
        <v>0.7124322528</v>
      </c>
      <c r="K150" s="64">
        <f t="shared" si="284"/>
        <v>124.3251107424</v>
      </c>
      <c r="L150" s="64" t="str">
        <f t="shared" si="284"/>
        <v>JL. RAYA POYOWA BESAR</v>
      </c>
      <c r="M150" s="64" t="str">
        <f t="shared" si="284"/>
        <v>SULAWESU UTARA</v>
      </c>
      <c r="N150" s="65" t="s">
        <v>105</v>
      </c>
      <c r="O150" s="66" t="s">
        <v>118</v>
      </c>
      <c r="P150" s="65" t="s">
        <v>119</v>
      </c>
      <c r="Q150" s="66">
        <v>95717</v>
      </c>
      <c r="R150" s="67"/>
      <c r="S150" s="68"/>
      <c r="T150" s="68"/>
      <c r="U150" s="68"/>
      <c r="V150" s="68"/>
      <c r="W150" s="65" t="s">
        <v>105</v>
      </c>
      <c r="X150" s="64"/>
      <c r="Y150" s="64" t="s">
        <v>106</v>
      </c>
      <c r="Z150" s="64" t="str">
        <f t="shared" si="264"/>
        <v>KELURAHAN POYOWA BESAR SATU KOTAMOBAGU</v>
      </c>
      <c r="AA150" s="65"/>
      <c r="AB150" s="65"/>
      <c r="AC150" s="65" t="s">
        <v>70</v>
      </c>
      <c r="AD150" s="64" t="str">
        <f t="shared" ref="AD150" si="289">AD149</f>
        <v>POYOWA BESAR</v>
      </c>
      <c r="AE150" s="67"/>
      <c r="AF150" s="67"/>
      <c r="AG150" s="67"/>
      <c r="AH150" s="67"/>
      <c r="AI150" s="69"/>
      <c r="AJ150" s="11" t="s">
        <v>178</v>
      </c>
      <c r="AK150" s="65" t="s">
        <v>96</v>
      </c>
      <c r="AL150" s="65"/>
      <c r="AM150" s="176"/>
      <c r="AN150" s="176"/>
      <c r="AO150" s="176"/>
      <c r="AP150" s="176"/>
      <c r="AQ150" s="177" t="s">
        <v>97</v>
      </c>
      <c r="AR150" s="70" t="s">
        <v>349</v>
      </c>
      <c r="AS150" s="71" t="str">
        <f t="shared" si="286"/>
        <v>KPBS-1.019</v>
      </c>
      <c r="AT150" s="71" t="str">
        <f t="shared" si="286"/>
        <v>B03</v>
      </c>
      <c r="AU150" s="72"/>
      <c r="AV150" s="202">
        <v>0.71215017079999998</v>
      </c>
      <c r="AW150" s="202">
        <v>124.32501816830001</v>
      </c>
      <c r="AX150" s="65" t="s">
        <v>98</v>
      </c>
      <c r="AY150" s="65" t="s">
        <v>94</v>
      </c>
      <c r="AZ150" s="65" t="s">
        <v>94</v>
      </c>
      <c r="BA150" s="73" t="s">
        <v>77</v>
      </c>
      <c r="BB150" s="65" t="s">
        <v>98</v>
      </c>
      <c r="BC150" s="65">
        <v>31</v>
      </c>
      <c r="BD150" s="65" t="s">
        <v>98</v>
      </c>
      <c r="BE150" s="211" t="str">
        <f t="shared" si="250"/>
        <v>234, POYOWA BESAR,</v>
      </c>
    </row>
    <row r="151" spans="1:57" s="211" customFormat="1" ht="15.75" customHeight="1">
      <c r="A151" s="224"/>
      <c r="B151" s="225"/>
      <c r="C151" s="225"/>
      <c r="D151" s="225"/>
      <c r="E151" s="225"/>
      <c r="F151" s="225"/>
      <c r="G151" s="226"/>
      <c r="H151" s="23">
        <v>6</v>
      </c>
      <c r="I151" s="64" t="str">
        <f t="shared" si="284"/>
        <v>EXT.MR.KTG.KPBS.P052</v>
      </c>
      <c r="J151" s="64">
        <f t="shared" si="284"/>
        <v>0.7124322528</v>
      </c>
      <c r="K151" s="64">
        <f t="shared" si="284"/>
        <v>124.3251107424</v>
      </c>
      <c r="L151" s="64" t="str">
        <f t="shared" si="284"/>
        <v>JL. RAYA POYOWA BESAR</v>
      </c>
      <c r="M151" s="64" t="str">
        <f t="shared" si="284"/>
        <v>SULAWESU UTARA</v>
      </c>
      <c r="N151" s="65" t="s">
        <v>105</v>
      </c>
      <c r="O151" s="66" t="s">
        <v>118</v>
      </c>
      <c r="P151" s="65" t="s">
        <v>119</v>
      </c>
      <c r="Q151" s="66">
        <v>95717</v>
      </c>
      <c r="R151" s="67"/>
      <c r="S151" s="68"/>
      <c r="T151" s="68"/>
      <c r="U151" s="68"/>
      <c r="V151" s="68"/>
      <c r="W151" s="65" t="s">
        <v>105</v>
      </c>
      <c r="X151" s="64"/>
      <c r="Y151" s="64" t="s">
        <v>106</v>
      </c>
      <c r="Z151" s="64" t="str">
        <f t="shared" si="264"/>
        <v>KELURAHAN POYOWA BESAR SATU KOTAMOBAGU</v>
      </c>
      <c r="AA151" s="65"/>
      <c r="AB151" s="65"/>
      <c r="AC151" s="65" t="s">
        <v>70</v>
      </c>
      <c r="AD151" s="64" t="str">
        <f t="shared" ref="AD151" si="290">AD150</f>
        <v>POYOWA BESAR</v>
      </c>
      <c r="AE151" s="67"/>
      <c r="AF151" s="67"/>
      <c r="AG151" s="67"/>
      <c r="AH151" s="67"/>
      <c r="AI151" s="69"/>
      <c r="AJ151" s="11" t="s">
        <v>449</v>
      </c>
      <c r="AK151" s="65" t="s">
        <v>96</v>
      </c>
      <c r="AL151" s="65"/>
      <c r="AM151" s="176"/>
      <c r="AN151" s="176"/>
      <c r="AO151" s="176"/>
      <c r="AP151" s="176"/>
      <c r="AQ151" s="177" t="s">
        <v>97</v>
      </c>
      <c r="AR151" s="70" t="s">
        <v>349</v>
      </c>
      <c r="AS151" s="71" t="str">
        <f t="shared" si="286"/>
        <v>KPBS-1.019</v>
      </c>
      <c r="AT151" s="71" t="str">
        <f t="shared" si="286"/>
        <v>B03</v>
      </c>
      <c r="AU151" s="72"/>
      <c r="AV151" s="202">
        <v>0.71212911878908403</v>
      </c>
      <c r="AW151" s="202">
        <v>124.32515252285999</v>
      </c>
      <c r="AX151" s="65" t="s">
        <v>98</v>
      </c>
      <c r="AY151" s="65" t="s">
        <v>94</v>
      </c>
      <c r="AZ151" s="65" t="s">
        <v>94</v>
      </c>
      <c r="BA151" s="73" t="s">
        <v>77</v>
      </c>
      <c r="BB151" s="65" t="s">
        <v>98</v>
      </c>
      <c r="BC151" s="65">
        <v>31</v>
      </c>
      <c r="BD151" s="65" t="s">
        <v>98</v>
      </c>
      <c r="BE151" s="211" t="str">
        <f t="shared" si="250"/>
        <v>234A, POYOWA BESAR,</v>
      </c>
    </row>
    <row r="152" spans="1:57" s="211" customFormat="1" ht="15.75" customHeight="1">
      <c r="A152" s="224"/>
      <c r="B152" s="225"/>
      <c r="C152" s="225"/>
      <c r="D152" s="225"/>
      <c r="E152" s="225"/>
      <c r="F152" s="225"/>
      <c r="G152" s="226"/>
      <c r="H152" s="23">
        <v>7</v>
      </c>
      <c r="I152" s="64" t="str">
        <f t="shared" si="284"/>
        <v>EXT.MR.KTG.KPBS.P052</v>
      </c>
      <c r="J152" s="64">
        <f t="shared" si="284"/>
        <v>0.7124322528</v>
      </c>
      <c r="K152" s="64">
        <f t="shared" si="284"/>
        <v>124.3251107424</v>
      </c>
      <c r="L152" s="64" t="str">
        <f t="shared" si="284"/>
        <v>JL. RAYA POYOWA BESAR</v>
      </c>
      <c r="M152" s="64" t="str">
        <f t="shared" si="284"/>
        <v>SULAWESU UTARA</v>
      </c>
      <c r="N152" s="65" t="s">
        <v>105</v>
      </c>
      <c r="O152" s="66" t="s">
        <v>118</v>
      </c>
      <c r="P152" s="65" t="s">
        <v>119</v>
      </c>
      <c r="Q152" s="66">
        <v>95717</v>
      </c>
      <c r="R152" s="67"/>
      <c r="S152" s="68"/>
      <c r="T152" s="68"/>
      <c r="U152" s="68"/>
      <c r="V152" s="68"/>
      <c r="W152" s="65" t="s">
        <v>105</v>
      </c>
      <c r="X152" s="64"/>
      <c r="Y152" s="64" t="s">
        <v>106</v>
      </c>
      <c r="Z152" s="64" t="str">
        <f t="shared" si="264"/>
        <v>KELURAHAN POYOWA BESAR SATU KOTAMOBAGU</v>
      </c>
      <c r="AA152" s="65"/>
      <c r="AB152" s="65"/>
      <c r="AC152" s="65" t="s">
        <v>70</v>
      </c>
      <c r="AD152" s="64" t="str">
        <f t="shared" ref="AD152" si="291">AD151</f>
        <v>POYOWA BESAR</v>
      </c>
      <c r="AE152" s="67"/>
      <c r="AF152" s="67"/>
      <c r="AG152" s="67"/>
      <c r="AH152" s="67"/>
      <c r="AI152" s="69"/>
      <c r="AJ152" s="11" t="s">
        <v>179</v>
      </c>
      <c r="AK152" s="65" t="s">
        <v>96</v>
      </c>
      <c r="AL152" s="65"/>
      <c r="AM152" s="176"/>
      <c r="AN152" s="176"/>
      <c r="AO152" s="176"/>
      <c r="AP152" s="176"/>
      <c r="AQ152" s="177" t="s">
        <v>97</v>
      </c>
      <c r="AR152" s="70" t="s">
        <v>349</v>
      </c>
      <c r="AS152" s="71" t="str">
        <f t="shared" si="286"/>
        <v>KPBS-1.019</v>
      </c>
      <c r="AT152" s="71" t="str">
        <f t="shared" si="286"/>
        <v>B03</v>
      </c>
      <c r="AU152" s="72"/>
      <c r="AV152" s="202">
        <v>0.71238051579999895</v>
      </c>
      <c r="AW152" s="202">
        <v>124.3252519102</v>
      </c>
      <c r="AX152" s="65" t="s">
        <v>98</v>
      </c>
      <c r="AY152" s="65" t="s">
        <v>94</v>
      </c>
      <c r="AZ152" s="65" t="s">
        <v>94</v>
      </c>
      <c r="BA152" s="73" t="s">
        <v>77</v>
      </c>
      <c r="BB152" s="65" t="s">
        <v>98</v>
      </c>
      <c r="BC152" s="65">
        <v>31</v>
      </c>
      <c r="BD152" s="65" t="s">
        <v>98</v>
      </c>
      <c r="BE152" s="211" t="str">
        <f t="shared" si="250"/>
        <v>229, POYOWA BESAR,</v>
      </c>
    </row>
    <row r="153" spans="1:57" s="211" customFormat="1" ht="15.75" customHeight="1">
      <c r="A153" s="224"/>
      <c r="B153" s="225"/>
      <c r="C153" s="225"/>
      <c r="D153" s="225"/>
      <c r="E153" s="225"/>
      <c r="F153" s="225"/>
      <c r="G153" s="226"/>
      <c r="H153" s="23">
        <v>8</v>
      </c>
      <c r="I153" s="64" t="str">
        <f t="shared" si="284"/>
        <v>EXT.MR.KTG.KPBS.P052</v>
      </c>
      <c r="J153" s="64">
        <f t="shared" si="284"/>
        <v>0.7124322528</v>
      </c>
      <c r="K153" s="64">
        <f t="shared" si="284"/>
        <v>124.3251107424</v>
      </c>
      <c r="L153" s="64" t="str">
        <f t="shared" si="284"/>
        <v>JL. RAYA POYOWA BESAR</v>
      </c>
      <c r="M153" s="64" t="str">
        <f t="shared" si="284"/>
        <v>SULAWESU UTARA</v>
      </c>
      <c r="N153" s="65" t="s">
        <v>105</v>
      </c>
      <c r="O153" s="66" t="s">
        <v>118</v>
      </c>
      <c r="P153" s="65" t="s">
        <v>119</v>
      </c>
      <c r="Q153" s="66">
        <v>95717</v>
      </c>
      <c r="R153" s="67"/>
      <c r="S153" s="68"/>
      <c r="T153" s="74"/>
      <c r="U153" s="74"/>
      <c r="V153" s="74"/>
      <c r="W153" s="65" t="s">
        <v>105</v>
      </c>
      <c r="X153" s="64"/>
      <c r="Y153" s="64" t="s">
        <v>106</v>
      </c>
      <c r="Z153" s="64" t="str">
        <f t="shared" si="264"/>
        <v>KELURAHAN POYOWA BESAR SATU KOTAMOBAGU</v>
      </c>
      <c r="AA153" s="65"/>
      <c r="AB153" s="65"/>
      <c r="AC153" s="65" t="s">
        <v>70</v>
      </c>
      <c r="AD153" s="64" t="str">
        <f t="shared" ref="AD153" si="292">AD152</f>
        <v>POYOWA BESAR</v>
      </c>
      <c r="AE153" s="75"/>
      <c r="AF153" s="75"/>
      <c r="AG153" s="75"/>
      <c r="AH153" s="75"/>
      <c r="AI153" s="69"/>
      <c r="AJ153" s="11" t="s">
        <v>180</v>
      </c>
      <c r="AK153" s="65" t="s">
        <v>96</v>
      </c>
      <c r="AL153" s="65"/>
      <c r="AM153" s="176"/>
      <c r="AN153" s="176"/>
      <c r="AO153" s="176"/>
      <c r="AP153" s="176"/>
      <c r="AQ153" s="186" t="s">
        <v>97</v>
      </c>
      <c r="AR153" s="70" t="s">
        <v>349</v>
      </c>
      <c r="AS153" s="71" t="str">
        <f t="shared" si="286"/>
        <v>KPBS-1.019</v>
      </c>
      <c r="AT153" s="71" t="str">
        <f t="shared" si="286"/>
        <v>B03</v>
      </c>
      <c r="AU153" s="72"/>
      <c r="AV153" s="202">
        <v>0.71242705549999996</v>
      </c>
      <c r="AW153" s="202">
        <v>124.3253502538</v>
      </c>
      <c r="AX153" s="65" t="s">
        <v>98</v>
      </c>
      <c r="AY153" s="65" t="s">
        <v>94</v>
      </c>
      <c r="AZ153" s="65" t="s">
        <v>94</v>
      </c>
      <c r="BA153" s="73" t="s">
        <v>77</v>
      </c>
      <c r="BB153" s="65" t="s">
        <v>98</v>
      </c>
      <c r="BC153" s="65">
        <v>31</v>
      </c>
      <c r="BD153" s="65" t="s">
        <v>98</v>
      </c>
      <c r="BE153" s="211" t="str">
        <f t="shared" si="250"/>
        <v>228, POYOWA BESAR,</v>
      </c>
    </row>
    <row r="154" spans="1:57" s="211" customFormat="1" ht="15.75" customHeight="1">
      <c r="A154" s="224"/>
      <c r="B154" s="225"/>
      <c r="C154" s="225"/>
      <c r="D154" s="225"/>
      <c r="E154" s="225"/>
      <c r="F154" s="225"/>
      <c r="G154" s="226"/>
      <c r="H154" s="23">
        <v>9</v>
      </c>
      <c r="I154" s="64" t="str">
        <f t="shared" ref="I154:M154" si="293">I153</f>
        <v>EXT.MR.KTG.KPBS.P052</v>
      </c>
      <c r="J154" s="64">
        <f t="shared" si="293"/>
        <v>0.7124322528</v>
      </c>
      <c r="K154" s="64">
        <f t="shared" si="293"/>
        <v>124.3251107424</v>
      </c>
      <c r="L154" s="64" t="str">
        <f t="shared" si="293"/>
        <v>JL. RAYA POYOWA BESAR</v>
      </c>
      <c r="M154" s="64" t="str">
        <f t="shared" si="293"/>
        <v>SULAWESU UTARA</v>
      </c>
      <c r="N154" s="65" t="s">
        <v>105</v>
      </c>
      <c r="O154" s="66" t="s">
        <v>118</v>
      </c>
      <c r="P154" s="65" t="s">
        <v>119</v>
      </c>
      <c r="Q154" s="66">
        <v>95717</v>
      </c>
      <c r="R154" s="67"/>
      <c r="S154" s="68"/>
      <c r="T154" s="74"/>
      <c r="U154" s="74"/>
      <c r="V154" s="74"/>
      <c r="W154" s="65" t="s">
        <v>105</v>
      </c>
      <c r="X154" s="64"/>
      <c r="Y154" s="64" t="s">
        <v>106</v>
      </c>
      <c r="Z154" s="64" t="str">
        <f t="shared" si="264"/>
        <v>KELURAHAN POYOWA BESAR SATU KOTAMOBAGU</v>
      </c>
      <c r="AA154" s="65"/>
      <c r="AB154" s="65"/>
      <c r="AC154" s="65" t="s">
        <v>70</v>
      </c>
      <c r="AD154" s="64" t="str">
        <f t="shared" ref="AD154" si="294">AD153</f>
        <v>POYOWA BESAR</v>
      </c>
      <c r="AE154" s="75"/>
      <c r="AF154" s="75"/>
      <c r="AG154" s="75"/>
      <c r="AH154" s="75"/>
      <c r="AI154" s="69"/>
      <c r="AJ154" s="11" t="s">
        <v>181</v>
      </c>
      <c r="AK154" s="65" t="s">
        <v>96</v>
      </c>
      <c r="AL154" s="65"/>
      <c r="AM154" s="176"/>
      <c r="AN154" s="176"/>
      <c r="AO154" s="176"/>
      <c r="AP154" s="176"/>
      <c r="AQ154" s="186" t="s">
        <v>97</v>
      </c>
      <c r="AR154" s="70" t="s">
        <v>349</v>
      </c>
      <c r="AS154" s="71" t="str">
        <f t="shared" ref="AS154:AT154" si="295">AS153</f>
        <v>KPBS-1.019</v>
      </c>
      <c r="AT154" s="71" t="str">
        <f t="shared" si="295"/>
        <v>B03</v>
      </c>
      <c r="AU154" s="72"/>
      <c r="AV154" s="202">
        <v>0.71248427709999995</v>
      </c>
      <c r="AW154" s="202">
        <v>124.3254082381</v>
      </c>
      <c r="AX154" s="65" t="s">
        <v>98</v>
      </c>
      <c r="AY154" s="65" t="s">
        <v>94</v>
      </c>
      <c r="AZ154" s="65" t="s">
        <v>94</v>
      </c>
      <c r="BA154" s="73" t="s">
        <v>77</v>
      </c>
      <c r="BB154" s="65" t="s">
        <v>98</v>
      </c>
      <c r="BC154" s="65">
        <v>31</v>
      </c>
      <c r="BD154" s="65" t="s">
        <v>98</v>
      </c>
      <c r="BE154" s="211" t="str">
        <f t="shared" ref="BE154:BE155" si="296">AJ154&amp;", "&amp;AD154&amp;","&amp;AI154</f>
        <v>228A, POYOWA BESAR,</v>
      </c>
    </row>
    <row r="155" spans="1:57" s="211" customFormat="1" ht="15.75" customHeight="1">
      <c r="A155" s="224"/>
      <c r="B155" s="225"/>
      <c r="C155" s="225"/>
      <c r="D155" s="225"/>
      <c r="E155" s="225"/>
      <c r="F155" s="225"/>
      <c r="G155" s="226"/>
      <c r="H155" s="23">
        <v>10</v>
      </c>
      <c r="I155" s="64" t="str">
        <f t="shared" ref="I155:M155" si="297">I154</f>
        <v>EXT.MR.KTG.KPBS.P052</v>
      </c>
      <c r="J155" s="64">
        <f t="shared" si="297"/>
        <v>0.7124322528</v>
      </c>
      <c r="K155" s="64">
        <f t="shared" si="297"/>
        <v>124.3251107424</v>
      </c>
      <c r="L155" s="64" t="str">
        <f t="shared" si="297"/>
        <v>JL. RAYA POYOWA BESAR</v>
      </c>
      <c r="M155" s="64" t="str">
        <f t="shared" si="297"/>
        <v>SULAWESU UTARA</v>
      </c>
      <c r="N155" s="65" t="s">
        <v>105</v>
      </c>
      <c r="O155" s="66" t="s">
        <v>118</v>
      </c>
      <c r="P155" s="65" t="s">
        <v>119</v>
      </c>
      <c r="Q155" s="66">
        <v>95717</v>
      </c>
      <c r="R155" s="67"/>
      <c r="S155" s="68"/>
      <c r="T155" s="74"/>
      <c r="U155" s="74"/>
      <c r="V155" s="74"/>
      <c r="W155" s="65" t="s">
        <v>105</v>
      </c>
      <c r="X155" s="64"/>
      <c r="Y155" s="64" t="s">
        <v>106</v>
      </c>
      <c r="Z155" s="64" t="str">
        <f t="shared" si="264"/>
        <v>KELURAHAN POYOWA BESAR SATU KOTAMOBAGU</v>
      </c>
      <c r="AA155" s="65"/>
      <c r="AB155" s="65"/>
      <c r="AC155" s="65" t="s">
        <v>70</v>
      </c>
      <c r="AD155" s="64" t="str">
        <f t="shared" ref="AD155" si="298">AD154</f>
        <v>POYOWA BESAR</v>
      </c>
      <c r="AE155" s="75"/>
      <c r="AF155" s="75"/>
      <c r="AG155" s="75"/>
      <c r="AH155" s="75"/>
      <c r="AI155" s="69"/>
      <c r="AJ155" s="11" t="s">
        <v>182</v>
      </c>
      <c r="AK155" s="65" t="s">
        <v>96</v>
      </c>
      <c r="AL155" s="65"/>
      <c r="AM155" s="176"/>
      <c r="AN155" s="176"/>
      <c r="AO155" s="176"/>
      <c r="AP155" s="176"/>
      <c r="AQ155" s="186" t="s">
        <v>97</v>
      </c>
      <c r="AR155" s="70" t="s">
        <v>349</v>
      </c>
      <c r="AS155" s="71" t="str">
        <f t="shared" ref="AS155:AT155" si="299">AS154</f>
        <v>KPBS-1.019</v>
      </c>
      <c r="AT155" s="71" t="str">
        <f t="shared" si="299"/>
        <v>B03</v>
      </c>
      <c r="AU155" s="72"/>
      <c r="AV155" s="202">
        <v>0.71246553580000005</v>
      </c>
      <c r="AW155" s="202">
        <v>124.3254895741</v>
      </c>
      <c r="AX155" s="65" t="s">
        <v>98</v>
      </c>
      <c r="AY155" s="65" t="s">
        <v>94</v>
      </c>
      <c r="AZ155" s="65" t="s">
        <v>94</v>
      </c>
      <c r="BA155" s="73" t="s">
        <v>77</v>
      </c>
      <c r="BB155" s="65" t="s">
        <v>98</v>
      </c>
      <c r="BC155" s="65">
        <v>31</v>
      </c>
      <c r="BD155" s="65" t="s">
        <v>98</v>
      </c>
      <c r="BE155" s="211" t="str">
        <f t="shared" si="296"/>
        <v>227, POYOWA BESAR,</v>
      </c>
    </row>
    <row r="156" spans="1:57" s="211" customFormat="1" ht="15.75" customHeight="1">
      <c r="A156" s="224"/>
      <c r="B156" s="225"/>
      <c r="C156" s="225"/>
      <c r="D156" s="225"/>
      <c r="E156" s="225"/>
      <c r="F156" s="225"/>
      <c r="G156" s="226"/>
      <c r="H156" s="23">
        <v>11</v>
      </c>
      <c r="I156" s="64" t="str">
        <f t="shared" ref="I156:M156" si="300">I155</f>
        <v>EXT.MR.KTG.KPBS.P052</v>
      </c>
      <c r="J156" s="64">
        <f t="shared" si="300"/>
        <v>0.7124322528</v>
      </c>
      <c r="K156" s="64">
        <f t="shared" si="300"/>
        <v>124.3251107424</v>
      </c>
      <c r="L156" s="64" t="str">
        <f t="shared" si="300"/>
        <v>JL. RAYA POYOWA BESAR</v>
      </c>
      <c r="M156" s="64" t="str">
        <f t="shared" si="300"/>
        <v>SULAWESU UTARA</v>
      </c>
      <c r="N156" s="65" t="s">
        <v>105</v>
      </c>
      <c r="O156" s="66" t="s">
        <v>118</v>
      </c>
      <c r="P156" s="65" t="s">
        <v>119</v>
      </c>
      <c r="Q156" s="66">
        <v>95717</v>
      </c>
      <c r="R156" s="67"/>
      <c r="S156" s="68"/>
      <c r="T156" s="68"/>
      <c r="U156" s="68"/>
      <c r="V156" s="68"/>
      <c r="W156" s="65" t="s">
        <v>105</v>
      </c>
      <c r="X156" s="64"/>
      <c r="Y156" s="64" t="s">
        <v>106</v>
      </c>
      <c r="Z156" s="64" t="str">
        <f t="shared" si="264"/>
        <v>KELURAHAN POYOWA BESAR SATU KOTAMOBAGU</v>
      </c>
      <c r="AA156" s="65"/>
      <c r="AB156" s="65"/>
      <c r="AC156" s="65" t="s">
        <v>70</v>
      </c>
      <c r="AD156" s="64" t="str">
        <f t="shared" ref="AD156" si="301">AD155</f>
        <v>POYOWA BESAR</v>
      </c>
      <c r="AE156" s="67"/>
      <c r="AF156" s="67"/>
      <c r="AG156" s="67"/>
      <c r="AH156" s="67"/>
      <c r="AI156" s="69"/>
      <c r="AJ156" s="11" t="s">
        <v>183</v>
      </c>
      <c r="AK156" s="65" t="s">
        <v>96</v>
      </c>
      <c r="AL156" s="65"/>
      <c r="AM156" s="176"/>
      <c r="AN156" s="176"/>
      <c r="AO156" s="176"/>
      <c r="AP156" s="176"/>
      <c r="AQ156" s="186" t="s">
        <v>97</v>
      </c>
      <c r="AR156" s="70" t="s">
        <v>349</v>
      </c>
      <c r="AS156" s="71" t="str">
        <f t="shared" ref="AS156:AT156" si="302">AS155</f>
        <v>KPBS-1.019</v>
      </c>
      <c r="AT156" s="71" t="str">
        <f t="shared" si="302"/>
        <v>B03</v>
      </c>
      <c r="AU156" s="72"/>
      <c r="AV156" s="202">
        <v>0.71251876599999997</v>
      </c>
      <c r="AW156" s="202">
        <v>124.3255715271</v>
      </c>
      <c r="AX156" s="65" t="s">
        <v>98</v>
      </c>
      <c r="AY156" s="65" t="s">
        <v>94</v>
      </c>
      <c r="AZ156" s="65" t="s">
        <v>94</v>
      </c>
      <c r="BA156" s="73" t="s">
        <v>77</v>
      </c>
      <c r="BB156" s="65" t="s">
        <v>98</v>
      </c>
      <c r="BC156" s="65">
        <v>31</v>
      </c>
      <c r="BD156" s="65" t="s">
        <v>98</v>
      </c>
      <c r="BE156" s="211" t="str">
        <f t="shared" si="250"/>
        <v>226, POYOWA BESAR,</v>
      </c>
    </row>
    <row r="157" spans="1:57" s="211" customFormat="1" ht="15.75" customHeight="1">
      <c r="A157" s="224"/>
      <c r="B157" s="225"/>
      <c r="C157" s="225"/>
      <c r="D157" s="225"/>
      <c r="E157" s="225"/>
      <c r="F157" s="225"/>
      <c r="G157" s="226"/>
      <c r="H157" s="23">
        <v>12</v>
      </c>
      <c r="I157" s="64" t="str">
        <f t="shared" ref="I157:M157" si="303">I156</f>
        <v>EXT.MR.KTG.KPBS.P052</v>
      </c>
      <c r="J157" s="64">
        <f t="shared" si="303"/>
        <v>0.7124322528</v>
      </c>
      <c r="K157" s="64">
        <f t="shared" si="303"/>
        <v>124.3251107424</v>
      </c>
      <c r="L157" s="64" t="str">
        <f t="shared" si="303"/>
        <v>JL. RAYA POYOWA BESAR</v>
      </c>
      <c r="M157" s="64" t="str">
        <f t="shared" si="303"/>
        <v>SULAWESU UTARA</v>
      </c>
      <c r="N157" s="65" t="s">
        <v>105</v>
      </c>
      <c r="O157" s="66" t="s">
        <v>118</v>
      </c>
      <c r="P157" s="65" t="s">
        <v>119</v>
      </c>
      <c r="Q157" s="66">
        <v>95717</v>
      </c>
      <c r="R157" s="67"/>
      <c r="S157" s="68"/>
      <c r="T157" s="68"/>
      <c r="U157" s="68"/>
      <c r="V157" s="68"/>
      <c r="W157" s="64" t="s">
        <v>105</v>
      </c>
      <c r="X157" s="64"/>
      <c r="Y157" s="64" t="s">
        <v>106</v>
      </c>
      <c r="Z157" s="64" t="str">
        <f t="shared" si="264"/>
        <v>KELURAHAN POYOWA BESAR SATU KOTAMOBAGU</v>
      </c>
      <c r="AA157" s="65"/>
      <c r="AB157" s="65"/>
      <c r="AC157" s="65" t="s">
        <v>70</v>
      </c>
      <c r="AD157" s="64" t="str">
        <f t="shared" ref="AD157" si="304">AD156</f>
        <v>POYOWA BESAR</v>
      </c>
      <c r="AE157" s="67"/>
      <c r="AF157" s="67"/>
      <c r="AG157" s="67"/>
      <c r="AH157" s="67"/>
      <c r="AI157" s="69"/>
      <c r="AJ157" s="11" t="s">
        <v>184</v>
      </c>
      <c r="AK157" s="65" t="s">
        <v>96</v>
      </c>
      <c r="AL157" s="65"/>
      <c r="AM157" s="65"/>
      <c r="AN157" s="65"/>
      <c r="AO157" s="65"/>
      <c r="AP157" s="65"/>
      <c r="AQ157" s="177" t="s">
        <v>97</v>
      </c>
      <c r="AR157" s="70" t="s">
        <v>349</v>
      </c>
      <c r="AS157" s="71" t="str">
        <f t="shared" si="286"/>
        <v>KPBS-1.019</v>
      </c>
      <c r="AT157" s="71" t="str">
        <f t="shared" si="286"/>
        <v>B03</v>
      </c>
      <c r="AU157" s="72"/>
      <c r="AV157" s="202">
        <v>0.71255983040000004</v>
      </c>
      <c r="AW157" s="202">
        <v>124.32565894370001</v>
      </c>
      <c r="AX157" s="65" t="s">
        <v>98</v>
      </c>
      <c r="AY157" s="65" t="s">
        <v>94</v>
      </c>
      <c r="AZ157" s="65" t="s">
        <v>94</v>
      </c>
      <c r="BA157" s="73" t="s">
        <v>77</v>
      </c>
      <c r="BB157" s="65" t="s">
        <v>98</v>
      </c>
      <c r="BC157" s="65">
        <v>31</v>
      </c>
      <c r="BD157" s="65" t="s">
        <v>98</v>
      </c>
      <c r="BE157" s="211" t="str">
        <f t="shared" si="250"/>
        <v>225, POYOWA BESAR,</v>
      </c>
    </row>
    <row r="158" spans="1:57" s="211" customFormat="1" ht="15.75" customHeight="1">
      <c r="A158" s="224"/>
      <c r="B158" s="225"/>
      <c r="C158" s="225"/>
      <c r="D158" s="225"/>
      <c r="E158" s="225"/>
      <c r="F158" s="225"/>
      <c r="G158" s="226"/>
      <c r="H158" s="23">
        <v>13</v>
      </c>
      <c r="I158" s="64" t="str">
        <f t="shared" ref="I158:M158" si="305">I157</f>
        <v>EXT.MR.KTG.KPBS.P052</v>
      </c>
      <c r="J158" s="64">
        <f t="shared" si="305"/>
        <v>0.7124322528</v>
      </c>
      <c r="K158" s="64">
        <f t="shared" si="305"/>
        <v>124.3251107424</v>
      </c>
      <c r="L158" s="64" t="str">
        <f t="shared" si="305"/>
        <v>JL. RAYA POYOWA BESAR</v>
      </c>
      <c r="M158" s="64" t="str">
        <f t="shared" si="305"/>
        <v>SULAWESU UTARA</v>
      </c>
      <c r="N158" s="65" t="s">
        <v>105</v>
      </c>
      <c r="O158" s="66" t="s">
        <v>118</v>
      </c>
      <c r="P158" s="65" t="s">
        <v>119</v>
      </c>
      <c r="Q158" s="66">
        <v>95717</v>
      </c>
      <c r="R158" s="67"/>
      <c r="S158" s="68"/>
      <c r="T158" s="68"/>
      <c r="U158" s="68"/>
      <c r="V158" s="68"/>
      <c r="W158" s="64" t="s">
        <v>105</v>
      </c>
      <c r="X158" s="64"/>
      <c r="Y158" s="64" t="s">
        <v>106</v>
      </c>
      <c r="Z158" s="64" t="str">
        <f t="shared" si="264"/>
        <v>KELURAHAN POYOWA BESAR SATU KOTAMOBAGU</v>
      </c>
      <c r="AA158" s="65"/>
      <c r="AB158" s="65"/>
      <c r="AC158" s="65" t="s">
        <v>70</v>
      </c>
      <c r="AD158" s="64" t="str">
        <f t="shared" ref="AD158" si="306">AD157</f>
        <v>POYOWA BESAR</v>
      </c>
      <c r="AE158" s="67"/>
      <c r="AF158" s="67"/>
      <c r="AG158" s="67"/>
      <c r="AH158" s="67"/>
      <c r="AI158" s="69"/>
      <c r="AJ158" s="11" t="s">
        <v>185</v>
      </c>
      <c r="AK158" s="65" t="s">
        <v>96</v>
      </c>
      <c r="AL158" s="65"/>
      <c r="AM158" s="65"/>
      <c r="AN158" s="65"/>
      <c r="AO158" s="65"/>
      <c r="AP158" s="65"/>
      <c r="AQ158" s="177" t="s">
        <v>97</v>
      </c>
      <c r="AR158" s="70" t="s">
        <v>349</v>
      </c>
      <c r="AS158" s="71" t="str">
        <f t="shared" si="286"/>
        <v>KPBS-1.019</v>
      </c>
      <c r="AT158" s="71" t="str">
        <f t="shared" si="286"/>
        <v>B03</v>
      </c>
      <c r="AU158" s="72"/>
      <c r="AV158" s="202">
        <v>0.71258460410000002</v>
      </c>
      <c r="AW158" s="202">
        <v>124.3257256017</v>
      </c>
      <c r="AX158" s="65" t="s">
        <v>98</v>
      </c>
      <c r="AY158" s="65" t="s">
        <v>94</v>
      </c>
      <c r="AZ158" s="65" t="s">
        <v>94</v>
      </c>
      <c r="BA158" s="73" t="s">
        <v>77</v>
      </c>
      <c r="BB158" s="65" t="s">
        <v>98</v>
      </c>
      <c r="BC158" s="65">
        <v>31</v>
      </c>
      <c r="BD158" s="65" t="s">
        <v>98</v>
      </c>
      <c r="BE158" s="211" t="str">
        <f t="shared" si="250"/>
        <v>224, POYOWA BESAR,</v>
      </c>
    </row>
    <row r="159" spans="1:57" s="211" customFormat="1" ht="15.75" customHeight="1">
      <c r="A159" s="224"/>
      <c r="B159" s="225"/>
      <c r="C159" s="225"/>
      <c r="D159" s="225"/>
      <c r="E159" s="225"/>
      <c r="F159" s="225"/>
      <c r="G159" s="226"/>
      <c r="H159" s="23">
        <v>14</v>
      </c>
      <c r="I159" s="64" t="str">
        <f t="shared" ref="I159:M159" si="307">I158</f>
        <v>EXT.MR.KTG.KPBS.P052</v>
      </c>
      <c r="J159" s="64">
        <f t="shared" si="307"/>
        <v>0.7124322528</v>
      </c>
      <c r="K159" s="64">
        <f t="shared" si="307"/>
        <v>124.3251107424</v>
      </c>
      <c r="L159" s="64" t="str">
        <f t="shared" si="307"/>
        <v>JL. RAYA POYOWA BESAR</v>
      </c>
      <c r="M159" s="64" t="str">
        <f t="shared" si="307"/>
        <v>SULAWESU UTARA</v>
      </c>
      <c r="N159" s="65" t="s">
        <v>105</v>
      </c>
      <c r="O159" s="66" t="s">
        <v>118</v>
      </c>
      <c r="P159" s="65" t="s">
        <v>119</v>
      </c>
      <c r="Q159" s="66">
        <v>95717</v>
      </c>
      <c r="R159" s="66"/>
      <c r="S159" s="66"/>
      <c r="T159" s="66"/>
      <c r="U159" s="66"/>
      <c r="V159" s="66"/>
      <c r="W159" s="64" t="s">
        <v>105</v>
      </c>
      <c r="X159" s="64"/>
      <c r="Y159" s="64" t="s">
        <v>106</v>
      </c>
      <c r="Z159" s="64" t="str">
        <f t="shared" si="264"/>
        <v>KELURAHAN POYOWA BESAR SATU KOTAMOBAGU</v>
      </c>
      <c r="AA159" s="65"/>
      <c r="AB159" s="65"/>
      <c r="AC159" s="65" t="s">
        <v>70</v>
      </c>
      <c r="AD159" s="64" t="str">
        <f t="shared" ref="AD159" si="308">AD158</f>
        <v>POYOWA BESAR</v>
      </c>
      <c r="AE159" s="66"/>
      <c r="AF159" s="66"/>
      <c r="AG159" s="66"/>
      <c r="AH159" s="66"/>
      <c r="AI159" s="69"/>
      <c r="AJ159" s="11" t="s">
        <v>186</v>
      </c>
      <c r="AK159" s="178" t="s">
        <v>96</v>
      </c>
      <c r="AL159" s="178"/>
      <c r="AM159" s="178"/>
      <c r="AN159" s="178"/>
      <c r="AO159" s="178"/>
      <c r="AP159" s="178"/>
      <c r="AQ159" s="179" t="s">
        <v>97</v>
      </c>
      <c r="AR159" s="70" t="s">
        <v>349</v>
      </c>
      <c r="AS159" s="71" t="str">
        <f t="shared" si="286"/>
        <v>KPBS-1.019</v>
      </c>
      <c r="AT159" s="71" t="str">
        <f t="shared" si="286"/>
        <v>B03</v>
      </c>
      <c r="AU159" s="72"/>
      <c r="AV159" s="202">
        <v>0.7126165552</v>
      </c>
      <c r="AW159" s="202">
        <v>124.3258099793</v>
      </c>
      <c r="AX159" s="65" t="s">
        <v>98</v>
      </c>
      <c r="AY159" s="65" t="s">
        <v>94</v>
      </c>
      <c r="AZ159" s="65" t="s">
        <v>94</v>
      </c>
      <c r="BA159" s="73" t="s">
        <v>77</v>
      </c>
      <c r="BB159" s="65" t="s">
        <v>98</v>
      </c>
      <c r="BC159" s="65">
        <v>31</v>
      </c>
      <c r="BD159" s="65" t="s">
        <v>98</v>
      </c>
      <c r="BE159" s="211" t="str">
        <f t="shared" si="250"/>
        <v>223, POYOWA BESAR,</v>
      </c>
    </row>
    <row r="160" spans="1:57" s="211" customFormat="1" ht="15.75" customHeight="1">
      <c r="A160" s="224"/>
      <c r="B160" s="225"/>
      <c r="C160" s="225"/>
      <c r="D160" s="225"/>
      <c r="E160" s="225"/>
      <c r="F160" s="225"/>
      <c r="G160" s="226"/>
      <c r="H160" s="23">
        <v>15</v>
      </c>
      <c r="I160" s="64" t="str">
        <f t="shared" ref="I160:M161" si="309">I159</f>
        <v>EXT.MR.KTG.KPBS.P052</v>
      </c>
      <c r="J160" s="64">
        <f t="shared" si="309"/>
        <v>0.7124322528</v>
      </c>
      <c r="K160" s="64">
        <f t="shared" si="309"/>
        <v>124.3251107424</v>
      </c>
      <c r="L160" s="64" t="str">
        <f t="shared" si="309"/>
        <v>JL. RAYA POYOWA BESAR</v>
      </c>
      <c r="M160" s="64" t="str">
        <f t="shared" si="309"/>
        <v>SULAWESU UTARA</v>
      </c>
      <c r="N160" s="65" t="s">
        <v>105</v>
      </c>
      <c r="O160" s="66" t="s">
        <v>118</v>
      </c>
      <c r="P160" s="65" t="s">
        <v>119</v>
      </c>
      <c r="Q160" s="66">
        <v>95717</v>
      </c>
      <c r="R160" s="66"/>
      <c r="S160" s="66"/>
      <c r="T160" s="66"/>
      <c r="U160" s="66"/>
      <c r="V160" s="66"/>
      <c r="W160" s="64" t="s">
        <v>105</v>
      </c>
      <c r="X160" s="64"/>
      <c r="Y160" s="64" t="s">
        <v>106</v>
      </c>
      <c r="Z160" s="64" t="str">
        <f t="shared" si="264"/>
        <v>KELURAHAN POYOWA BESAR SATU KOTAMOBAGU</v>
      </c>
      <c r="AA160" s="65"/>
      <c r="AB160" s="65"/>
      <c r="AC160" s="65" t="s">
        <v>70</v>
      </c>
      <c r="AD160" s="64" t="str">
        <f t="shared" ref="AD160:AD161" si="310">AD159</f>
        <v>POYOWA BESAR</v>
      </c>
      <c r="AE160" s="66"/>
      <c r="AF160" s="66"/>
      <c r="AG160" s="66"/>
      <c r="AH160" s="66"/>
      <c r="AI160" s="69"/>
      <c r="AJ160" s="11" t="s">
        <v>187</v>
      </c>
      <c r="AK160" s="178" t="s">
        <v>96</v>
      </c>
      <c r="AL160" s="178"/>
      <c r="AM160" s="178"/>
      <c r="AN160" s="178"/>
      <c r="AO160" s="178"/>
      <c r="AP160" s="178"/>
      <c r="AQ160" s="179" t="s">
        <v>97</v>
      </c>
      <c r="AR160" s="70" t="s">
        <v>349</v>
      </c>
      <c r="AS160" s="71" t="str">
        <f t="shared" si="286"/>
        <v>KPBS-1.019</v>
      </c>
      <c r="AT160" s="71" t="str">
        <f t="shared" si="286"/>
        <v>B03</v>
      </c>
      <c r="AU160" s="72"/>
      <c r="AV160" s="202">
        <v>0.71229100170000004</v>
      </c>
      <c r="AW160" s="202">
        <v>124.32538567429999</v>
      </c>
      <c r="AX160" s="65" t="s">
        <v>98</v>
      </c>
      <c r="AY160" s="65" t="s">
        <v>94</v>
      </c>
      <c r="AZ160" s="65" t="s">
        <v>94</v>
      </c>
      <c r="BA160" s="73" t="s">
        <v>77</v>
      </c>
      <c r="BB160" s="65" t="s">
        <v>98</v>
      </c>
      <c r="BC160" s="65">
        <v>31</v>
      </c>
      <c r="BD160" s="65" t="s">
        <v>98</v>
      </c>
      <c r="BE160" s="211" t="str">
        <f t="shared" si="250"/>
        <v>235, POYOWA BESAR,</v>
      </c>
    </row>
    <row r="161" spans="1:57" s="211" customFormat="1" ht="15.75" customHeight="1">
      <c r="A161" s="224"/>
      <c r="B161" s="225"/>
      <c r="C161" s="225"/>
      <c r="D161" s="225"/>
      <c r="E161" s="225"/>
      <c r="F161" s="225"/>
      <c r="G161" s="226"/>
      <c r="H161" s="23">
        <v>16</v>
      </c>
      <c r="I161" s="64" t="str">
        <f t="shared" si="309"/>
        <v>EXT.MR.KTG.KPBS.P052</v>
      </c>
      <c r="J161" s="64">
        <f t="shared" si="309"/>
        <v>0.7124322528</v>
      </c>
      <c r="K161" s="64">
        <f t="shared" si="309"/>
        <v>124.3251107424</v>
      </c>
      <c r="L161" s="64" t="str">
        <f t="shared" si="309"/>
        <v>JL. RAYA POYOWA BESAR</v>
      </c>
      <c r="M161" s="64" t="str">
        <f t="shared" si="309"/>
        <v>SULAWESU UTARA</v>
      </c>
      <c r="N161" s="65" t="s">
        <v>105</v>
      </c>
      <c r="O161" s="66" t="s">
        <v>118</v>
      </c>
      <c r="P161" s="65" t="s">
        <v>119</v>
      </c>
      <c r="Q161" s="66">
        <v>95717</v>
      </c>
      <c r="R161" s="66"/>
      <c r="S161" s="66"/>
      <c r="T161" s="66"/>
      <c r="U161" s="66"/>
      <c r="V161" s="66"/>
      <c r="W161" s="64" t="s">
        <v>105</v>
      </c>
      <c r="X161" s="64"/>
      <c r="Y161" s="64" t="s">
        <v>106</v>
      </c>
      <c r="Z161" s="64" t="str">
        <f t="shared" si="264"/>
        <v>KELURAHAN POYOWA BESAR SATU KOTAMOBAGU</v>
      </c>
      <c r="AA161" s="65"/>
      <c r="AB161" s="65"/>
      <c r="AC161" s="65" t="s">
        <v>70</v>
      </c>
      <c r="AD161" s="64" t="str">
        <f t="shared" si="310"/>
        <v>POYOWA BESAR</v>
      </c>
      <c r="AE161" s="66"/>
      <c r="AF161" s="66"/>
      <c r="AG161" s="66"/>
      <c r="AH161" s="66"/>
      <c r="AI161" s="69"/>
      <c r="AJ161" s="11" t="s">
        <v>188</v>
      </c>
      <c r="AK161" s="178" t="s">
        <v>96</v>
      </c>
      <c r="AL161" s="178"/>
      <c r="AM161" s="178"/>
      <c r="AN161" s="178"/>
      <c r="AO161" s="178"/>
      <c r="AP161" s="178"/>
      <c r="AQ161" s="179" t="s">
        <v>97</v>
      </c>
      <c r="AR161" s="70" t="s">
        <v>349</v>
      </c>
      <c r="AS161" s="71" t="str">
        <f t="shared" si="286"/>
        <v>KPBS-1.019</v>
      </c>
      <c r="AT161" s="71" t="str">
        <f t="shared" si="286"/>
        <v>B03</v>
      </c>
      <c r="AU161" s="72"/>
      <c r="AV161" s="202">
        <v>0.71218822120000003</v>
      </c>
      <c r="AW161" s="202">
        <v>124.3254232714</v>
      </c>
      <c r="AX161" s="65" t="s">
        <v>98</v>
      </c>
      <c r="AY161" s="65" t="s">
        <v>94</v>
      </c>
      <c r="AZ161" s="65" t="s">
        <v>94</v>
      </c>
      <c r="BA161" s="73" t="s">
        <v>77</v>
      </c>
      <c r="BB161" s="65" t="s">
        <v>98</v>
      </c>
      <c r="BC161" s="65">
        <v>31</v>
      </c>
      <c r="BD161" s="65" t="s">
        <v>98</v>
      </c>
      <c r="BE161" s="211" t="str">
        <f t="shared" ref="BE161" si="311">AJ161&amp;", "&amp;AD161&amp;","&amp;AI161</f>
        <v>236, POYOWA BESAR,</v>
      </c>
    </row>
    <row r="162" spans="1:57" s="211" customFormat="1" ht="15.75" customHeight="1">
      <c r="A162" s="36" t="s">
        <v>78</v>
      </c>
      <c r="B162" s="36">
        <f>B146+1</f>
        <v>12</v>
      </c>
      <c r="C162" s="33" t="s">
        <v>99</v>
      </c>
      <c r="D162" s="33" t="s">
        <v>101</v>
      </c>
      <c r="E162" s="38">
        <v>1</v>
      </c>
      <c r="F162" s="39">
        <f>F147+1</f>
        <v>7</v>
      </c>
      <c r="G162" s="214" t="s">
        <v>86</v>
      </c>
      <c r="H162" s="35">
        <v>1</v>
      </c>
      <c r="I162" s="48" t="s">
        <v>981</v>
      </c>
      <c r="J162" s="54">
        <v>0.71157150830000004</v>
      </c>
      <c r="K162" s="54">
        <v>124.32549476529999</v>
      </c>
      <c r="L162" s="112" t="s">
        <v>116</v>
      </c>
      <c r="M162" s="56" t="str">
        <f t="shared" ref="M162" si="312">M160</f>
        <v>SULAWESU UTARA</v>
      </c>
      <c r="N162" s="76" t="s">
        <v>105</v>
      </c>
      <c r="O162" s="49" t="s">
        <v>118</v>
      </c>
      <c r="P162" s="76" t="s">
        <v>119</v>
      </c>
      <c r="Q162" s="49">
        <v>95717</v>
      </c>
      <c r="R162" s="51"/>
      <c r="S162" s="52"/>
      <c r="T162" s="53"/>
      <c r="U162" s="52"/>
      <c r="V162" s="53"/>
      <c r="W162" s="50" t="s">
        <v>105</v>
      </c>
      <c r="X162" s="54"/>
      <c r="Y162" s="56" t="s">
        <v>106</v>
      </c>
      <c r="Z162" s="56" t="str">
        <f>Z160</f>
        <v>KELURAHAN POYOWA BESAR SATU KOTAMOBAGU</v>
      </c>
      <c r="AA162" s="55"/>
      <c r="AB162" s="55"/>
      <c r="AC162" s="55" t="s">
        <v>70</v>
      </c>
      <c r="AD162" s="112" t="s">
        <v>119</v>
      </c>
      <c r="AE162" s="57"/>
      <c r="AF162" s="57"/>
      <c r="AG162" s="57"/>
      <c r="AH162" s="57"/>
      <c r="AI162" s="58"/>
      <c r="AJ162" s="114" t="s">
        <v>189</v>
      </c>
      <c r="AK162" s="55" t="s">
        <v>96</v>
      </c>
      <c r="AL162" s="62"/>
      <c r="AM162" s="184"/>
      <c r="AN162" s="184"/>
      <c r="AO162" s="184"/>
      <c r="AP162" s="184"/>
      <c r="AQ162" s="185" t="s">
        <v>97</v>
      </c>
      <c r="AR162" s="59" t="s">
        <v>349</v>
      </c>
      <c r="AS162" s="60" t="str">
        <f>AS146</f>
        <v>KPBS-1.019</v>
      </c>
      <c r="AT162" s="60" t="str">
        <f>G162</f>
        <v>B04</v>
      </c>
      <c r="AU162" s="61"/>
      <c r="AV162" s="201">
        <v>0.71188831409999997</v>
      </c>
      <c r="AW162" s="201">
        <v>124.3251327438</v>
      </c>
      <c r="AX162" s="62" t="s">
        <v>98</v>
      </c>
      <c r="AY162" s="62" t="s">
        <v>94</v>
      </c>
      <c r="AZ162" s="62" t="s">
        <v>94</v>
      </c>
      <c r="BA162" s="63" t="s">
        <v>77</v>
      </c>
      <c r="BB162" s="62" t="s">
        <v>98</v>
      </c>
      <c r="BC162" s="62">
        <v>31</v>
      </c>
      <c r="BD162" s="62" t="s">
        <v>98</v>
      </c>
      <c r="BE162" s="211" t="str">
        <f t="shared" si="250"/>
        <v>239, POYOWA BESAR,</v>
      </c>
    </row>
    <row r="163" spans="1:57" s="211" customFormat="1" ht="15.75" customHeight="1">
      <c r="A163" s="24"/>
      <c r="B163" s="24"/>
      <c r="C163" s="22" t="s">
        <v>99</v>
      </c>
      <c r="D163" s="22" t="s">
        <v>101</v>
      </c>
      <c r="E163" s="33">
        <v>1</v>
      </c>
      <c r="F163" s="25">
        <f>F162+1</f>
        <v>8</v>
      </c>
      <c r="G163" s="235"/>
      <c r="H163" s="23">
        <v>2</v>
      </c>
      <c r="I163" s="64" t="str">
        <f t="shared" ref="I163:M177" si="313">I162</f>
        <v>EXT.MR.KTG.KPBS.P055</v>
      </c>
      <c r="J163" s="64">
        <f t="shared" si="313"/>
        <v>0.71157150830000004</v>
      </c>
      <c r="K163" s="64">
        <f t="shared" si="313"/>
        <v>124.32549476529999</v>
      </c>
      <c r="L163" s="64" t="str">
        <f t="shared" si="313"/>
        <v>JL. RAYA POYOWA BESAR</v>
      </c>
      <c r="M163" s="64" t="str">
        <f t="shared" si="313"/>
        <v>SULAWESU UTARA</v>
      </c>
      <c r="N163" s="65" t="s">
        <v>105</v>
      </c>
      <c r="O163" s="66" t="s">
        <v>118</v>
      </c>
      <c r="P163" s="65" t="s">
        <v>119</v>
      </c>
      <c r="Q163" s="66">
        <v>95717</v>
      </c>
      <c r="R163" s="67"/>
      <c r="S163" s="68"/>
      <c r="T163" s="68"/>
      <c r="U163" s="68"/>
      <c r="V163" s="68"/>
      <c r="W163" s="65" t="s">
        <v>105</v>
      </c>
      <c r="X163" s="64"/>
      <c r="Y163" s="64" t="s">
        <v>106</v>
      </c>
      <c r="Z163" s="64" t="str">
        <f t="shared" si="264"/>
        <v>KELURAHAN POYOWA BESAR SATU KOTAMOBAGU</v>
      </c>
      <c r="AA163" s="65"/>
      <c r="AB163" s="65"/>
      <c r="AC163" s="65" t="s">
        <v>70</v>
      </c>
      <c r="AD163" s="64" t="str">
        <f t="shared" ref="AD163" si="314">AD162</f>
        <v>POYOWA BESAR</v>
      </c>
      <c r="AE163" s="67"/>
      <c r="AF163" s="67"/>
      <c r="AG163" s="67"/>
      <c r="AH163" s="67"/>
      <c r="AI163" s="69"/>
      <c r="AJ163" s="11" t="s">
        <v>190</v>
      </c>
      <c r="AK163" s="65" t="s">
        <v>96</v>
      </c>
      <c r="AL163" s="65"/>
      <c r="AM163" s="176"/>
      <c r="AN163" s="176"/>
      <c r="AO163" s="176"/>
      <c r="AP163" s="176"/>
      <c r="AQ163" s="177" t="s">
        <v>97</v>
      </c>
      <c r="AR163" s="70" t="s">
        <v>349</v>
      </c>
      <c r="AS163" s="71" t="str">
        <f t="shared" ref="AS163:AT177" si="315">AS162</f>
        <v>KPBS-1.019</v>
      </c>
      <c r="AT163" s="71" t="str">
        <f t="shared" si="315"/>
        <v>B04</v>
      </c>
      <c r="AU163" s="72"/>
      <c r="AV163" s="202">
        <v>0.71209846789999998</v>
      </c>
      <c r="AW163" s="202">
        <v>124.32545822199999</v>
      </c>
      <c r="AX163" s="65" t="s">
        <v>98</v>
      </c>
      <c r="AY163" s="65" t="s">
        <v>94</v>
      </c>
      <c r="AZ163" s="65" t="s">
        <v>94</v>
      </c>
      <c r="BA163" s="73" t="s">
        <v>77</v>
      </c>
      <c r="BB163" s="65" t="s">
        <v>98</v>
      </c>
      <c r="BC163" s="65">
        <v>31</v>
      </c>
      <c r="BD163" s="65" t="s">
        <v>98</v>
      </c>
      <c r="BE163" s="211" t="str">
        <f t="shared" si="250"/>
        <v>237, POYOWA BESAR,</v>
      </c>
    </row>
    <row r="164" spans="1:57" s="211" customFormat="1" ht="15.75" customHeight="1">
      <c r="A164" s="229"/>
      <c r="B164" s="230"/>
      <c r="C164" s="230"/>
      <c r="D164" s="230"/>
      <c r="E164" s="230"/>
      <c r="F164" s="230"/>
      <c r="G164" s="231"/>
      <c r="H164" s="23">
        <v>3</v>
      </c>
      <c r="I164" s="64" t="str">
        <f t="shared" ref="I164:M164" si="316">I163</f>
        <v>EXT.MR.KTG.KPBS.P055</v>
      </c>
      <c r="J164" s="64">
        <f t="shared" si="316"/>
        <v>0.71157150830000004</v>
      </c>
      <c r="K164" s="64">
        <f t="shared" si="316"/>
        <v>124.32549476529999</v>
      </c>
      <c r="L164" s="64" t="str">
        <f t="shared" si="316"/>
        <v>JL. RAYA POYOWA BESAR</v>
      </c>
      <c r="M164" s="64" t="str">
        <f t="shared" si="316"/>
        <v>SULAWESU UTARA</v>
      </c>
      <c r="N164" s="65" t="s">
        <v>105</v>
      </c>
      <c r="O164" s="66" t="s">
        <v>118</v>
      </c>
      <c r="P164" s="65" t="s">
        <v>119</v>
      </c>
      <c r="Q164" s="66">
        <v>95717</v>
      </c>
      <c r="R164" s="67"/>
      <c r="S164" s="68"/>
      <c r="T164" s="68"/>
      <c r="U164" s="68"/>
      <c r="V164" s="68"/>
      <c r="W164" s="65" t="s">
        <v>105</v>
      </c>
      <c r="X164" s="64"/>
      <c r="Y164" s="64" t="s">
        <v>106</v>
      </c>
      <c r="Z164" s="64" t="str">
        <f t="shared" si="264"/>
        <v>KELURAHAN POYOWA BESAR SATU KOTAMOBAGU</v>
      </c>
      <c r="AA164" s="65"/>
      <c r="AB164" s="65"/>
      <c r="AC164" s="65" t="s">
        <v>70</v>
      </c>
      <c r="AD164" s="64" t="str">
        <f t="shared" ref="AD164" si="317">AD163</f>
        <v>POYOWA BESAR</v>
      </c>
      <c r="AE164" s="67"/>
      <c r="AF164" s="67"/>
      <c r="AG164" s="67"/>
      <c r="AH164" s="67"/>
      <c r="AI164" s="69"/>
      <c r="AJ164" s="11" t="s">
        <v>191</v>
      </c>
      <c r="AK164" s="65" t="s">
        <v>96</v>
      </c>
      <c r="AL164" s="65"/>
      <c r="AM164" s="176"/>
      <c r="AN164" s="176"/>
      <c r="AO164" s="176"/>
      <c r="AP164" s="176"/>
      <c r="AQ164" s="177" t="s">
        <v>97</v>
      </c>
      <c r="AR164" s="70" t="s">
        <v>349</v>
      </c>
      <c r="AS164" s="71" t="str">
        <f t="shared" ref="AS164:AT164" si="318">AS163</f>
        <v>KPBS-1.019</v>
      </c>
      <c r="AT164" s="71" t="str">
        <f t="shared" si="318"/>
        <v>B04</v>
      </c>
      <c r="AU164" s="72"/>
      <c r="AV164" s="202">
        <v>0.71198901280000004</v>
      </c>
      <c r="AW164" s="202">
        <v>124.3255150169</v>
      </c>
      <c r="AX164" s="65" t="s">
        <v>98</v>
      </c>
      <c r="AY164" s="65" t="s">
        <v>94</v>
      </c>
      <c r="AZ164" s="65" t="s">
        <v>94</v>
      </c>
      <c r="BA164" s="73" t="s">
        <v>77</v>
      </c>
      <c r="BB164" s="65" t="s">
        <v>98</v>
      </c>
      <c r="BC164" s="65">
        <v>31</v>
      </c>
      <c r="BD164" s="65" t="s">
        <v>98</v>
      </c>
      <c r="BE164" s="211" t="str">
        <f t="shared" ref="BE164:BE170" si="319">AJ164&amp;", "&amp;AD164&amp;","&amp;AI164</f>
        <v>238, POYOWA BESAR,</v>
      </c>
    </row>
    <row r="165" spans="1:57" s="211" customFormat="1" ht="15.75" customHeight="1">
      <c r="A165" s="232"/>
      <c r="B165" s="233"/>
      <c r="C165" s="233"/>
      <c r="D165" s="233"/>
      <c r="E165" s="233"/>
      <c r="F165" s="233"/>
      <c r="G165" s="234"/>
      <c r="H165" s="23">
        <v>4</v>
      </c>
      <c r="I165" s="64" t="str">
        <f t="shared" ref="I165:M165" si="320">I164</f>
        <v>EXT.MR.KTG.KPBS.P055</v>
      </c>
      <c r="J165" s="64">
        <f t="shared" si="320"/>
        <v>0.71157150830000004</v>
      </c>
      <c r="K165" s="64">
        <f t="shared" si="320"/>
        <v>124.32549476529999</v>
      </c>
      <c r="L165" s="64" t="str">
        <f t="shared" si="320"/>
        <v>JL. RAYA POYOWA BESAR</v>
      </c>
      <c r="M165" s="64" t="str">
        <f t="shared" si="320"/>
        <v>SULAWESU UTARA</v>
      </c>
      <c r="N165" s="65" t="s">
        <v>105</v>
      </c>
      <c r="O165" s="66" t="s">
        <v>118</v>
      </c>
      <c r="P165" s="65" t="s">
        <v>119</v>
      </c>
      <c r="Q165" s="66">
        <v>95717</v>
      </c>
      <c r="R165" s="67"/>
      <c r="S165" s="68"/>
      <c r="T165" s="68"/>
      <c r="U165" s="68"/>
      <c r="V165" s="68"/>
      <c r="W165" s="65" t="s">
        <v>105</v>
      </c>
      <c r="X165" s="64"/>
      <c r="Y165" s="64" t="s">
        <v>106</v>
      </c>
      <c r="Z165" s="64" t="str">
        <f t="shared" si="264"/>
        <v>KELURAHAN POYOWA BESAR SATU KOTAMOBAGU</v>
      </c>
      <c r="AA165" s="65"/>
      <c r="AB165" s="65"/>
      <c r="AC165" s="65" t="s">
        <v>70</v>
      </c>
      <c r="AD165" s="64" t="str">
        <f t="shared" ref="AD165" si="321">AD164</f>
        <v>POYOWA BESAR</v>
      </c>
      <c r="AE165" s="67"/>
      <c r="AF165" s="67"/>
      <c r="AG165" s="67"/>
      <c r="AH165" s="67"/>
      <c r="AI165" s="69"/>
      <c r="AJ165" s="11" t="s">
        <v>192</v>
      </c>
      <c r="AK165" s="65" t="s">
        <v>96</v>
      </c>
      <c r="AL165" s="65"/>
      <c r="AM165" s="176"/>
      <c r="AN165" s="176"/>
      <c r="AO165" s="176"/>
      <c r="AP165" s="176"/>
      <c r="AQ165" s="177" t="s">
        <v>97</v>
      </c>
      <c r="AR165" s="70" t="s">
        <v>349</v>
      </c>
      <c r="AS165" s="71" t="str">
        <f t="shared" ref="AS165:AT165" si="322">AS164</f>
        <v>KPBS-1.019</v>
      </c>
      <c r="AT165" s="71" t="str">
        <f t="shared" si="322"/>
        <v>B04</v>
      </c>
      <c r="AU165" s="72"/>
      <c r="AV165" s="202">
        <v>0.71182475489999997</v>
      </c>
      <c r="AW165" s="202">
        <v>124.3254691599</v>
      </c>
      <c r="AX165" s="65" t="s">
        <v>98</v>
      </c>
      <c r="AY165" s="65" t="s">
        <v>94</v>
      </c>
      <c r="AZ165" s="65" t="s">
        <v>94</v>
      </c>
      <c r="BA165" s="73" t="s">
        <v>77</v>
      </c>
      <c r="BB165" s="65" t="s">
        <v>98</v>
      </c>
      <c r="BC165" s="65">
        <v>31</v>
      </c>
      <c r="BD165" s="65" t="s">
        <v>98</v>
      </c>
      <c r="BE165" s="211" t="str">
        <f t="shared" si="319"/>
        <v>241, POYOWA BESAR,</v>
      </c>
    </row>
    <row r="166" spans="1:57" s="211" customFormat="1" ht="15.75" customHeight="1">
      <c r="A166" s="232"/>
      <c r="B166" s="233"/>
      <c r="C166" s="233"/>
      <c r="D166" s="233"/>
      <c r="E166" s="233"/>
      <c r="F166" s="233"/>
      <c r="G166" s="234"/>
      <c r="H166" s="23">
        <v>5</v>
      </c>
      <c r="I166" s="64" t="str">
        <f t="shared" ref="I166:M166" si="323">I165</f>
        <v>EXT.MR.KTG.KPBS.P055</v>
      </c>
      <c r="J166" s="64">
        <f t="shared" si="323"/>
        <v>0.71157150830000004</v>
      </c>
      <c r="K166" s="64">
        <f t="shared" si="323"/>
        <v>124.32549476529999</v>
      </c>
      <c r="L166" s="64" t="str">
        <f t="shared" si="323"/>
        <v>JL. RAYA POYOWA BESAR</v>
      </c>
      <c r="M166" s="64" t="str">
        <f t="shared" si="323"/>
        <v>SULAWESU UTARA</v>
      </c>
      <c r="N166" s="65" t="s">
        <v>105</v>
      </c>
      <c r="O166" s="66" t="s">
        <v>118</v>
      </c>
      <c r="P166" s="65" t="s">
        <v>119</v>
      </c>
      <c r="Q166" s="66">
        <v>95717</v>
      </c>
      <c r="R166" s="67"/>
      <c r="S166" s="68"/>
      <c r="T166" s="68"/>
      <c r="U166" s="68"/>
      <c r="V166" s="68"/>
      <c r="W166" s="65" t="s">
        <v>105</v>
      </c>
      <c r="X166" s="64"/>
      <c r="Y166" s="64" t="s">
        <v>106</v>
      </c>
      <c r="Z166" s="64" t="str">
        <f t="shared" si="264"/>
        <v>KELURAHAN POYOWA BESAR SATU KOTAMOBAGU</v>
      </c>
      <c r="AA166" s="65"/>
      <c r="AB166" s="65"/>
      <c r="AC166" s="65" t="s">
        <v>70</v>
      </c>
      <c r="AD166" s="64" t="str">
        <f t="shared" ref="AD166" si="324">AD165</f>
        <v>POYOWA BESAR</v>
      </c>
      <c r="AE166" s="67"/>
      <c r="AF166" s="67"/>
      <c r="AG166" s="67"/>
      <c r="AH166" s="67"/>
      <c r="AI166" s="69"/>
      <c r="AJ166" s="11" t="s">
        <v>193</v>
      </c>
      <c r="AK166" s="65" t="s">
        <v>96</v>
      </c>
      <c r="AL166" s="65"/>
      <c r="AM166" s="176"/>
      <c r="AN166" s="176"/>
      <c r="AO166" s="176"/>
      <c r="AP166" s="176"/>
      <c r="AQ166" s="177" t="s">
        <v>97</v>
      </c>
      <c r="AR166" s="70" t="s">
        <v>349</v>
      </c>
      <c r="AS166" s="71" t="str">
        <f t="shared" ref="AS166:AT166" si="325">AS165</f>
        <v>KPBS-1.019</v>
      </c>
      <c r="AT166" s="71" t="str">
        <f t="shared" si="325"/>
        <v>B04</v>
      </c>
      <c r="AU166" s="72"/>
      <c r="AV166" s="202">
        <v>0.71175908180000003</v>
      </c>
      <c r="AW166" s="202">
        <v>124.3254822665</v>
      </c>
      <c r="AX166" s="65" t="s">
        <v>98</v>
      </c>
      <c r="AY166" s="65" t="s">
        <v>94</v>
      </c>
      <c r="AZ166" s="65" t="s">
        <v>94</v>
      </c>
      <c r="BA166" s="73" t="s">
        <v>77</v>
      </c>
      <c r="BB166" s="65" t="s">
        <v>98</v>
      </c>
      <c r="BC166" s="65">
        <v>31</v>
      </c>
      <c r="BD166" s="65" t="s">
        <v>98</v>
      </c>
      <c r="BE166" s="211" t="str">
        <f t="shared" si="319"/>
        <v>242, POYOWA BESAR,</v>
      </c>
    </row>
    <row r="167" spans="1:57" s="211" customFormat="1" ht="15.75" customHeight="1">
      <c r="A167" s="232"/>
      <c r="B167" s="233"/>
      <c r="C167" s="233"/>
      <c r="D167" s="233"/>
      <c r="E167" s="233"/>
      <c r="F167" s="233"/>
      <c r="G167" s="234"/>
      <c r="H167" s="23">
        <v>6</v>
      </c>
      <c r="I167" s="64" t="str">
        <f t="shared" ref="I167:M167" si="326">I166</f>
        <v>EXT.MR.KTG.KPBS.P055</v>
      </c>
      <c r="J167" s="64">
        <f t="shared" si="326"/>
        <v>0.71157150830000004</v>
      </c>
      <c r="K167" s="64">
        <f t="shared" si="326"/>
        <v>124.32549476529999</v>
      </c>
      <c r="L167" s="64" t="str">
        <f t="shared" si="326"/>
        <v>JL. RAYA POYOWA BESAR</v>
      </c>
      <c r="M167" s="64" t="str">
        <f t="shared" si="326"/>
        <v>SULAWESU UTARA</v>
      </c>
      <c r="N167" s="65" t="s">
        <v>105</v>
      </c>
      <c r="O167" s="66" t="s">
        <v>118</v>
      </c>
      <c r="P167" s="65" t="s">
        <v>119</v>
      </c>
      <c r="Q167" s="66">
        <v>95717</v>
      </c>
      <c r="R167" s="67"/>
      <c r="S167" s="68"/>
      <c r="T167" s="68"/>
      <c r="U167" s="68"/>
      <c r="V167" s="68"/>
      <c r="W167" s="65" t="s">
        <v>105</v>
      </c>
      <c r="X167" s="64"/>
      <c r="Y167" s="64" t="s">
        <v>106</v>
      </c>
      <c r="Z167" s="64" t="str">
        <f t="shared" si="264"/>
        <v>KELURAHAN POYOWA BESAR SATU KOTAMOBAGU</v>
      </c>
      <c r="AA167" s="65"/>
      <c r="AB167" s="65"/>
      <c r="AC167" s="65" t="s">
        <v>70</v>
      </c>
      <c r="AD167" s="64" t="str">
        <f t="shared" ref="AD167" si="327">AD166</f>
        <v>POYOWA BESAR</v>
      </c>
      <c r="AE167" s="67"/>
      <c r="AF167" s="67"/>
      <c r="AG167" s="67"/>
      <c r="AH167" s="67"/>
      <c r="AI167" s="69"/>
      <c r="AJ167" s="11" t="s">
        <v>194</v>
      </c>
      <c r="AK167" s="65" t="s">
        <v>96</v>
      </c>
      <c r="AL167" s="65"/>
      <c r="AM167" s="176"/>
      <c r="AN167" s="176"/>
      <c r="AO167" s="176"/>
      <c r="AP167" s="176"/>
      <c r="AQ167" s="177" t="s">
        <v>97</v>
      </c>
      <c r="AR167" s="70" t="s">
        <v>349</v>
      </c>
      <c r="AS167" s="71" t="str">
        <f t="shared" ref="AS167:AT167" si="328">AS166</f>
        <v>KPBS-1.019</v>
      </c>
      <c r="AT167" s="71" t="str">
        <f t="shared" si="328"/>
        <v>B04</v>
      </c>
      <c r="AU167" s="72"/>
      <c r="AV167" s="202">
        <v>0.71178081910000002</v>
      </c>
      <c r="AW167" s="202">
        <v>124.32521358309999</v>
      </c>
      <c r="AX167" s="65" t="s">
        <v>98</v>
      </c>
      <c r="AY167" s="65" t="s">
        <v>94</v>
      </c>
      <c r="AZ167" s="65" t="s">
        <v>94</v>
      </c>
      <c r="BA167" s="73" t="s">
        <v>77</v>
      </c>
      <c r="BB167" s="65" t="s">
        <v>98</v>
      </c>
      <c r="BC167" s="65">
        <v>31</v>
      </c>
      <c r="BD167" s="65" t="s">
        <v>98</v>
      </c>
      <c r="BE167" s="211" t="str">
        <f t="shared" si="319"/>
        <v>240, POYOWA BESAR,</v>
      </c>
    </row>
    <row r="168" spans="1:57" s="211" customFormat="1" ht="15.75" customHeight="1">
      <c r="A168" s="232"/>
      <c r="B168" s="233"/>
      <c r="C168" s="233"/>
      <c r="D168" s="233"/>
      <c r="E168" s="233"/>
      <c r="F168" s="233"/>
      <c r="G168" s="234"/>
      <c r="H168" s="23">
        <v>7</v>
      </c>
      <c r="I168" s="64" t="str">
        <f t="shared" ref="I168:M168" si="329">I167</f>
        <v>EXT.MR.KTG.KPBS.P055</v>
      </c>
      <c r="J168" s="64">
        <f t="shared" si="329"/>
        <v>0.71157150830000004</v>
      </c>
      <c r="K168" s="64">
        <f t="shared" si="329"/>
        <v>124.32549476529999</v>
      </c>
      <c r="L168" s="64" t="str">
        <f t="shared" si="329"/>
        <v>JL. RAYA POYOWA BESAR</v>
      </c>
      <c r="M168" s="64" t="str">
        <f t="shared" si="329"/>
        <v>SULAWESU UTARA</v>
      </c>
      <c r="N168" s="65" t="s">
        <v>105</v>
      </c>
      <c r="O168" s="66" t="s">
        <v>118</v>
      </c>
      <c r="P168" s="65" t="s">
        <v>119</v>
      </c>
      <c r="Q168" s="66">
        <v>95717</v>
      </c>
      <c r="R168" s="67"/>
      <c r="S168" s="68"/>
      <c r="T168" s="68"/>
      <c r="U168" s="68"/>
      <c r="V168" s="68"/>
      <c r="W168" s="65" t="s">
        <v>105</v>
      </c>
      <c r="X168" s="64"/>
      <c r="Y168" s="64" t="s">
        <v>106</v>
      </c>
      <c r="Z168" s="64" t="str">
        <f t="shared" si="264"/>
        <v>KELURAHAN POYOWA BESAR SATU KOTAMOBAGU</v>
      </c>
      <c r="AA168" s="65"/>
      <c r="AB168" s="65"/>
      <c r="AC168" s="65" t="s">
        <v>70</v>
      </c>
      <c r="AD168" s="64" t="str">
        <f t="shared" ref="AD168" si="330">AD167</f>
        <v>POYOWA BESAR</v>
      </c>
      <c r="AE168" s="67"/>
      <c r="AF168" s="67"/>
      <c r="AG168" s="67"/>
      <c r="AH168" s="67"/>
      <c r="AI168" s="69"/>
      <c r="AJ168" s="11" t="s">
        <v>195</v>
      </c>
      <c r="AK168" s="65" t="s">
        <v>96</v>
      </c>
      <c r="AL168" s="65"/>
      <c r="AM168" s="176"/>
      <c r="AN168" s="176"/>
      <c r="AO168" s="176"/>
      <c r="AP168" s="176"/>
      <c r="AQ168" s="177" t="s">
        <v>97</v>
      </c>
      <c r="AR168" s="70" t="s">
        <v>349</v>
      </c>
      <c r="AS168" s="71" t="str">
        <f t="shared" ref="AS168:AT168" si="331">AS167</f>
        <v>KPBS-1.019</v>
      </c>
      <c r="AT168" s="71" t="str">
        <f t="shared" si="331"/>
        <v>B04</v>
      </c>
      <c r="AU168" s="72"/>
      <c r="AV168" s="202">
        <v>0.71168668160000004</v>
      </c>
      <c r="AW168" s="202">
        <v>124.32519610769999</v>
      </c>
      <c r="AX168" s="65" t="s">
        <v>98</v>
      </c>
      <c r="AY168" s="65" t="s">
        <v>94</v>
      </c>
      <c r="AZ168" s="65" t="s">
        <v>94</v>
      </c>
      <c r="BA168" s="73" t="s">
        <v>77</v>
      </c>
      <c r="BB168" s="65" t="s">
        <v>98</v>
      </c>
      <c r="BC168" s="65">
        <v>31</v>
      </c>
      <c r="BD168" s="65" t="s">
        <v>98</v>
      </c>
      <c r="BE168" s="211" t="str">
        <f t="shared" si="319"/>
        <v>243, POYOWA BESAR,</v>
      </c>
    </row>
    <row r="169" spans="1:57" s="211" customFormat="1" ht="15.75" customHeight="1">
      <c r="A169" s="232"/>
      <c r="B169" s="233"/>
      <c r="C169" s="233"/>
      <c r="D169" s="233"/>
      <c r="E169" s="233"/>
      <c r="F169" s="233"/>
      <c r="G169" s="234"/>
      <c r="H169" s="23">
        <v>8</v>
      </c>
      <c r="I169" s="64" t="str">
        <f t="shared" ref="I169:M169" si="332">I168</f>
        <v>EXT.MR.KTG.KPBS.P055</v>
      </c>
      <c r="J169" s="64">
        <f t="shared" si="332"/>
        <v>0.71157150830000004</v>
      </c>
      <c r="K169" s="64">
        <f t="shared" si="332"/>
        <v>124.32549476529999</v>
      </c>
      <c r="L169" s="64" t="str">
        <f t="shared" si="332"/>
        <v>JL. RAYA POYOWA BESAR</v>
      </c>
      <c r="M169" s="64" t="str">
        <f t="shared" si="332"/>
        <v>SULAWESU UTARA</v>
      </c>
      <c r="N169" s="65" t="s">
        <v>105</v>
      </c>
      <c r="O169" s="66" t="s">
        <v>118</v>
      </c>
      <c r="P169" s="65" t="s">
        <v>119</v>
      </c>
      <c r="Q169" s="66">
        <v>95717</v>
      </c>
      <c r="R169" s="67"/>
      <c r="S169" s="68"/>
      <c r="T169" s="68"/>
      <c r="U169" s="68"/>
      <c r="V169" s="68"/>
      <c r="W169" s="65" t="s">
        <v>105</v>
      </c>
      <c r="X169" s="64"/>
      <c r="Y169" s="64" t="s">
        <v>106</v>
      </c>
      <c r="Z169" s="64" t="str">
        <f t="shared" si="264"/>
        <v>KELURAHAN POYOWA BESAR SATU KOTAMOBAGU</v>
      </c>
      <c r="AA169" s="65"/>
      <c r="AB169" s="65"/>
      <c r="AC169" s="65" t="s">
        <v>70</v>
      </c>
      <c r="AD169" s="64" t="str">
        <f t="shared" ref="AD169" si="333">AD168</f>
        <v>POYOWA BESAR</v>
      </c>
      <c r="AE169" s="67"/>
      <c r="AF169" s="67"/>
      <c r="AG169" s="67"/>
      <c r="AH169" s="67"/>
      <c r="AI169" s="69"/>
      <c r="AJ169" s="11" t="s">
        <v>196</v>
      </c>
      <c r="AK169" s="65" t="s">
        <v>96</v>
      </c>
      <c r="AL169" s="65"/>
      <c r="AM169" s="176"/>
      <c r="AN169" s="176"/>
      <c r="AO169" s="176"/>
      <c r="AP169" s="176"/>
      <c r="AQ169" s="177" t="s">
        <v>97</v>
      </c>
      <c r="AR169" s="70" t="s">
        <v>349</v>
      </c>
      <c r="AS169" s="71" t="str">
        <f t="shared" ref="AS169:AT169" si="334">AS168</f>
        <v>KPBS-1.019</v>
      </c>
      <c r="AT169" s="71" t="str">
        <f t="shared" si="334"/>
        <v>B04</v>
      </c>
      <c r="AU169" s="72"/>
      <c r="AV169" s="202">
        <v>0.71162773560000003</v>
      </c>
      <c r="AW169" s="202">
        <v>124.3253096975</v>
      </c>
      <c r="AX169" s="65" t="s">
        <v>98</v>
      </c>
      <c r="AY169" s="65" t="s">
        <v>94</v>
      </c>
      <c r="AZ169" s="65" t="s">
        <v>94</v>
      </c>
      <c r="BA169" s="73" t="s">
        <v>77</v>
      </c>
      <c r="BB169" s="65" t="s">
        <v>98</v>
      </c>
      <c r="BC169" s="65">
        <v>31</v>
      </c>
      <c r="BD169" s="65" t="s">
        <v>98</v>
      </c>
      <c r="BE169" s="211" t="str">
        <f t="shared" si="319"/>
        <v>244, POYOWA BESAR,</v>
      </c>
    </row>
    <row r="170" spans="1:57" s="211" customFormat="1" ht="15.75" customHeight="1">
      <c r="A170" s="232"/>
      <c r="B170" s="233"/>
      <c r="C170" s="233"/>
      <c r="D170" s="233"/>
      <c r="E170" s="233"/>
      <c r="F170" s="233"/>
      <c r="G170" s="234"/>
      <c r="H170" s="23">
        <v>9</v>
      </c>
      <c r="I170" s="64" t="str">
        <f t="shared" ref="I170:M170" si="335">I169</f>
        <v>EXT.MR.KTG.KPBS.P055</v>
      </c>
      <c r="J170" s="64">
        <f t="shared" si="335"/>
        <v>0.71157150830000004</v>
      </c>
      <c r="K170" s="64">
        <f t="shared" si="335"/>
        <v>124.32549476529999</v>
      </c>
      <c r="L170" s="64" t="str">
        <f t="shared" si="335"/>
        <v>JL. RAYA POYOWA BESAR</v>
      </c>
      <c r="M170" s="64" t="str">
        <f t="shared" si="335"/>
        <v>SULAWESU UTARA</v>
      </c>
      <c r="N170" s="65" t="s">
        <v>105</v>
      </c>
      <c r="O170" s="66" t="s">
        <v>118</v>
      </c>
      <c r="P170" s="65" t="s">
        <v>119</v>
      </c>
      <c r="Q170" s="66">
        <v>95717</v>
      </c>
      <c r="R170" s="67"/>
      <c r="S170" s="68"/>
      <c r="T170" s="68"/>
      <c r="U170" s="68"/>
      <c r="V170" s="68"/>
      <c r="W170" s="65" t="s">
        <v>105</v>
      </c>
      <c r="X170" s="64"/>
      <c r="Y170" s="64" t="s">
        <v>106</v>
      </c>
      <c r="Z170" s="64" t="str">
        <f t="shared" si="264"/>
        <v>KELURAHAN POYOWA BESAR SATU KOTAMOBAGU</v>
      </c>
      <c r="AA170" s="65"/>
      <c r="AB170" s="65"/>
      <c r="AC170" s="65" t="s">
        <v>70</v>
      </c>
      <c r="AD170" s="64" t="str">
        <f t="shared" ref="AD170" si="336">AD169</f>
        <v>POYOWA BESAR</v>
      </c>
      <c r="AE170" s="67"/>
      <c r="AF170" s="67"/>
      <c r="AG170" s="67"/>
      <c r="AH170" s="67"/>
      <c r="AI170" s="69"/>
      <c r="AJ170" s="11" t="s">
        <v>197</v>
      </c>
      <c r="AK170" s="65" t="s">
        <v>96</v>
      </c>
      <c r="AL170" s="65"/>
      <c r="AM170" s="176"/>
      <c r="AN170" s="176"/>
      <c r="AO170" s="176"/>
      <c r="AP170" s="176"/>
      <c r="AQ170" s="177" t="s">
        <v>97</v>
      </c>
      <c r="AR170" s="70" t="s">
        <v>349</v>
      </c>
      <c r="AS170" s="71" t="str">
        <f t="shared" ref="AS170:AT170" si="337">AS169</f>
        <v>KPBS-1.019</v>
      </c>
      <c r="AT170" s="71" t="str">
        <f t="shared" si="337"/>
        <v>B04</v>
      </c>
      <c r="AU170" s="72"/>
      <c r="AV170" s="202">
        <v>0.71144418170000001</v>
      </c>
      <c r="AW170" s="202">
        <v>124.3253552531</v>
      </c>
      <c r="AX170" s="65" t="s">
        <v>98</v>
      </c>
      <c r="AY170" s="65" t="s">
        <v>94</v>
      </c>
      <c r="AZ170" s="65" t="s">
        <v>94</v>
      </c>
      <c r="BA170" s="73" t="s">
        <v>77</v>
      </c>
      <c r="BB170" s="65" t="s">
        <v>98</v>
      </c>
      <c r="BC170" s="65">
        <v>31</v>
      </c>
      <c r="BD170" s="65" t="s">
        <v>98</v>
      </c>
      <c r="BE170" s="211" t="str">
        <f t="shared" si="319"/>
        <v>262, POYOWA BESAR,</v>
      </c>
    </row>
    <row r="171" spans="1:57" s="211" customFormat="1" ht="15.75" customHeight="1">
      <c r="A171" s="232"/>
      <c r="B171" s="233"/>
      <c r="C171" s="233"/>
      <c r="D171" s="233"/>
      <c r="E171" s="233"/>
      <c r="F171" s="233"/>
      <c r="G171" s="234"/>
      <c r="H171" s="23">
        <v>10</v>
      </c>
      <c r="I171" s="64" t="str">
        <f t="shared" ref="I171:M171" si="338">I170</f>
        <v>EXT.MR.KTG.KPBS.P055</v>
      </c>
      <c r="J171" s="64">
        <f t="shared" si="338"/>
        <v>0.71157150830000004</v>
      </c>
      <c r="K171" s="64">
        <f t="shared" si="338"/>
        <v>124.32549476529999</v>
      </c>
      <c r="L171" s="64" t="str">
        <f t="shared" si="338"/>
        <v>JL. RAYA POYOWA BESAR</v>
      </c>
      <c r="M171" s="64" t="str">
        <f t="shared" si="338"/>
        <v>SULAWESU UTARA</v>
      </c>
      <c r="N171" s="65" t="s">
        <v>105</v>
      </c>
      <c r="O171" s="66" t="s">
        <v>118</v>
      </c>
      <c r="P171" s="65" t="s">
        <v>119</v>
      </c>
      <c r="Q171" s="66">
        <v>95717</v>
      </c>
      <c r="R171" s="67"/>
      <c r="S171" s="68"/>
      <c r="T171" s="68"/>
      <c r="U171" s="68"/>
      <c r="V171" s="68"/>
      <c r="W171" s="65" t="s">
        <v>105</v>
      </c>
      <c r="X171" s="64"/>
      <c r="Y171" s="64" t="s">
        <v>106</v>
      </c>
      <c r="Z171" s="64" t="str">
        <f t="shared" si="264"/>
        <v>KELURAHAN POYOWA BESAR SATU KOTAMOBAGU</v>
      </c>
      <c r="AA171" s="65"/>
      <c r="AB171" s="65"/>
      <c r="AC171" s="65" t="s">
        <v>70</v>
      </c>
      <c r="AD171" s="64" t="str">
        <f t="shared" ref="AD171" si="339">AD170</f>
        <v>POYOWA BESAR</v>
      </c>
      <c r="AE171" s="67"/>
      <c r="AF171" s="67"/>
      <c r="AG171" s="67"/>
      <c r="AH171" s="67"/>
      <c r="AI171" s="69"/>
      <c r="AJ171" s="11" t="s">
        <v>198</v>
      </c>
      <c r="AK171" s="65" t="s">
        <v>96</v>
      </c>
      <c r="AL171" s="65"/>
      <c r="AM171" s="176"/>
      <c r="AN171" s="176"/>
      <c r="AO171" s="176"/>
      <c r="AP171" s="176"/>
      <c r="AQ171" s="177" t="s">
        <v>97</v>
      </c>
      <c r="AR171" s="70" t="s">
        <v>349</v>
      </c>
      <c r="AS171" s="71" t="str">
        <f t="shared" ref="AS171:AT171" si="340">AS170</f>
        <v>KPBS-1.019</v>
      </c>
      <c r="AT171" s="71" t="str">
        <f t="shared" si="340"/>
        <v>B04</v>
      </c>
      <c r="AU171" s="72"/>
      <c r="AV171" s="202">
        <v>0.71152310129999996</v>
      </c>
      <c r="AW171" s="202">
        <v>124.32557875169999</v>
      </c>
      <c r="AX171" s="65" t="s">
        <v>98</v>
      </c>
      <c r="AY171" s="65" t="s">
        <v>94</v>
      </c>
      <c r="AZ171" s="65" t="s">
        <v>94</v>
      </c>
      <c r="BA171" s="73" t="s">
        <v>77</v>
      </c>
      <c r="BB171" s="65" t="s">
        <v>98</v>
      </c>
      <c r="BC171" s="65">
        <v>31</v>
      </c>
      <c r="BD171" s="65" t="s">
        <v>98</v>
      </c>
      <c r="BE171" s="211" t="str">
        <f t="shared" si="250"/>
        <v>245, POYOWA BESAR,</v>
      </c>
    </row>
    <row r="172" spans="1:57" s="211" customFormat="1" ht="15.75" customHeight="1">
      <c r="A172" s="232"/>
      <c r="B172" s="233"/>
      <c r="C172" s="233"/>
      <c r="D172" s="233"/>
      <c r="E172" s="233"/>
      <c r="F172" s="233"/>
      <c r="G172" s="234"/>
      <c r="H172" s="23">
        <v>11</v>
      </c>
      <c r="I172" s="64" t="str">
        <f t="shared" ref="I172:M172" si="341">I171</f>
        <v>EXT.MR.KTG.KPBS.P055</v>
      </c>
      <c r="J172" s="64">
        <f t="shared" si="341"/>
        <v>0.71157150830000004</v>
      </c>
      <c r="K172" s="64">
        <f t="shared" si="341"/>
        <v>124.32549476529999</v>
      </c>
      <c r="L172" s="64" t="str">
        <f t="shared" si="341"/>
        <v>JL. RAYA POYOWA BESAR</v>
      </c>
      <c r="M172" s="64" t="str">
        <f t="shared" si="341"/>
        <v>SULAWESU UTARA</v>
      </c>
      <c r="N172" s="65" t="s">
        <v>105</v>
      </c>
      <c r="O172" s="66" t="s">
        <v>118</v>
      </c>
      <c r="P172" s="65" t="s">
        <v>119</v>
      </c>
      <c r="Q172" s="66">
        <v>95717</v>
      </c>
      <c r="R172" s="67"/>
      <c r="S172" s="68"/>
      <c r="T172" s="68"/>
      <c r="U172" s="68"/>
      <c r="V172" s="68"/>
      <c r="W172" s="65" t="s">
        <v>105</v>
      </c>
      <c r="X172" s="64"/>
      <c r="Y172" s="64" t="s">
        <v>106</v>
      </c>
      <c r="Z172" s="64" t="str">
        <f t="shared" si="264"/>
        <v>KELURAHAN POYOWA BESAR SATU KOTAMOBAGU</v>
      </c>
      <c r="AA172" s="65"/>
      <c r="AB172" s="65"/>
      <c r="AC172" s="65" t="s">
        <v>70</v>
      </c>
      <c r="AD172" s="64" t="str">
        <f t="shared" ref="AD172" si="342">AD171</f>
        <v>POYOWA BESAR</v>
      </c>
      <c r="AE172" s="67"/>
      <c r="AF172" s="67"/>
      <c r="AG172" s="67"/>
      <c r="AH172" s="67"/>
      <c r="AI172" s="69"/>
      <c r="AJ172" s="11" t="s">
        <v>199</v>
      </c>
      <c r="AK172" s="65" t="s">
        <v>96</v>
      </c>
      <c r="AL172" s="65"/>
      <c r="AM172" s="176"/>
      <c r="AN172" s="176"/>
      <c r="AO172" s="176"/>
      <c r="AP172" s="176"/>
      <c r="AQ172" s="177" t="s">
        <v>97</v>
      </c>
      <c r="AR172" s="70" t="s">
        <v>349</v>
      </c>
      <c r="AS172" s="71" t="str">
        <f t="shared" si="315"/>
        <v>KPBS-1.019</v>
      </c>
      <c r="AT172" s="71" t="str">
        <f t="shared" si="315"/>
        <v>B04</v>
      </c>
      <c r="AU172" s="72"/>
      <c r="AV172" s="202">
        <v>0.71144336149999998</v>
      </c>
      <c r="AW172" s="202">
        <v>124.3256116645</v>
      </c>
      <c r="AX172" s="65" t="s">
        <v>98</v>
      </c>
      <c r="AY172" s="65" t="s">
        <v>94</v>
      </c>
      <c r="AZ172" s="65" t="s">
        <v>94</v>
      </c>
      <c r="BA172" s="73" t="s">
        <v>77</v>
      </c>
      <c r="BB172" s="65" t="s">
        <v>98</v>
      </c>
      <c r="BC172" s="65">
        <v>31</v>
      </c>
      <c r="BD172" s="65" t="s">
        <v>98</v>
      </c>
      <c r="BE172" s="211" t="str">
        <f t="shared" si="250"/>
        <v>433, POYOWA BESAR,</v>
      </c>
    </row>
    <row r="173" spans="1:57" s="211" customFormat="1" ht="15.75" customHeight="1">
      <c r="A173" s="232"/>
      <c r="B173" s="233"/>
      <c r="C173" s="233"/>
      <c r="D173" s="233"/>
      <c r="E173" s="233"/>
      <c r="F173" s="233"/>
      <c r="G173" s="234"/>
      <c r="H173" s="23">
        <v>12</v>
      </c>
      <c r="I173" s="64" t="str">
        <f t="shared" si="313"/>
        <v>EXT.MR.KTG.KPBS.P055</v>
      </c>
      <c r="J173" s="64">
        <f t="shared" si="313"/>
        <v>0.71157150830000004</v>
      </c>
      <c r="K173" s="64">
        <f t="shared" si="313"/>
        <v>124.32549476529999</v>
      </c>
      <c r="L173" s="64" t="str">
        <f t="shared" si="313"/>
        <v>JL. RAYA POYOWA BESAR</v>
      </c>
      <c r="M173" s="64" t="str">
        <f t="shared" si="313"/>
        <v>SULAWESU UTARA</v>
      </c>
      <c r="N173" s="65" t="s">
        <v>105</v>
      </c>
      <c r="O173" s="66" t="s">
        <v>118</v>
      </c>
      <c r="P173" s="65" t="s">
        <v>119</v>
      </c>
      <c r="Q173" s="66">
        <v>95717</v>
      </c>
      <c r="R173" s="67"/>
      <c r="S173" s="68"/>
      <c r="T173" s="68"/>
      <c r="U173" s="68"/>
      <c r="V173" s="68"/>
      <c r="W173" s="65" t="s">
        <v>105</v>
      </c>
      <c r="X173" s="64"/>
      <c r="Y173" s="64" t="s">
        <v>106</v>
      </c>
      <c r="Z173" s="64" t="str">
        <f t="shared" si="264"/>
        <v>KELURAHAN POYOWA BESAR SATU KOTAMOBAGU</v>
      </c>
      <c r="AA173" s="65"/>
      <c r="AB173" s="65"/>
      <c r="AC173" s="65" t="s">
        <v>70</v>
      </c>
      <c r="AD173" s="64" t="str">
        <f t="shared" ref="AD173" si="343">AD172</f>
        <v>POYOWA BESAR</v>
      </c>
      <c r="AE173" s="67"/>
      <c r="AF173" s="67"/>
      <c r="AG173" s="67"/>
      <c r="AH173" s="67"/>
      <c r="AI173" s="69"/>
      <c r="AJ173" s="11" t="s">
        <v>200</v>
      </c>
      <c r="AK173" s="65" t="s">
        <v>96</v>
      </c>
      <c r="AL173" s="65"/>
      <c r="AM173" s="176"/>
      <c r="AN173" s="176"/>
      <c r="AO173" s="176"/>
      <c r="AP173" s="176"/>
      <c r="AQ173" s="177" t="s">
        <v>97</v>
      </c>
      <c r="AR173" s="70" t="s">
        <v>349</v>
      </c>
      <c r="AS173" s="71" t="str">
        <f t="shared" si="315"/>
        <v>KPBS-1.019</v>
      </c>
      <c r="AT173" s="71" t="str">
        <f t="shared" si="315"/>
        <v>B04</v>
      </c>
      <c r="AU173" s="72"/>
      <c r="AV173" s="202">
        <v>0.71143411759999997</v>
      </c>
      <c r="AW173" s="202">
        <v>124.3256900694</v>
      </c>
      <c r="AX173" s="65" t="s">
        <v>98</v>
      </c>
      <c r="AY173" s="65" t="s">
        <v>94</v>
      </c>
      <c r="AZ173" s="65" t="s">
        <v>94</v>
      </c>
      <c r="BA173" s="73" t="s">
        <v>77</v>
      </c>
      <c r="BB173" s="65" t="s">
        <v>98</v>
      </c>
      <c r="BC173" s="65">
        <v>31</v>
      </c>
      <c r="BD173" s="65" t="s">
        <v>98</v>
      </c>
      <c r="BE173" s="211" t="str">
        <f t="shared" si="250"/>
        <v>434, POYOWA BESAR,</v>
      </c>
    </row>
    <row r="174" spans="1:57" s="211" customFormat="1" ht="15.75" customHeight="1">
      <c r="A174" s="232"/>
      <c r="B174" s="233"/>
      <c r="C174" s="233"/>
      <c r="D174" s="233"/>
      <c r="E174" s="233"/>
      <c r="F174" s="233"/>
      <c r="G174" s="234"/>
      <c r="H174" s="23">
        <v>13</v>
      </c>
      <c r="I174" s="64" t="str">
        <f t="shared" si="313"/>
        <v>EXT.MR.KTG.KPBS.P055</v>
      </c>
      <c r="J174" s="64">
        <f t="shared" si="313"/>
        <v>0.71157150830000004</v>
      </c>
      <c r="K174" s="64">
        <f t="shared" si="313"/>
        <v>124.32549476529999</v>
      </c>
      <c r="L174" s="64" t="str">
        <f t="shared" si="313"/>
        <v>JL. RAYA POYOWA BESAR</v>
      </c>
      <c r="M174" s="64" t="str">
        <f t="shared" si="313"/>
        <v>SULAWESU UTARA</v>
      </c>
      <c r="N174" s="65" t="s">
        <v>105</v>
      </c>
      <c r="O174" s="66" t="s">
        <v>118</v>
      </c>
      <c r="P174" s="65" t="s">
        <v>119</v>
      </c>
      <c r="Q174" s="66">
        <v>95717</v>
      </c>
      <c r="R174" s="67"/>
      <c r="S174" s="68"/>
      <c r="T174" s="68"/>
      <c r="U174" s="68"/>
      <c r="V174" s="68"/>
      <c r="W174" s="65" t="s">
        <v>105</v>
      </c>
      <c r="X174" s="64"/>
      <c r="Y174" s="64" t="s">
        <v>106</v>
      </c>
      <c r="Z174" s="64" t="str">
        <f t="shared" si="264"/>
        <v>KELURAHAN POYOWA BESAR SATU KOTAMOBAGU</v>
      </c>
      <c r="AA174" s="65"/>
      <c r="AB174" s="65"/>
      <c r="AC174" s="65" t="s">
        <v>70</v>
      </c>
      <c r="AD174" s="64" t="str">
        <f t="shared" ref="AD174" si="344">AD173</f>
        <v>POYOWA BESAR</v>
      </c>
      <c r="AE174" s="67"/>
      <c r="AF174" s="67"/>
      <c r="AG174" s="67"/>
      <c r="AH174" s="67"/>
      <c r="AI174" s="69"/>
      <c r="AJ174" s="11" t="s">
        <v>201</v>
      </c>
      <c r="AK174" s="65" t="s">
        <v>96</v>
      </c>
      <c r="AL174" s="65"/>
      <c r="AM174" s="176"/>
      <c r="AN174" s="176"/>
      <c r="AO174" s="176"/>
      <c r="AP174" s="176"/>
      <c r="AQ174" s="177" t="s">
        <v>97</v>
      </c>
      <c r="AR174" s="70" t="s">
        <v>349</v>
      </c>
      <c r="AS174" s="71" t="str">
        <f t="shared" si="315"/>
        <v>KPBS-1.019</v>
      </c>
      <c r="AT174" s="71" t="str">
        <f t="shared" si="315"/>
        <v>B04</v>
      </c>
      <c r="AU174" s="72"/>
      <c r="AV174" s="202">
        <v>0.71135554459999895</v>
      </c>
      <c r="AW174" s="202">
        <v>124.3256900694</v>
      </c>
      <c r="AX174" s="65" t="s">
        <v>98</v>
      </c>
      <c r="AY174" s="65" t="s">
        <v>94</v>
      </c>
      <c r="AZ174" s="65" t="s">
        <v>94</v>
      </c>
      <c r="BA174" s="73" t="s">
        <v>77</v>
      </c>
      <c r="BB174" s="65" t="s">
        <v>98</v>
      </c>
      <c r="BC174" s="65">
        <v>31</v>
      </c>
      <c r="BD174" s="65" t="s">
        <v>98</v>
      </c>
      <c r="BE174" s="211" t="str">
        <f t="shared" si="250"/>
        <v>435, POYOWA BESAR,</v>
      </c>
    </row>
    <row r="175" spans="1:57" s="211" customFormat="1" ht="15.75" customHeight="1">
      <c r="A175" s="232"/>
      <c r="B175" s="233"/>
      <c r="C175" s="233"/>
      <c r="D175" s="233"/>
      <c r="E175" s="233"/>
      <c r="F175" s="233"/>
      <c r="G175" s="234"/>
      <c r="H175" s="23">
        <v>14</v>
      </c>
      <c r="I175" s="64" t="str">
        <f t="shared" si="313"/>
        <v>EXT.MR.KTG.KPBS.P055</v>
      </c>
      <c r="J175" s="64">
        <f t="shared" si="313"/>
        <v>0.71157150830000004</v>
      </c>
      <c r="K175" s="64">
        <f t="shared" si="313"/>
        <v>124.32549476529999</v>
      </c>
      <c r="L175" s="64" t="str">
        <f t="shared" si="313"/>
        <v>JL. RAYA POYOWA BESAR</v>
      </c>
      <c r="M175" s="64" t="str">
        <f t="shared" si="313"/>
        <v>SULAWESU UTARA</v>
      </c>
      <c r="N175" s="65" t="s">
        <v>105</v>
      </c>
      <c r="O175" s="66" t="s">
        <v>118</v>
      </c>
      <c r="P175" s="65" t="s">
        <v>119</v>
      </c>
      <c r="Q175" s="66">
        <v>95717</v>
      </c>
      <c r="R175" s="67"/>
      <c r="S175" s="68"/>
      <c r="T175" s="74"/>
      <c r="U175" s="74"/>
      <c r="V175" s="74"/>
      <c r="W175" s="65" t="s">
        <v>105</v>
      </c>
      <c r="X175" s="64"/>
      <c r="Y175" s="64" t="s">
        <v>106</v>
      </c>
      <c r="Z175" s="64" t="str">
        <f t="shared" si="264"/>
        <v>KELURAHAN POYOWA BESAR SATU KOTAMOBAGU</v>
      </c>
      <c r="AA175" s="65"/>
      <c r="AB175" s="65"/>
      <c r="AC175" s="65" t="s">
        <v>70</v>
      </c>
      <c r="AD175" s="64" t="str">
        <f t="shared" ref="AD175" si="345">AD174</f>
        <v>POYOWA BESAR</v>
      </c>
      <c r="AE175" s="75"/>
      <c r="AF175" s="75"/>
      <c r="AG175" s="75"/>
      <c r="AH175" s="75"/>
      <c r="AI175" s="69"/>
      <c r="AJ175" s="11" t="s">
        <v>202</v>
      </c>
      <c r="AK175" s="65" t="s">
        <v>96</v>
      </c>
      <c r="AL175" s="65"/>
      <c r="AM175" s="176"/>
      <c r="AN175" s="176"/>
      <c r="AO175" s="176"/>
      <c r="AP175" s="176"/>
      <c r="AQ175" s="186" t="s">
        <v>97</v>
      </c>
      <c r="AR175" s="70" t="s">
        <v>349</v>
      </c>
      <c r="AS175" s="71" t="str">
        <f t="shared" si="315"/>
        <v>KPBS-1.019</v>
      </c>
      <c r="AT175" s="71" t="str">
        <f t="shared" si="315"/>
        <v>B04</v>
      </c>
      <c r="AU175" s="72"/>
      <c r="AV175" s="202">
        <v>0.71123288480000002</v>
      </c>
      <c r="AW175" s="202">
        <v>124.3254059442</v>
      </c>
      <c r="AX175" s="65" t="s">
        <v>98</v>
      </c>
      <c r="AY175" s="65" t="s">
        <v>94</v>
      </c>
      <c r="AZ175" s="65" t="s">
        <v>94</v>
      </c>
      <c r="BA175" s="73" t="s">
        <v>77</v>
      </c>
      <c r="BB175" s="65" t="s">
        <v>98</v>
      </c>
      <c r="BC175" s="65">
        <v>31</v>
      </c>
      <c r="BD175" s="65" t="s">
        <v>98</v>
      </c>
      <c r="BE175" s="211" t="str">
        <f t="shared" si="250"/>
        <v>432, POYOWA BESAR,</v>
      </c>
    </row>
    <row r="176" spans="1:57" s="211" customFormat="1" ht="15.75" customHeight="1">
      <c r="A176" s="232"/>
      <c r="B176" s="233"/>
      <c r="C176" s="233"/>
      <c r="D176" s="233"/>
      <c r="E176" s="233"/>
      <c r="F176" s="233"/>
      <c r="G176" s="234"/>
      <c r="H176" s="23">
        <v>15</v>
      </c>
      <c r="I176" s="64" t="str">
        <f t="shared" si="313"/>
        <v>EXT.MR.KTG.KPBS.P055</v>
      </c>
      <c r="J176" s="64">
        <f t="shared" si="313"/>
        <v>0.71157150830000004</v>
      </c>
      <c r="K176" s="64">
        <f t="shared" si="313"/>
        <v>124.32549476529999</v>
      </c>
      <c r="L176" s="64" t="str">
        <f t="shared" si="313"/>
        <v>JL. RAYA POYOWA BESAR</v>
      </c>
      <c r="M176" s="64" t="str">
        <f t="shared" si="313"/>
        <v>SULAWESU UTARA</v>
      </c>
      <c r="N176" s="65" t="s">
        <v>105</v>
      </c>
      <c r="O176" s="66" t="s">
        <v>118</v>
      </c>
      <c r="P176" s="65" t="s">
        <v>119</v>
      </c>
      <c r="Q176" s="66">
        <v>95717</v>
      </c>
      <c r="R176" s="67"/>
      <c r="S176" s="68"/>
      <c r="T176" s="68"/>
      <c r="U176" s="68"/>
      <c r="V176" s="68"/>
      <c r="W176" s="65" t="s">
        <v>105</v>
      </c>
      <c r="X176" s="64"/>
      <c r="Y176" s="64" t="s">
        <v>106</v>
      </c>
      <c r="Z176" s="64" t="str">
        <f t="shared" si="264"/>
        <v>KELURAHAN POYOWA BESAR SATU KOTAMOBAGU</v>
      </c>
      <c r="AA176" s="65"/>
      <c r="AB176" s="65"/>
      <c r="AC176" s="65" t="s">
        <v>70</v>
      </c>
      <c r="AD176" s="64" t="str">
        <f t="shared" ref="AD176" si="346">AD175</f>
        <v>POYOWA BESAR</v>
      </c>
      <c r="AE176" s="67"/>
      <c r="AF176" s="67"/>
      <c r="AG176" s="67"/>
      <c r="AH176" s="67"/>
      <c r="AI176" s="69"/>
      <c r="AJ176" s="11" t="s">
        <v>203</v>
      </c>
      <c r="AK176" s="65" t="s">
        <v>96</v>
      </c>
      <c r="AL176" s="65"/>
      <c r="AM176" s="65"/>
      <c r="AN176" s="65"/>
      <c r="AO176" s="65"/>
      <c r="AP176" s="65"/>
      <c r="AQ176" s="177" t="s">
        <v>97</v>
      </c>
      <c r="AR176" s="70" t="s">
        <v>349</v>
      </c>
      <c r="AS176" s="71" t="str">
        <f t="shared" si="315"/>
        <v>KPBS-1.019</v>
      </c>
      <c r="AT176" s="71" t="str">
        <f t="shared" si="315"/>
        <v>B04</v>
      </c>
      <c r="AU176" s="72"/>
      <c r="AV176" s="202">
        <v>0.71126541669999999</v>
      </c>
      <c r="AW176" s="202">
        <v>124.32569237529999</v>
      </c>
      <c r="AX176" s="65" t="s">
        <v>98</v>
      </c>
      <c r="AY176" s="65" t="s">
        <v>94</v>
      </c>
      <c r="AZ176" s="65" t="s">
        <v>94</v>
      </c>
      <c r="BA176" s="73" t="s">
        <v>77</v>
      </c>
      <c r="BB176" s="65" t="s">
        <v>98</v>
      </c>
      <c r="BC176" s="65">
        <v>31</v>
      </c>
      <c r="BD176" s="65" t="s">
        <v>98</v>
      </c>
      <c r="BE176" s="211" t="str">
        <f t="shared" si="250"/>
        <v>436, POYOWA BESAR,</v>
      </c>
    </row>
    <row r="177" spans="1:57" s="211" customFormat="1" ht="15.75" customHeight="1">
      <c r="A177" s="232"/>
      <c r="B177" s="233"/>
      <c r="C177" s="233"/>
      <c r="D177" s="233"/>
      <c r="E177" s="233"/>
      <c r="F177" s="233"/>
      <c r="G177" s="234"/>
      <c r="H177" s="23">
        <v>16</v>
      </c>
      <c r="I177" s="64" t="str">
        <f t="shared" si="313"/>
        <v>EXT.MR.KTG.KPBS.P055</v>
      </c>
      <c r="J177" s="64">
        <f t="shared" si="313"/>
        <v>0.71157150830000004</v>
      </c>
      <c r="K177" s="64">
        <f t="shared" si="313"/>
        <v>124.32549476529999</v>
      </c>
      <c r="L177" s="64" t="str">
        <f t="shared" si="313"/>
        <v>JL. RAYA POYOWA BESAR</v>
      </c>
      <c r="M177" s="64" t="str">
        <f t="shared" si="313"/>
        <v>SULAWESU UTARA</v>
      </c>
      <c r="N177" s="65" t="s">
        <v>105</v>
      </c>
      <c r="O177" s="66" t="s">
        <v>118</v>
      </c>
      <c r="P177" s="65" t="s">
        <v>119</v>
      </c>
      <c r="Q177" s="66">
        <v>95717</v>
      </c>
      <c r="R177" s="67"/>
      <c r="S177" s="68"/>
      <c r="T177" s="68"/>
      <c r="U177" s="68"/>
      <c r="V177" s="68"/>
      <c r="W177" s="64" t="s">
        <v>105</v>
      </c>
      <c r="X177" s="64"/>
      <c r="Y177" s="64" t="s">
        <v>106</v>
      </c>
      <c r="Z177" s="64" t="str">
        <f t="shared" si="264"/>
        <v>KELURAHAN POYOWA BESAR SATU KOTAMOBAGU</v>
      </c>
      <c r="AA177" s="65"/>
      <c r="AB177" s="65"/>
      <c r="AC177" s="65" t="s">
        <v>70</v>
      </c>
      <c r="AD177" s="64" t="str">
        <f t="shared" ref="AD177" si="347">AD176</f>
        <v>POYOWA BESAR</v>
      </c>
      <c r="AE177" s="67"/>
      <c r="AF177" s="67"/>
      <c r="AG177" s="67"/>
      <c r="AH177" s="67"/>
      <c r="AI177" s="69"/>
      <c r="AJ177" s="11" t="s">
        <v>204</v>
      </c>
      <c r="AK177" s="65" t="s">
        <v>96</v>
      </c>
      <c r="AL177" s="65"/>
      <c r="AM177" s="65"/>
      <c r="AN177" s="65"/>
      <c r="AO177" s="65"/>
      <c r="AP177" s="65"/>
      <c r="AQ177" s="177" t="s">
        <v>97</v>
      </c>
      <c r="AR177" s="70" t="s">
        <v>349</v>
      </c>
      <c r="AS177" s="71" t="str">
        <f t="shared" si="315"/>
        <v>KPBS-1.019</v>
      </c>
      <c r="AT177" s="71" t="str">
        <f t="shared" si="315"/>
        <v>B04</v>
      </c>
      <c r="AU177" s="72"/>
      <c r="AV177" s="202">
        <v>0.71136160940000004</v>
      </c>
      <c r="AW177" s="202">
        <v>124.3253840748</v>
      </c>
      <c r="AX177" s="65" t="s">
        <v>98</v>
      </c>
      <c r="AY177" s="65" t="s">
        <v>94</v>
      </c>
      <c r="AZ177" s="65" t="s">
        <v>94</v>
      </c>
      <c r="BA177" s="73" t="s">
        <v>77</v>
      </c>
      <c r="BB177" s="65" t="s">
        <v>98</v>
      </c>
      <c r="BC177" s="65">
        <v>31</v>
      </c>
      <c r="BD177" s="65" t="s">
        <v>98</v>
      </c>
      <c r="BE177" s="211" t="str">
        <f t="shared" si="250"/>
        <v>462A, POYOWA BESAR,</v>
      </c>
    </row>
    <row r="178" spans="1:57" s="211" customFormat="1" ht="15.75" customHeight="1">
      <c r="A178" s="36" t="s">
        <v>100</v>
      </c>
      <c r="B178" s="36">
        <f>B162+1</f>
        <v>13</v>
      </c>
      <c r="C178" s="33" t="s">
        <v>99</v>
      </c>
      <c r="D178" s="33" t="s">
        <v>101</v>
      </c>
      <c r="E178" s="38">
        <v>1</v>
      </c>
      <c r="F178" s="39">
        <f>F163+1</f>
        <v>9</v>
      </c>
      <c r="G178" s="214" t="s">
        <v>87</v>
      </c>
      <c r="H178" s="44">
        <v>1</v>
      </c>
      <c r="I178" s="56" t="s">
        <v>324</v>
      </c>
      <c r="J178" s="56">
        <v>0.7114102283</v>
      </c>
      <c r="K178" s="56">
        <v>124.3250318434</v>
      </c>
      <c r="L178" s="112" t="s">
        <v>116</v>
      </c>
      <c r="M178" s="56" t="str">
        <f t="shared" ref="M178" si="348">M177</f>
        <v>SULAWESU UTARA</v>
      </c>
      <c r="N178" s="76" t="s">
        <v>105</v>
      </c>
      <c r="O178" s="49" t="s">
        <v>118</v>
      </c>
      <c r="P178" s="76" t="s">
        <v>119</v>
      </c>
      <c r="Q178" s="49">
        <v>95717</v>
      </c>
      <c r="R178" s="77"/>
      <c r="S178" s="78"/>
      <c r="T178" s="78"/>
      <c r="U178" s="78"/>
      <c r="V178" s="78"/>
      <c r="W178" s="76" t="s">
        <v>105</v>
      </c>
      <c r="X178" s="56"/>
      <c r="Y178" s="56" t="s">
        <v>106</v>
      </c>
      <c r="Z178" s="56" t="str">
        <f t="shared" si="264"/>
        <v>KELURAHAN POYOWA BESAR SATU KOTAMOBAGU</v>
      </c>
      <c r="AA178" s="76"/>
      <c r="AB178" s="76"/>
      <c r="AC178" s="76" t="s">
        <v>70</v>
      </c>
      <c r="AD178" s="112" t="s">
        <v>119</v>
      </c>
      <c r="AE178" s="77"/>
      <c r="AF178" s="77"/>
      <c r="AG178" s="77"/>
      <c r="AH178" s="77"/>
      <c r="AI178" s="79"/>
      <c r="AJ178" s="114" t="s">
        <v>450</v>
      </c>
      <c r="AK178" s="76" t="s">
        <v>96</v>
      </c>
      <c r="AL178" s="76"/>
      <c r="AM178" s="189"/>
      <c r="AN178" s="189"/>
      <c r="AO178" s="189"/>
      <c r="AP178" s="189"/>
      <c r="AQ178" s="190" t="s">
        <v>97</v>
      </c>
      <c r="AR178" s="59" t="s">
        <v>349</v>
      </c>
      <c r="AS178" s="80" t="str">
        <f>AS162</f>
        <v>KPBS-1.019</v>
      </c>
      <c r="AT178" s="80" t="str">
        <f>G178</f>
        <v>B05</v>
      </c>
      <c r="AU178" s="81"/>
      <c r="AV178" s="201">
        <v>0.71132230539999997</v>
      </c>
      <c r="AW178" s="201">
        <v>124.325181024</v>
      </c>
      <c r="AX178" s="76" t="s">
        <v>98</v>
      </c>
      <c r="AY178" s="76" t="s">
        <v>94</v>
      </c>
      <c r="AZ178" s="76" t="s">
        <v>94</v>
      </c>
      <c r="BA178" s="63" t="s">
        <v>77</v>
      </c>
      <c r="BB178" s="76" t="s">
        <v>98</v>
      </c>
      <c r="BC178" s="76">
        <v>31</v>
      </c>
      <c r="BD178" s="76" t="s">
        <v>98</v>
      </c>
      <c r="BE178" s="211" t="str">
        <f t="shared" si="250"/>
        <v>264, POYOWA BESAR,</v>
      </c>
    </row>
    <row r="179" spans="1:57" s="211" customFormat="1" ht="15.75" customHeight="1">
      <c r="A179" s="24"/>
      <c r="B179" s="24"/>
      <c r="C179" s="22" t="s">
        <v>99</v>
      </c>
      <c r="D179" s="22" t="s">
        <v>101</v>
      </c>
      <c r="E179" s="33">
        <v>1</v>
      </c>
      <c r="F179" s="25">
        <f>F178+1</f>
        <v>10</v>
      </c>
      <c r="G179" s="235"/>
      <c r="H179" s="23">
        <v>2</v>
      </c>
      <c r="I179" s="64" t="str">
        <f t="shared" ref="I179:M190" si="349">I178</f>
        <v>MR.KPBS.P014</v>
      </c>
      <c r="J179" s="64">
        <f t="shared" si="349"/>
        <v>0.7114102283</v>
      </c>
      <c r="K179" s="64">
        <f t="shared" si="349"/>
        <v>124.3250318434</v>
      </c>
      <c r="L179" s="64" t="str">
        <f t="shared" si="349"/>
        <v>JL. RAYA POYOWA BESAR</v>
      </c>
      <c r="M179" s="64" t="str">
        <f t="shared" si="349"/>
        <v>SULAWESU UTARA</v>
      </c>
      <c r="N179" s="65" t="s">
        <v>105</v>
      </c>
      <c r="O179" s="66" t="s">
        <v>118</v>
      </c>
      <c r="P179" s="65" t="s">
        <v>119</v>
      </c>
      <c r="Q179" s="66">
        <v>95717</v>
      </c>
      <c r="R179" s="67"/>
      <c r="S179" s="68"/>
      <c r="T179" s="68"/>
      <c r="U179" s="68"/>
      <c r="V179" s="68"/>
      <c r="W179" s="65" t="s">
        <v>105</v>
      </c>
      <c r="X179" s="64"/>
      <c r="Y179" s="64" t="s">
        <v>106</v>
      </c>
      <c r="Z179" s="64" t="str">
        <f t="shared" si="264"/>
        <v>KELURAHAN POYOWA BESAR SATU KOTAMOBAGU</v>
      </c>
      <c r="AA179" s="65"/>
      <c r="AB179" s="65"/>
      <c r="AC179" s="65" t="s">
        <v>70</v>
      </c>
      <c r="AD179" s="64" t="str">
        <f t="shared" ref="AD179" si="350">AD178</f>
        <v>POYOWA BESAR</v>
      </c>
      <c r="AE179" s="67"/>
      <c r="AF179" s="67"/>
      <c r="AG179" s="67"/>
      <c r="AH179" s="67"/>
      <c r="AI179" s="69"/>
      <c r="AJ179" s="11" t="s">
        <v>451</v>
      </c>
      <c r="AK179" s="65" t="s">
        <v>96</v>
      </c>
      <c r="AL179" s="65"/>
      <c r="AM179" s="176"/>
      <c r="AN179" s="176"/>
      <c r="AO179" s="176"/>
      <c r="AP179" s="176"/>
      <c r="AQ179" s="177" t="s">
        <v>97</v>
      </c>
      <c r="AR179" s="70" t="s">
        <v>349</v>
      </c>
      <c r="AS179" s="71" t="str">
        <f t="shared" ref="AS179:AT190" si="351">AS178</f>
        <v>KPBS-1.019</v>
      </c>
      <c r="AT179" s="71" t="str">
        <f t="shared" si="351"/>
        <v>B05</v>
      </c>
      <c r="AU179" s="72"/>
      <c r="AV179" s="202">
        <v>0.71154643930000006</v>
      </c>
      <c r="AW179" s="202">
        <v>124.3252656567</v>
      </c>
      <c r="AX179" s="65" t="s">
        <v>98</v>
      </c>
      <c r="AY179" s="65" t="s">
        <v>94</v>
      </c>
      <c r="AZ179" s="65" t="s">
        <v>94</v>
      </c>
      <c r="BA179" s="73" t="s">
        <v>77</v>
      </c>
      <c r="BB179" s="65" t="s">
        <v>98</v>
      </c>
      <c r="BC179" s="65">
        <v>31</v>
      </c>
      <c r="BD179" s="65" t="s">
        <v>98</v>
      </c>
      <c r="BE179" s="211" t="str">
        <f t="shared" si="250"/>
        <v>246, POYOWA BESAR,</v>
      </c>
    </row>
    <row r="180" spans="1:57" s="211" customFormat="1" ht="15.75" customHeight="1">
      <c r="A180" s="222"/>
      <c r="B180" s="222"/>
      <c r="C180" s="222"/>
      <c r="D180" s="222"/>
      <c r="E180" s="222"/>
      <c r="F180" s="222"/>
      <c r="G180" s="223"/>
      <c r="H180" s="23">
        <v>3</v>
      </c>
      <c r="I180" s="64" t="str">
        <f t="shared" si="349"/>
        <v>MR.KPBS.P014</v>
      </c>
      <c r="J180" s="64">
        <f t="shared" si="349"/>
        <v>0.7114102283</v>
      </c>
      <c r="K180" s="64">
        <f t="shared" si="349"/>
        <v>124.3250318434</v>
      </c>
      <c r="L180" s="64" t="str">
        <f t="shared" si="349"/>
        <v>JL. RAYA POYOWA BESAR</v>
      </c>
      <c r="M180" s="64" t="str">
        <f t="shared" si="349"/>
        <v>SULAWESU UTARA</v>
      </c>
      <c r="N180" s="65" t="s">
        <v>105</v>
      </c>
      <c r="O180" s="66" t="s">
        <v>118</v>
      </c>
      <c r="P180" s="65" t="s">
        <v>119</v>
      </c>
      <c r="Q180" s="66">
        <v>95717</v>
      </c>
      <c r="R180" s="67"/>
      <c r="S180" s="68"/>
      <c r="T180" s="68"/>
      <c r="U180" s="68"/>
      <c r="V180" s="68"/>
      <c r="W180" s="65" t="s">
        <v>105</v>
      </c>
      <c r="X180" s="64"/>
      <c r="Y180" s="64" t="s">
        <v>106</v>
      </c>
      <c r="Z180" s="64" t="str">
        <f t="shared" si="264"/>
        <v>KELURAHAN POYOWA BESAR SATU KOTAMOBAGU</v>
      </c>
      <c r="AA180" s="65"/>
      <c r="AB180" s="65"/>
      <c r="AC180" s="65" t="s">
        <v>70</v>
      </c>
      <c r="AD180" s="64" t="str">
        <f t="shared" ref="AD180" si="352">AD179</f>
        <v>POYOWA BESAR</v>
      </c>
      <c r="AE180" s="67"/>
      <c r="AF180" s="67"/>
      <c r="AG180" s="67"/>
      <c r="AH180" s="67"/>
      <c r="AI180" s="69"/>
      <c r="AJ180" s="11" t="s">
        <v>452</v>
      </c>
      <c r="AK180" s="65" t="s">
        <v>96</v>
      </c>
      <c r="AL180" s="65"/>
      <c r="AM180" s="176"/>
      <c r="AN180" s="176"/>
      <c r="AO180" s="176"/>
      <c r="AP180" s="176"/>
      <c r="AQ180" s="177" t="s">
        <v>97</v>
      </c>
      <c r="AR180" s="70" t="s">
        <v>349</v>
      </c>
      <c r="AS180" s="71" t="str">
        <f t="shared" si="351"/>
        <v>KPBS-1.019</v>
      </c>
      <c r="AT180" s="71" t="str">
        <f t="shared" si="351"/>
        <v>B05</v>
      </c>
      <c r="AU180" s="72"/>
      <c r="AV180" s="202">
        <v>0.71141651569999997</v>
      </c>
      <c r="AW180" s="202">
        <v>124.3252655509</v>
      </c>
      <c r="AX180" s="65" t="s">
        <v>98</v>
      </c>
      <c r="AY180" s="65" t="s">
        <v>94</v>
      </c>
      <c r="AZ180" s="65" t="s">
        <v>94</v>
      </c>
      <c r="BA180" s="73" t="s">
        <v>77</v>
      </c>
      <c r="BB180" s="65" t="s">
        <v>98</v>
      </c>
      <c r="BC180" s="65">
        <v>31</v>
      </c>
      <c r="BD180" s="65" t="s">
        <v>98</v>
      </c>
      <c r="BE180" s="211" t="str">
        <f t="shared" si="250"/>
        <v>263, POYOWA BESAR,</v>
      </c>
    </row>
    <row r="181" spans="1:57" s="211" customFormat="1" ht="15.75" customHeight="1">
      <c r="A181" s="225"/>
      <c r="B181" s="225"/>
      <c r="C181" s="225"/>
      <c r="D181" s="225"/>
      <c r="E181" s="225"/>
      <c r="F181" s="225"/>
      <c r="G181" s="226"/>
      <c r="H181" s="23">
        <v>4</v>
      </c>
      <c r="I181" s="64" t="str">
        <f t="shared" si="349"/>
        <v>MR.KPBS.P014</v>
      </c>
      <c r="J181" s="64">
        <f t="shared" si="349"/>
        <v>0.7114102283</v>
      </c>
      <c r="K181" s="64">
        <f t="shared" si="349"/>
        <v>124.3250318434</v>
      </c>
      <c r="L181" s="64" t="str">
        <f t="shared" si="349"/>
        <v>JL. RAYA POYOWA BESAR</v>
      </c>
      <c r="M181" s="64" t="str">
        <f t="shared" si="349"/>
        <v>SULAWESU UTARA</v>
      </c>
      <c r="N181" s="65" t="s">
        <v>105</v>
      </c>
      <c r="O181" s="66" t="s">
        <v>118</v>
      </c>
      <c r="P181" s="65" t="s">
        <v>119</v>
      </c>
      <c r="Q181" s="66">
        <v>95717</v>
      </c>
      <c r="R181" s="67"/>
      <c r="S181" s="68"/>
      <c r="T181" s="68"/>
      <c r="U181" s="68"/>
      <c r="V181" s="68"/>
      <c r="W181" s="65" t="s">
        <v>105</v>
      </c>
      <c r="X181" s="64"/>
      <c r="Y181" s="64" t="s">
        <v>106</v>
      </c>
      <c r="Z181" s="64" t="str">
        <f t="shared" si="264"/>
        <v>KELURAHAN POYOWA BESAR SATU KOTAMOBAGU</v>
      </c>
      <c r="AA181" s="65"/>
      <c r="AB181" s="65"/>
      <c r="AC181" s="65" t="s">
        <v>70</v>
      </c>
      <c r="AD181" s="64" t="str">
        <f t="shared" ref="AD181" si="353">AD180</f>
        <v>POYOWA BESAR</v>
      </c>
      <c r="AE181" s="67"/>
      <c r="AF181" s="67"/>
      <c r="AG181" s="67"/>
      <c r="AH181" s="67"/>
      <c r="AI181" s="69"/>
      <c r="AJ181" s="11" t="s">
        <v>453</v>
      </c>
      <c r="AK181" s="65" t="s">
        <v>96</v>
      </c>
      <c r="AL181" s="65"/>
      <c r="AM181" s="176"/>
      <c r="AN181" s="176"/>
      <c r="AO181" s="176"/>
      <c r="AP181" s="176"/>
      <c r="AQ181" s="177" t="s">
        <v>97</v>
      </c>
      <c r="AR181" s="70" t="s">
        <v>349</v>
      </c>
      <c r="AS181" s="71" t="str">
        <f t="shared" si="351"/>
        <v>KPBS-1.019</v>
      </c>
      <c r="AT181" s="71" t="str">
        <f t="shared" si="351"/>
        <v>B05</v>
      </c>
      <c r="AU181" s="72"/>
      <c r="AV181" s="202">
        <v>0.71159499769999901</v>
      </c>
      <c r="AW181" s="202">
        <v>124.3251768171</v>
      </c>
      <c r="AX181" s="65" t="s">
        <v>98</v>
      </c>
      <c r="AY181" s="65" t="s">
        <v>94</v>
      </c>
      <c r="AZ181" s="65" t="s">
        <v>94</v>
      </c>
      <c r="BA181" s="73" t="s">
        <v>77</v>
      </c>
      <c r="BB181" s="65" t="s">
        <v>98</v>
      </c>
      <c r="BC181" s="65">
        <v>31</v>
      </c>
      <c r="BD181" s="65" t="s">
        <v>98</v>
      </c>
      <c r="BE181" s="211" t="str">
        <f t="shared" si="250"/>
        <v>247, POYOWA BESAR,</v>
      </c>
    </row>
    <row r="182" spans="1:57" s="211" customFormat="1" ht="15.75" customHeight="1">
      <c r="A182" s="225"/>
      <c r="B182" s="225"/>
      <c r="C182" s="225"/>
      <c r="D182" s="225"/>
      <c r="E182" s="225"/>
      <c r="F182" s="225"/>
      <c r="G182" s="226"/>
      <c r="H182" s="23">
        <v>5</v>
      </c>
      <c r="I182" s="64" t="str">
        <f t="shared" si="349"/>
        <v>MR.KPBS.P014</v>
      </c>
      <c r="J182" s="64">
        <f t="shared" si="349"/>
        <v>0.7114102283</v>
      </c>
      <c r="K182" s="64">
        <f t="shared" si="349"/>
        <v>124.3250318434</v>
      </c>
      <c r="L182" s="64" t="str">
        <f t="shared" si="349"/>
        <v>JL. RAYA POYOWA BESAR</v>
      </c>
      <c r="M182" s="64" t="str">
        <f t="shared" si="349"/>
        <v>SULAWESU UTARA</v>
      </c>
      <c r="N182" s="65" t="s">
        <v>105</v>
      </c>
      <c r="O182" s="66" t="s">
        <v>118</v>
      </c>
      <c r="P182" s="65" t="s">
        <v>119</v>
      </c>
      <c r="Q182" s="66">
        <v>95717</v>
      </c>
      <c r="R182" s="67"/>
      <c r="S182" s="68"/>
      <c r="T182" s="68"/>
      <c r="U182" s="68"/>
      <c r="V182" s="68"/>
      <c r="W182" s="65" t="s">
        <v>105</v>
      </c>
      <c r="X182" s="64"/>
      <c r="Y182" s="64" t="s">
        <v>106</v>
      </c>
      <c r="Z182" s="64" t="str">
        <f t="shared" si="264"/>
        <v>KELURAHAN POYOWA BESAR SATU KOTAMOBAGU</v>
      </c>
      <c r="AA182" s="65"/>
      <c r="AB182" s="65"/>
      <c r="AC182" s="65" t="s">
        <v>70</v>
      </c>
      <c r="AD182" s="64" t="str">
        <f t="shared" ref="AD182" si="354">AD181</f>
        <v>POYOWA BESAR</v>
      </c>
      <c r="AE182" s="67"/>
      <c r="AF182" s="67"/>
      <c r="AG182" s="67"/>
      <c r="AH182" s="67"/>
      <c r="AI182" s="69"/>
      <c r="AJ182" s="11" t="s">
        <v>454</v>
      </c>
      <c r="AK182" s="65" t="s">
        <v>96</v>
      </c>
      <c r="AL182" s="65"/>
      <c r="AM182" s="176"/>
      <c r="AN182" s="176"/>
      <c r="AO182" s="176"/>
      <c r="AP182" s="176"/>
      <c r="AQ182" s="177" t="s">
        <v>97</v>
      </c>
      <c r="AR182" s="70" t="s">
        <v>349</v>
      </c>
      <c r="AS182" s="71" t="str">
        <f t="shared" si="351"/>
        <v>KPBS-1.019</v>
      </c>
      <c r="AT182" s="71" t="str">
        <f t="shared" si="351"/>
        <v>B05</v>
      </c>
      <c r="AU182" s="72"/>
      <c r="AV182" s="202">
        <v>0.71157928540000004</v>
      </c>
      <c r="AW182" s="202">
        <v>124.32510436530001</v>
      </c>
      <c r="AX182" s="65" t="s">
        <v>98</v>
      </c>
      <c r="AY182" s="65" t="s">
        <v>94</v>
      </c>
      <c r="AZ182" s="65" t="s">
        <v>94</v>
      </c>
      <c r="BA182" s="73" t="s">
        <v>77</v>
      </c>
      <c r="BB182" s="65" t="s">
        <v>98</v>
      </c>
      <c r="BC182" s="65">
        <v>31</v>
      </c>
      <c r="BD182" s="65" t="s">
        <v>98</v>
      </c>
      <c r="BE182" s="211" t="str">
        <f t="shared" si="250"/>
        <v>248, POYOWA BESAR,</v>
      </c>
    </row>
    <row r="183" spans="1:57" s="211" customFormat="1" ht="15.75" customHeight="1">
      <c r="A183" s="225"/>
      <c r="B183" s="225"/>
      <c r="C183" s="225"/>
      <c r="D183" s="225"/>
      <c r="E183" s="225"/>
      <c r="F183" s="225"/>
      <c r="G183" s="226"/>
      <c r="H183" s="23">
        <v>6</v>
      </c>
      <c r="I183" s="64" t="str">
        <f t="shared" si="349"/>
        <v>MR.KPBS.P014</v>
      </c>
      <c r="J183" s="64">
        <f t="shared" si="349"/>
        <v>0.7114102283</v>
      </c>
      <c r="K183" s="64">
        <f t="shared" si="349"/>
        <v>124.3250318434</v>
      </c>
      <c r="L183" s="64" t="str">
        <f t="shared" si="349"/>
        <v>JL. RAYA POYOWA BESAR</v>
      </c>
      <c r="M183" s="64" t="str">
        <f t="shared" si="349"/>
        <v>SULAWESU UTARA</v>
      </c>
      <c r="N183" s="65" t="s">
        <v>105</v>
      </c>
      <c r="O183" s="66" t="s">
        <v>118</v>
      </c>
      <c r="P183" s="65" t="s">
        <v>119</v>
      </c>
      <c r="Q183" s="66">
        <v>95717</v>
      </c>
      <c r="R183" s="67"/>
      <c r="S183" s="68"/>
      <c r="T183" s="74"/>
      <c r="U183" s="74"/>
      <c r="V183" s="74"/>
      <c r="W183" s="65" t="s">
        <v>105</v>
      </c>
      <c r="X183" s="64"/>
      <c r="Y183" s="64" t="s">
        <v>106</v>
      </c>
      <c r="Z183" s="64" t="str">
        <f t="shared" si="264"/>
        <v>KELURAHAN POYOWA BESAR SATU KOTAMOBAGU</v>
      </c>
      <c r="AA183" s="65"/>
      <c r="AB183" s="65"/>
      <c r="AC183" s="65" t="s">
        <v>70</v>
      </c>
      <c r="AD183" s="64" t="str">
        <f t="shared" ref="AD183" si="355">AD182</f>
        <v>POYOWA BESAR</v>
      </c>
      <c r="AE183" s="75"/>
      <c r="AF183" s="75"/>
      <c r="AG183" s="75"/>
      <c r="AH183" s="75"/>
      <c r="AI183" s="69"/>
      <c r="AJ183" s="11" t="s">
        <v>455</v>
      </c>
      <c r="AK183" s="65" t="s">
        <v>96</v>
      </c>
      <c r="AL183" s="65"/>
      <c r="AM183" s="176"/>
      <c r="AN183" s="176"/>
      <c r="AO183" s="176"/>
      <c r="AP183" s="176"/>
      <c r="AQ183" s="186" t="s">
        <v>97</v>
      </c>
      <c r="AR183" s="70" t="s">
        <v>349</v>
      </c>
      <c r="AS183" s="71" t="str">
        <f t="shared" si="351"/>
        <v>KPBS-1.019</v>
      </c>
      <c r="AT183" s="71" t="str">
        <f t="shared" si="351"/>
        <v>B05</v>
      </c>
      <c r="AU183" s="72"/>
      <c r="AV183" s="202">
        <v>0.71131539040000002</v>
      </c>
      <c r="AW183" s="202">
        <v>124.3250878716</v>
      </c>
      <c r="AX183" s="65" t="s">
        <v>98</v>
      </c>
      <c r="AY183" s="65" t="s">
        <v>94</v>
      </c>
      <c r="AZ183" s="65" t="s">
        <v>94</v>
      </c>
      <c r="BA183" s="73" t="s">
        <v>77</v>
      </c>
      <c r="BB183" s="65" t="s">
        <v>98</v>
      </c>
      <c r="BC183" s="65">
        <v>31</v>
      </c>
      <c r="BD183" s="65" t="s">
        <v>98</v>
      </c>
      <c r="BE183" s="211" t="str">
        <f t="shared" si="250"/>
        <v>265, POYOWA BESAR,</v>
      </c>
    </row>
    <row r="184" spans="1:57" s="211" customFormat="1" ht="15.75" customHeight="1">
      <c r="A184" s="225"/>
      <c r="B184" s="225"/>
      <c r="C184" s="225"/>
      <c r="D184" s="225"/>
      <c r="E184" s="225"/>
      <c r="F184" s="225"/>
      <c r="G184" s="226"/>
      <c r="H184" s="23">
        <v>7</v>
      </c>
      <c r="I184" s="64" t="str">
        <f t="shared" si="349"/>
        <v>MR.KPBS.P014</v>
      </c>
      <c r="J184" s="64">
        <f t="shared" si="349"/>
        <v>0.7114102283</v>
      </c>
      <c r="K184" s="64">
        <f t="shared" si="349"/>
        <v>124.3250318434</v>
      </c>
      <c r="L184" s="64" t="str">
        <f t="shared" si="349"/>
        <v>JL. RAYA POYOWA BESAR</v>
      </c>
      <c r="M184" s="64" t="str">
        <f t="shared" si="349"/>
        <v>SULAWESU UTARA</v>
      </c>
      <c r="N184" s="65" t="s">
        <v>105</v>
      </c>
      <c r="O184" s="66" t="s">
        <v>118</v>
      </c>
      <c r="P184" s="65" t="s">
        <v>119</v>
      </c>
      <c r="Q184" s="66">
        <v>95717</v>
      </c>
      <c r="R184" s="67"/>
      <c r="S184" s="68"/>
      <c r="T184" s="68"/>
      <c r="U184" s="68"/>
      <c r="V184" s="68"/>
      <c r="W184" s="65" t="s">
        <v>105</v>
      </c>
      <c r="X184" s="64"/>
      <c r="Y184" s="64" t="s">
        <v>106</v>
      </c>
      <c r="Z184" s="64" t="str">
        <f t="shared" si="264"/>
        <v>KELURAHAN POYOWA BESAR SATU KOTAMOBAGU</v>
      </c>
      <c r="AA184" s="65"/>
      <c r="AB184" s="65"/>
      <c r="AC184" s="65" t="s">
        <v>70</v>
      </c>
      <c r="AD184" s="64" t="str">
        <f t="shared" ref="AD184" si="356">AD183</f>
        <v>POYOWA BESAR</v>
      </c>
      <c r="AE184" s="67"/>
      <c r="AF184" s="67"/>
      <c r="AG184" s="67"/>
      <c r="AH184" s="67"/>
      <c r="AI184" s="69"/>
      <c r="AJ184" s="11" t="s">
        <v>456</v>
      </c>
      <c r="AK184" s="65" t="s">
        <v>96</v>
      </c>
      <c r="AL184" s="65"/>
      <c r="AM184" s="65"/>
      <c r="AN184" s="65"/>
      <c r="AO184" s="65"/>
      <c r="AP184" s="65"/>
      <c r="AQ184" s="177" t="s">
        <v>97</v>
      </c>
      <c r="AR184" s="70" t="s">
        <v>349</v>
      </c>
      <c r="AS184" s="71" t="str">
        <f t="shared" si="351"/>
        <v>KPBS-1.019</v>
      </c>
      <c r="AT184" s="71" t="str">
        <f t="shared" si="351"/>
        <v>B05</v>
      </c>
      <c r="AU184" s="72"/>
      <c r="AV184" s="202">
        <v>0.71160953839999996</v>
      </c>
      <c r="AW184" s="202">
        <v>124.3250069004</v>
      </c>
      <c r="AX184" s="65" t="s">
        <v>98</v>
      </c>
      <c r="AY184" s="65" t="s">
        <v>94</v>
      </c>
      <c r="AZ184" s="65" t="s">
        <v>94</v>
      </c>
      <c r="BA184" s="73" t="s">
        <v>77</v>
      </c>
      <c r="BB184" s="65" t="s">
        <v>98</v>
      </c>
      <c r="BC184" s="65">
        <v>31</v>
      </c>
      <c r="BD184" s="65" t="s">
        <v>98</v>
      </c>
      <c r="BE184" s="211" t="str">
        <f t="shared" si="250"/>
        <v>249, POYOWA BESAR,</v>
      </c>
    </row>
    <row r="185" spans="1:57" s="211" customFormat="1" ht="15.75" customHeight="1">
      <c r="A185" s="225"/>
      <c r="B185" s="225"/>
      <c r="C185" s="225"/>
      <c r="D185" s="225"/>
      <c r="E185" s="225"/>
      <c r="F185" s="225"/>
      <c r="G185" s="226"/>
      <c r="H185" s="23">
        <v>8</v>
      </c>
      <c r="I185" s="64" t="str">
        <f t="shared" si="349"/>
        <v>MR.KPBS.P014</v>
      </c>
      <c r="J185" s="64">
        <f t="shared" si="349"/>
        <v>0.7114102283</v>
      </c>
      <c r="K185" s="64">
        <f t="shared" si="349"/>
        <v>124.3250318434</v>
      </c>
      <c r="L185" s="64" t="str">
        <f t="shared" si="349"/>
        <v>JL. RAYA POYOWA BESAR</v>
      </c>
      <c r="M185" s="64" t="str">
        <f t="shared" si="349"/>
        <v>SULAWESU UTARA</v>
      </c>
      <c r="N185" s="65" t="s">
        <v>105</v>
      </c>
      <c r="O185" s="66" t="s">
        <v>118</v>
      </c>
      <c r="P185" s="65" t="s">
        <v>119</v>
      </c>
      <c r="Q185" s="66">
        <v>95717</v>
      </c>
      <c r="R185" s="67"/>
      <c r="S185" s="68"/>
      <c r="T185" s="68"/>
      <c r="U185" s="68"/>
      <c r="V185" s="68"/>
      <c r="W185" s="64" t="s">
        <v>105</v>
      </c>
      <c r="X185" s="64"/>
      <c r="Y185" s="64" t="s">
        <v>106</v>
      </c>
      <c r="Z185" s="64" t="str">
        <f t="shared" si="264"/>
        <v>KELURAHAN POYOWA BESAR SATU KOTAMOBAGU</v>
      </c>
      <c r="AA185" s="65"/>
      <c r="AB185" s="65"/>
      <c r="AC185" s="65" t="s">
        <v>70</v>
      </c>
      <c r="AD185" s="64" t="str">
        <f t="shared" ref="AD185" si="357">AD184</f>
        <v>POYOWA BESAR</v>
      </c>
      <c r="AE185" s="67"/>
      <c r="AF185" s="67"/>
      <c r="AG185" s="67"/>
      <c r="AH185" s="67"/>
      <c r="AI185" s="69"/>
      <c r="AJ185" s="11" t="s">
        <v>457</v>
      </c>
      <c r="AK185" s="65" t="s">
        <v>96</v>
      </c>
      <c r="AL185" s="65"/>
      <c r="AM185" s="65"/>
      <c r="AN185" s="65"/>
      <c r="AO185" s="65"/>
      <c r="AP185" s="65"/>
      <c r="AQ185" s="177" t="s">
        <v>97</v>
      </c>
      <c r="AR185" s="70" t="s">
        <v>349</v>
      </c>
      <c r="AS185" s="71" t="str">
        <f t="shared" si="351"/>
        <v>KPBS-1.019</v>
      </c>
      <c r="AT185" s="71" t="str">
        <f t="shared" si="351"/>
        <v>B05</v>
      </c>
      <c r="AU185" s="72"/>
      <c r="AV185" s="202">
        <v>0.71130761099999995</v>
      </c>
      <c r="AW185" s="202">
        <v>124.3250128323</v>
      </c>
      <c r="AX185" s="65" t="s">
        <v>98</v>
      </c>
      <c r="AY185" s="65" t="s">
        <v>94</v>
      </c>
      <c r="AZ185" s="65" t="s">
        <v>94</v>
      </c>
      <c r="BA185" s="73" t="s">
        <v>77</v>
      </c>
      <c r="BB185" s="65" t="s">
        <v>98</v>
      </c>
      <c r="BC185" s="65">
        <v>31</v>
      </c>
      <c r="BD185" s="65" t="s">
        <v>98</v>
      </c>
      <c r="BE185" s="211" t="str">
        <f t="shared" si="250"/>
        <v>266, POYOWA BESAR,</v>
      </c>
    </row>
    <row r="186" spans="1:57" s="211" customFormat="1" ht="15.75" customHeight="1">
      <c r="A186" s="225"/>
      <c r="B186" s="225"/>
      <c r="C186" s="225"/>
      <c r="D186" s="225"/>
      <c r="E186" s="225"/>
      <c r="F186" s="225"/>
      <c r="G186" s="226"/>
      <c r="H186" s="23">
        <v>9</v>
      </c>
      <c r="I186" s="64" t="str">
        <f t="shared" si="349"/>
        <v>MR.KPBS.P014</v>
      </c>
      <c r="J186" s="64">
        <f t="shared" si="349"/>
        <v>0.7114102283</v>
      </c>
      <c r="K186" s="64">
        <f t="shared" si="349"/>
        <v>124.3250318434</v>
      </c>
      <c r="L186" s="64" t="str">
        <f t="shared" si="349"/>
        <v>JL. RAYA POYOWA BESAR</v>
      </c>
      <c r="M186" s="64" t="str">
        <f t="shared" si="349"/>
        <v>SULAWESU UTARA</v>
      </c>
      <c r="N186" s="65" t="s">
        <v>105</v>
      </c>
      <c r="O186" s="66" t="s">
        <v>118</v>
      </c>
      <c r="P186" s="65" t="s">
        <v>119</v>
      </c>
      <c r="Q186" s="66">
        <v>95717</v>
      </c>
      <c r="R186" s="67"/>
      <c r="S186" s="68"/>
      <c r="T186" s="68"/>
      <c r="U186" s="68"/>
      <c r="V186" s="68"/>
      <c r="W186" s="64" t="s">
        <v>105</v>
      </c>
      <c r="X186" s="64"/>
      <c r="Y186" s="64" t="s">
        <v>106</v>
      </c>
      <c r="Z186" s="64" t="str">
        <f t="shared" si="264"/>
        <v>KELURAHAN POYOWA BESAR SATU KOTAMOBAGU</v>
      </c>
      <c r="AA186" s="65"/>
      <c r="AB186" s="65"/>
      <c r="AC186" s="65" t="s">
        <v>70</v>
      </c>
      <c r="AD186" s="64" t="str">
        <f t="shared" ref="AD186" si="358">AD185</f>
        <v>POYOWA BESAR</v>
      </c>
      <c r="AE186" s="67"/>
      <c r="AF186" s="67"/>
      <c r="AG186" s="67"/>
      <c r="AH186" s="67"/>
      <c r="AI186" s="69"/>
      <c r="AJ186" s="11" t="s">
        <v>458</v>
      </c>
      <c r="AK186" s="65" t="s">
        <v>96</v>
      </c>
      <c r="AL186" s="65"/>
      <c r="AM186" s="65"/>
      <c r="AN186" s="65"/>
      <c r="AO186" s="65"/>
      <c r="AP186" s="65"/>
      <c r="AQ186" s="177" t="s">
        <v>97</v>
      </c>
      <c r="AR186" s="70" t="s">
        <v>349</v>
      </c>
      <c r="AS186" s="71" t="str">
        <f t="shared" si="351"/>
        <v>KPBS-1.019</v>
      </c>
      <c r="AT186" s="71" t="str">
        <f t="shared" si="351"/>
        <v>B05</v>
      </c>
      <c r="AU186" s="72"/>
      <c r="AV186" s="202">
        <v>0.71157657860000001</v>
      </c>
      <c r="AW186" s="202">
        <v>124.3249309087</v>
      </c>
      <c r="AX186" s="65" t="s">
        <v>98</v>
      </c>
      <c r="AY186" s="65" t="s">
        <v>94</v>
      </c>
      <c r="AZ186" s="65" t="s">
        <v>94</v>
      </c>
      <c r="BA186" s="73" t="s">
        <v>77</v>
      </c>
      <c r="BB186" s="65" t="s">
        <v>98</v>
      </c>
      <c r="BC186" s="65">
        <v>31</v>
      </c>
      <c r="BD186" s="65" t="s">
        <v>98</v>
      </c>
      <c r="BE186" s="211" t="str">
        <f t="shared" si="250"/>
        <v>250, POYOWA BESAR,</v>
      </c>
    </row>
    <row r="187" spans="1:57" s="211" customFormat="1" ht="15.75" customHeight="1">
      <c r="A187" s="225"/>
      <c r="B187" s="225"/>
      <c r="C187" s="225"/>
      <c r="D187" s="225"/>
      <c r="E187" s="225"/>
      <c r="F187" s="225"/>
      <c r="G187" s="226"/>
      <c r="H187" s="23">
        <v>10</v>
      </c>
      <c r="I187" s="64" t="str">
        <f t="shared" si="349"/>
        <v>MR.KPBS.P014</v>
      </c>
      <c r="J187" s="64">
        <f t="shared" si="349"/>
        <v>0.7114102283</v>
      </c>
      <c r="K187" s="64">
        <f t="shared" si="349"/>
        <v>124.3250318434</v>
      </c>
      <c r="L187" s="64" t="str">
        <f t="shared" si="349"/>
        <v>JL. RAYA POYOWA BESAR</v>
      </c>
      <c r="M187" s="64" t="str">
        <f t="shared" si="349"/>
        <v>SULAWESU UTARA</v>
      </c>
      <c r="N187" s="65" t="s">
        <v>105</v>
      </c>
      <c r="O187" s="66" t="s">
        <v>118</v>
      </c>
      <c r="P187" s="65" t="s">
        <v>119</v>
      </c>
      <c r="Q187" s="66">
        <v>95717</v>
      </c>
      <c r="R187" s="67"/>
      <c r="S187" s="68"/>
      <c r="T187" s="68"/>
      <c r="U187" s="68"/>
      <c r="V187" s="68"/>
      <c r="W187" s="64" t="s">
        <v>105</v>
      </c>
      <c r="X187" s="64"/>
      <c r="Y187" s="64" t="s">
        <v>106</v>
      </c>
      <c r="Z187" s="64" t="str">
        <f t="shared" si="264"/>
        <v>KELURAHAN POYOWA BESAR SATU KOTAMOBAGU</v>
      </c>
      <c r="AA187" s="65"/>
      <c r="AB187" s="65"/>
      <c r="AC187" s="65" t="s">
        <v>70</v>
      </c>
      <c r="AD187" s="64" t="str">
        <f t="shared" ref="AD187" si="359">AD186</f>
        <v>POYOWA BESAR</v>
      </c>
      <c r="AE187" s="67"/>
      <c r="AF187" s="67"/>
      <c r="AG187" s="67"/>
      <c r="AH187" s="67"/>
      <c r="AI187" s="69"/>
      <c r="AJ187" s="11" t="s">
        <v>459</v>
      </c>
      <c r="AK187" s="65" t="s">
        <v>96</v>
      </c>
      <c r="AL187" s="65"/>
      <c r="AM187" s="65"/>
      <c r="AN187" s="65"/>
      <c r="AO187" s="65"/>
      <c r="AP187" s="65"/>
      <c r="AQ187" s="177" t="s">
        <v>97</v>
      </c>
      <c r="AR187" s="70" t="s">
        <v>349</v>
      </c>
      <c r="AS187" s="71" t="str">
        <f t="shared" si="351"/>
        <v>KPBS-1.019</v>
      </c>
      <c r="AT187" s="71" t="str">
        <f t="shared" si="351"/>
        <v>B05</v>
      </c>
      <c r="AU187" s="72"/>
      <c r="AV187" s="202">
        <v>0.71129205240000004</v>
      </c>
      <c r="AW187" s="202">
        <v>124.32494383069999</v>
      </c>
      <c r="AX187" s="65" t="s">
        <v>98</v>
      </c>
      <c r="AY187" s="65" t="s">
        <v>94</v>
      </c>
      <c r="AZ187" s="65" t="s">
        <v>94</v>
      </c>
      <c r="BA187" s="73" t="s">
        <v>77</v>
      </c>
      <c r="BB187" s="65" t="s">
        <v>98</v>
      </c>
      <c r="BC187" s="65">
        <v>31</v>
      </c>
      <c r="BD187" s="65" t="s">
        <v>98</v>
      </c>
      <c r="BE187" s="211" t="str">
        <f t="shared" si="250"/>
        <v>267, POYOWA BESAR,</v>
      </c>
    </row>
    <row r="188" spans="1:57" s="211" customFormat="1" ht="15.75" customHeight="1">
      <c r="A188" s="225"/>
      <c r="B188" s="225"/>
      <c r="C188" s="225"/>
      <c r="D188" s="225"/>
      <c r="E188" s="225"/>
      <c r="F188" s="225"/>
      <c r="G188" s="226"/>
      <c r="H188" s="23">
        <v>11</v>
      </c>
      <c r="I188" s="64" t="str">
        <f t="shared" si="349"/>
        <v>MR.KPBS.P014</v>
      </c>
      <c r="J188" s="64">
        <f t="shared" si="349"/>
        <v>0.7114102283</v>
      </c>
      <c r="K188" s="64">
        <f t="shared" si="349"/>
        <v>124.3250318434</v>
      </c>
      <c r="L188" s="64" t="str">
        <f t="shared" si="349"/>
        <v>JL. RAYA POYOWA BESAR</v>
      </c>
      <c r="M188" s="64" t="str">
        <f t="shared" si="349"/>
        <v>SULAWESU UTARA</v>
      </c>
      <c r="N188" s="65" t="s">
        <v>105</v>
      </c>
      <c r="O188" s="66" t="s">
        <v>118</v>
      </c>
      <c r="P188" s="65" t="s">
        <v>119</v>
      </c>
      <c r="Q188" s="66">
        <v>95717</v>
      </c>
      <c r="R188" s="66"/>
      <c r="S188" s="66"/>
      <c r="T188" s="66"/>
      <c r="U188" s="66"/>
      <c r="V188" s="66"/>
      <c r="W188" s="64" t="s">
        <v>105</v>
      </c>
      <c r="X188" s="64"/>
      <c r="Y188" s="64" t="s">
        <v>106</v>
      </c>
      <c r="Z188" s="64" t="str">
        <f t="shared" si="264"/>
        <v>KELURAHAN POYOWA BESAR SATU KOTAMOBAGU</v>
      </c>
      <c r="AA188" s="65"/>
      <c r="AB188" s="65"/>
      <c r="AC188" s="65" t="s">
        <v>70</v>
      </c>
      <c r="AD188" s="64" t="str">
        <f t="shared" ref="AD188" si="360">AD187</f>
        <v>POYOWA BESAR</v>
      </c>
      <c r="AE188" s="66"/>
      <c r="AF188" s="66"/>
      <c r="AG188" s="66"/>
      <c r="AH188" s="66"/>
      <c r="AI188" s="69"/>
      <c r="AJ188" s="11" t="s">
        <v>460</v>
      </c>
      <c r="AK188" s="65" t="s">
        <v>96</v>
      </c>
      <c r="AL188" s="65"/>
      <c r="AM188" s="65"/>
      <c r="AN188" s="65"/>
      <c r="AO188" s="65"/>
      <c r="AP188" s="65"/>
      <c r="AQ188" s="177" t="s">
        <v>97</v>
      </c>
      <c r="AR188" s="70" t="s">
        <v>349</v>
      </c>
      <c r="AS188" s="71" t="str">
        <f t="shared" si="351"/>
        <v>KPBS-1.019</v>
      </c>
      <c r="AT188" s="71" t="str">
        <f t="shared" si="351"/>
        <v>B05</v>
      </c>
      <c r="AU188" s="72"/>
      <c r="AV188" s="202">
        <v>0.71125488439999995</v>
      </c>
      <c r="AW188" s="202">
        <v>124.3248472283</v>
      </c>
      <c r="AX188" s="65" t="s">
        <v>98</v>
      </c>
      <c r="AY188" s="65" t="s">
        <v>94</v>
      </c>
      <c r="AZ188" s="65" t="s">
        <v>94</v>
      </c>
      <c r="BA188" s="73" t="s">
        <v>77</v>
      </c>
      <c r="BB188" s="65" t="s">
        <v>98</v>
      </c>
      <c r="BC188" s="65">
        <v>31</v>
      </c>
      <c r="BD188" s="65" t="s">
        <v>98</v>
      </c>
      <c r="BE188" s="211" t="str">
        <f t="shared" si="250"/>
        <v>268, POYOWA BESAR,</v>
      </c>
    </row>
    <row r="189" spans="1:57" s="211" customFormat="1" ht="15.75" customHeight="1">
      <c r="A189" s="225"/>
      <c r="B189" s="225"/>
      <c r="C189" s="225"/>
      <c r="D189" s="225"/>
      <c r="E189" s="225"/>
      <c r="F189" s="225"/>
      <c r="G189" s="226"/>
      <c r="H189" s="23">
        <v>12</v>
      </c>
      <c r="I189" s="64" t="str">
        <f t="shared" si="349"/>
        <v>MR.KPBS.P014</v>
      </c>
      <c r="J189" s="64">
        <f t="shared" si="349"/>
        <v>0.7114102283</v>
      </c>
      <c r="K189" s="64">
        <f t="shared" si="349"/>
        <v>124.3250318434</v>
      </c>
      <c r="L189" s="64" t="str">
        <f t="shared" si="349"/>
        <v>JL. RAYA POYOWA BESAR</v>
      </c>
      <c r="M189" s="64" t="str">
        <f t="shared" si="349"/>
        <v>SULAWESU UTARA</v>
      </c>
      <c r="N189" s="65" t="s">
        <v>105</v>
      </c>
      <c r="O189" s="66" t="s">
        <v>118</v>
      </c>
      <c r="P189" s="65" t="s">
        <v>119</v>
      </c>
      <c r="Q189" s="66">
        <v>95717</v>
      </c>
      <c r="R189" s="66"/>
      <c r="S189" s="66"/>
      <c r="T189" s="66"/>
      <c r="U189" s="66"/>
      <c r="V189" s="66"/>
      <c r="W189" s="64" t="s">
        <v>105</v>
      </c>
      <c r="X189" s="64"/>
      <c r="Y189" s="64" t="s">
        <v>106</v>
      </c>
      <c r="Z189" s="64" t="str">
        <f t="shared" si="264"/>
        <v>KELURAHAN POYOWA BESAR SATU KOTAMOBAGU</v>
      </c>
      <c r="AA189" s="65"/>
      <c r="AB189" s="65"/>
      <c r="AC189" s="65" t="s">
        <v>70</v>
      </c>
      <c r="AD189" s="64" t="str">
        <f t="shared" ref="AD189:AD190" si="361">AD188</f>
        <v>POYOWA BESAR</v>
      </c>
      <c r="AE189" s="66"/>
      <c r="AF189" s="66"/>
      <c r="AG189" s="66"/>
      <c r="AH189" s="66"/>
      <c r="AI189" s="69"/>
      <c r="AJ189" s="11" t="s">
        <v>461</v>
      </c>
      <c r="AK189" s="65" t="s">
        <v>96</v>
      </c>
      <c r="AL189" s="65"/>
      <c r="AM189" s="65"/>
      <c r="AN189" s="65"/>
      <c r="AO189" s="65"/>
      <c r="AP189" s="65"/>
      <c r="AQ189" s="177" t="s">
        <v>97</v>
      </c>
      <c r="AR189" s="70" t="s">
        <v>349</v>
      </c>
      <c r="AS189" s="71" t="str">
        <f t="shared" si="351"/>
        <v>KPBS-1.019</v>
      </c>
      <c r="AT189" s="71" t="str">
        <f t="shared" si="351"/>
        <v>B05</v>
      </c>
      <c r="AU189" s="72"/>
      <c r="AV189" s="202">
        <v>0.71151347949999999</v>
      </c>
      <c r="AW189" s="202">
        <v>124.3248524193</v>
      </c>
      <c r="AX189" s="65" t="s">
        <v>98</v>
      </c>
      <c r="AY189" s="65" t="s">
        <v>94</v>
      </c>
      <c r="AZ189" s="65" t="s">
        <v>94</v>
      </c>
      <c r="BA189" s="73" t="s">
        <v>77</v>
      </c>
      <c r="BB189" s="65" t="s">
        <v>98</v>
      </c>
      <c r="BC189" s="65">
        <v>31</v>
      </c>
      <c r="BD189" s="65" t="s">
        <v>98</v>
      </c>
      <c r="BE189" s="211" t="str">
        <f t="shared" si="250"/>
        <v>251, POYOWA BESAR,</v>
      </c>
    </row>
    <row r="190" spans="1:57" s="211" customFormat="1" ht="15.75" customHeight="1">
      <c r="A190" s="225"/>
      <c r="B190" s="225"/>
      <c r="C190" s="225"/>
      <c r="D190" s="225"/>
      <c r="E190" s="225"/>
      <c r="F190" s="225"/>
      <c r="G190" s="226"/>
      <c r="H190" s="23">
        <v>13</v>
      </c>
      <c r="I190" s="64" t="str">
        <f t="shared" si="349"/>
        <v>MR.KPBS.P014</v>
      </c>
      <c r="J190" s="64">
        <f t="shared" si="349"/>
        <v>0.7114102283</v>
      </c>
      <c r="K190" s="64">
        <f t="shared" si="349"/>
        <v>124.3250318434</v>
      </c>
      <c r="L190" s="64" t="str">
        <f t="shared" ref="L190:M190" si="362">L189</f>
        <v>JL. RAYA POYOWA BESAR</v>
      </c>
      <c r="M190" s="64" t="str">
        <f t="shared" si="362"/>
        <v>SULAWESU UTARA</v>
      </c>
      <c r="N190" s="65" t="s">
        <v>105</v>
      </c>
      <c r="O190" s="66" t="s">
        <v>118</v>
      </c>
      <c r="P190" s="65" t="s">
        <v>119</v>
      </c>
      <c r="Q190" s="66">
        <v>95717</v>
      </c>
      <c r="R190" s="67"/>
      <c r="S190" s="68"/>
      <c r="T190" s="68"/>
      <c r="U190" s="68"/>
      <c r="V190" s="68"/>
      <c r="W190" s="65" t="s">
        <v>105</v>
      </c>
      <c r="X190" s="64"/>
      <c r="Y190" s="64" t="s">
        <v>106</v>
      </c>
      <c r="Z190" s="64" t="str">
        <f t="shared" si="264"/>
        <v>KELURAHAN POYOWA BESAR SATU KOTAMOBAGU</v>
      </c>
      <c r="AA190" s="65"/>
      <c r="AB190" s="65"/>
      <c r="AC190" s="65" t="s">
        <v>70</v>
      </c>
      <c r="AD190" s="64" t="str">
        <f t="shared" si="361"/>
        <v>POYOWA BESAR</v>
      </c>
      <c r="AE190" s="67"/>
      <c r="AF190" s="67"/>
      <c r="AG190" s="67"/>
      <c r="AH190" s="67"/>
      <c r="AI190" s="69"/>
      <c r="AJ190" s="11" t="s">
        <v>462</v>
      </c>
      <c r="AK190" s="65" t="s">
        <v>96</v>
      </c>
      <c r="AL190" s="65"/>
      <c r="AM190" s="65"/>
      <c r="AN190" s="65"/>
      <c r="AO190" s="65"/>
      <c r="AP190" s="65"/>
      <c r="AQ190" s="177" t="s">
        <v>97</v>
      </c>
      <c r="AR190" s="70" t="s">
        <v>349</v>
      </c>
      <c r="AS190" s="71" t="str">
        <f t="shared" si="351"/>
        <v>KPBS-1.019</v>
      </c>
      <c r="AT190" s="71" t="str">
        <f t="shared" si="351"/>
        <v>B05</v>
      </c>
      <c r="AU190" s="72"/>
      <c r="AV190" s="202">
        <v>0.71146411759999995</v>
      </c>
      <c r="AW190" s="202">
        <v>124.3247911152</v>
      </c>
      <c r="AX190" s="65" t="s">
        <v>98</v>
      </c>
      <c r="AY190" s="65" t="s">
        <v>94</v>
      </c>
      <c r="AZ190" s="65" t="s">
        <v>94</v>
      </c>
      <c r="BA190" s="73" t="s">
        <v>77</v>
      </c>
      <c r="BB190" s="65" t="s">
        <v>98</v>
      </c>
      <c r="BC190" s="65">
        <v>31</v>
      </c>
      <c r="BD190" s="65" t="s">
        <v>98</v>
      </c>
      <c r="BE190" s="211" t="str">
        <f t="shared" si="250"/>
        <v>253, POYOWA BESAR,</v>
      </c>
    </row>
    <row r="191" spans="1:57" s="211" customFormat="1" ht="15.75" customHeight="1">
      <c r="A191" s="225"/>
      <c r="B191" s="225"/>
      <c r="C191" s="225"/>
      <c r="D191" s="225"/>
      <c r="E191" s="225"/>
      <c r="F191" s="225"/>
      <c r="G191" s="226"/>
      <c r="H191" s="23">
        <v>14</v>
      </c>
      <c r="I191" s="64" t="str">
        <f t="shared" ref="I191:M191" si="363">I190</f>
        <v>MR.KPBS.P014</v>
      </c>
      <c r="J191" s="64">
        <f t="shared" si="363"/>
        <v>0.7114102283</v>
      </c>
      <c r="K191" s="64">
        <f t="shared" si="363"/>
        <v>124.3250318434</v>
      </c>
      <c r="L191" s="64" t="str">
        <f t="shared" si="363"/>
        <v>JL. RAYA POYOWA BESAR</v>
      </c>
      <c r="M191" s="64" t="str">
        <f t="shared" si="363"/>
        <v>SULAWESU UTARA</v>
      </c>
      <c r="N191" s="65" t="s">
        <v>105</v>
      </c>
      <c r="O191" s="66" t="s">
        <v>118</v>
      </c>
      <c r="P191" s="65" t="s">
        <v>119</v>
      </c>
      <c r="Q191" s="66">
        <v>95717</v>
      </c>
      <c r="R191" s="67"/>
      <c r="S191" s="68"/>
      <c r="T191" s="68"/>
      <c r="U191" s="68"/>
      <c r="V191" s="68"/>
      <c r="W191" s="65" t="s">
        <v>105</v>
      </c>
      <c r="X191" s="64"/>
      <c r="Y191" s="64" t="s">
        <v>106</v>
      </c>
      <c r="Z191" s="64" t="str">
        <f t="shared" si="264"/>
        <v>KELURAHAN POYOWA BESAR SATU KOTAMOBAGU</v>
      </c>
      <c r="AA191" s="65"/>
      <c r="AB191" s="65"/>
      <c r="AC191" s="65" t="s">
        <v>70</v>
      </c>
      <c r="AD191" s="64" t="str">
        <f t="shared" ref="AD191" si="364">AD190</f>
        <v>POYOWA BESAR</v>
      </c>
      <c r="AE191" s="67"/>
      <c r="AF191" s="67"/>
      <c r="AG191" s="67"/>
      <c r="AH191" s="67"/>
      <c r="AI191" s="69"/>
      <c r="AJ191" s="11" t="s">
        <v>463</v>
      </c>
      <c r="AK191" s="65" t="s">
        <v>96</v>
      </c>
      <c r="AL191" s="65"/>
      <c r="AM191" s="65"/>
      <c r="AN191" s="65"/>
      <c r="AO191" s="65"/>
      <c r="AP191" s="65"/>
      <c r="AQ191" s="177" t="s">
        <v>97</v>
      </c>
      <c r="AR191" s="70" t="s">
        <v>349</v>
      </c>
      <c r="AS191" s="71" t="str">
        <f t="shared" ref="AS191:AT191" si="365">AS190</f>
        <v>KPBS-1.019</v>
      </c>
      <c r="AT191" s="71" t="str">
        <f t="shared" si="365"/>
        <v>B05</v>
      </c>
      <c r="AU191" s="72"/>
      <c r="AV191" s="202">
        <v>0.71127303620000004</v>
      </c>
      <c r="AW191" s="202">
        <v>124.3247420008</v>
      </c>
      <c r="AX191" s="65" t="s">
        <v>98</v>
      </c>
      <c r="AY191" s="65" t="s">
        <v>94</v>
      </c>
      <c r="AZ191" s="65" t="s">
        <v>94</v>
      </c>
      <c r="BA191" s="73" t="s">
        <v>77</v>
      </c>
      <c r="BB191" s="65" t="s">
        <v>98</v>
      </c>
      <c r="BC191" s="65">
        <v>31</v>
      </c>
      <c r="BD191" s="65" t="s">
        <v>98</v>
      </c>
      <c r="BE191" s="211" t="str">
        <f t="shared" si="250"/>
        <v>269, POYOWA BESAR,</v>
      </c>
    </row>
    <row r="192" spans="1:57" s="211" customFormat="1" ht="15.75" customHeight="1">
      <c r="A192" s="225"/>
      <c r="B192" s="225"/>
      <c r="C192" s="225"/>
      <c r="D192" s="225"/>
      <c r="E192" s="225"/>
      <c r="F192" s="225"/>
      <c r="G192" s="226"/>
      <c r="H192" s="23">
        <v>15</v>
      </c>
      <c r="I192" s="64" t="str">
        <f t="shared" ref="I192:M192" si="366">I191</f>
        <v>MR.KPBS.P014</v>
      </c>
      <c r="J192" s="64">
        <f t="shared" si="366"/>
        <v>0.7114102283</v>
      </c>
      <c r="K192" s="64">
        <f t="shared" si="366"/>
        <v>124.3250318434</v>
      </c>
      <c r="L192" s="64" t="str">
        <f t="shared" si="366"/>
        <v>JL. RAYA POYOWA BESAR</v>
      </c>
      <c r="M192" s="64" t="str">
        <f t="shared" si="366"/>
        <v>SULAWESU UTARA</v>
      </c>
      <c r="N192" s="65" t="s">
        <v>105</v>
      </c>
      <c r="O192" s="66" t="s">
        <v>118</v>
      </c>
      <c r="P192" s="65" t="s">
        <v>119</v>
      </c>
      <c r="Q192" s="66">
        <v>95717</v>
      </c>
      <c r="R192" s="67"/>
      <c r="S192" s="68"/>
      <c r="T192" s="68"/>
      <c r="U192" s="68"/>
      <c r="V192" s="68"/>
      <c r="W192" s="65" t="s">
        <v>105</v>
      </c>
      <c r="X192" s="64"/>
      <c r="Y192" s="64" t="s">
        <v>106</v>
      </c>
      <c r="Z192" s="64" t="str">
        <f t="shared" si="264"/>
        <v>KELURAHAN POYOWA BESAR SATU KOTAMOBAGU</v>
      </c>
      <c r="AA192" s="65"/>
      <c r="AB192" s="65"/>
      <c r="AC192" s="65" t="s">
        <v>70</v>
      </c>
      <c r="AD192" s="64" t="str">
        <f t="shared" ref="AD192:AD193" si="367">AD191</f>
        <v>POYOWA BESAR</v>
      </c>
      <c r="AE192" s="67"/>
      <c r="AF192" s="67"/>
      <c r="AG192" s="67"/>
      <c r="AH192" s="67"/>
      <c r="AI192" s="69"/>
      <c r="AJ192" s="11" t="s">
        <v>464</v>
      </c>
      <c r="AK192" s="65" t="s">
        <v>96</v>
      </c>
      <c r="AL192" s="191"/>
      <c r="AM192" s="191"/>
      <c r="AN192" s="65"/>
      <c r="AO192" s="65"/>
      <c r="AP192" s="65"/>
      <c r="AQ192" s="177" t="s">
        <v>97</v>
      </c>
      <c r="AR192" s="70" t="s">
        <v>349</v>
      </c>
      <c r="AS192" s="71" t="str">
        <f t="shared" ref="AS192:AT192" si="368">AS191</f>
        <v>KPBS-1.019</v>
      </c>
      <c r="AT192" s="71" t="str">
        <f t="shared" si="368"/>
        <v>B05</v>
      </c>
      <c r="AU192" s="72"/>
      <c r="AV192" s="202">
        <v>0.71124105449999997</v>
      </c>
      <c r="AW192" s="202">
        <v>124.3246471235</v>
      </c>
      <c r="AX192" s="65" t="s">
        <v>98</v>
      </c>
      <c r="AY192" s="65" t="s">
        <v>94</v>
      </c>
      <c r="AZ192" s="65" t="s">
        <v>94</v>
      </c>
      <c r="BA192" s="73" t="s">
        <v>77</v>
      </c>
      <c r="BB192" s="65" t="s">
        <v>98</v>
      </c>
      <c r="BC192" s="65">
        <v>31</v>
      </c>
      <c r="BD192" s="65" t="s">
        <v>98</v>
      </c>
      <c r="BE192" s="211" t="str">
        <f t="shared" si="250"/>
        <v>270, POYOWA BESAR,</v>
      </c>
    </row>
    <row r="193" spans="1:57" s="211" customFormat="1" ht="15.75" customHeight="1">
      <c r="A193" s="227"/>
      <c r="B193" s="227"/>
      <c r="C193" s="227"/>
      <c r="D193" s="227"/>
      <c r="E193" s="227"/>
      <c r="F193" s="227"/>
      <c r="G193" s="228"/>
      <c r="H193" s="23">
        <v>16</v>
      </c>
      <c r="I193" s="64" t="str">
        <f>I190</f>
        <v>MR.KPBS.P014</v>
      </c>
      <c r="J193" s="64">
        <f>J190</f>
        <v>0.7114102283</v>
      </c>
      <c r="K193" s="64">
        <f>K190</f>
        <v>124.3250318434</v>
      </c>
      <c r="L193" s="64" t="str">
        <f t="shared" ref="L193:M193" si="369">L192</f>
        <v>JL. RAYA POYOWA BESAR</v>
      </c>
      <c r="M193" s="64" t="str">
        <f t="shared" si="369"/>
        <v>SULAWESU UTARA</v>
      </c>
      <c r="N193" s="65" t="s">
        <v>105</v>
      </c>
      <c r="O193" s="66" t="s">
        <v>118</v>
      </c>
      <c r="P193" s="65" t="s">
        <v>119</v>
      </c>
      <c r="Q193" s="66">
        <v>95717</v>
      </c>
      <c r="R193" s="98"/>
      <c r="S193" s="99"/>
      <c r="T193" s="100"/>
      <c r="U193" s="99"/>
      <c r="V193" s="100"/>
      <c r="W193" s="97" t="s">
        <v>105</v>
      </c>
      <c r="X193" s="101"/>
      <c r="Y193" s="64" t="s">
        <v>106</v>
      </c>
      <c r="Z193" s="64" t="str">
        <f t="shared" si="264"/>
        <v>KELURAHAN POYOWA BESAR SATU KOTAMOBAGU</v>
      </c>
      <c r="AA193" s="102"/>
      <c r="AB193" s="102"/>
      <c r="AC193" s="65" t="s">
        <v>70</v>
      </c>
      <c r="AD193" s="64" t="str">
        <f t="shared" si="367"/>
        <v>POYOWA BESAR</v>
      </c>
      <c r="AE193" s="103"/>
      <c r="AF193" s="103"/>
      <c r="AG193" s="103"/>
      <c r="AH193" s="103"/>
      <c r="AI193" s="104"/>
      <c r="AJ193" s="11" t="s">
        <v>465</v>
      </c>
      <c r="AK193" s="102" t="s">
        <v>96</v>
      </c>
      <c r="AL193" s="106"/>
      <c r="AM193" s="106"/>
      <c r="AN193" s="106"/>
      <c r="AO193" s="106"/>
      <c r="AP193" s="106"/>
      <c r="AQ193" s="180" t="s">
        <v>97</v>
      </c>
      <c r="AR193" s="70" t="s">
        <v>349</v>
      </c>
      <c r="AS193" s="71" t="str">
        <f>AS190</f>
        <v>KPBS-1.019</v>
      </c>
      <c r="AT193" s="71" t="str">
        <f>AT190</f>
        <v>B05</v>
      </c>
      <c r="AU193" s="105"/>
      <c r="AV193" s="202">
        <v>0.71121181950000001</v>
      </c>
      <c r="AW193" s="202">
        <v>124.32456604639999</v>
      </c>
      <c r="AX193" s="106" t="s">
        <v>98</v>
      </c>
      <c r="AY193" s="106" t="s">
        <v>94</v>
      </c>
      <c r="AZ193" s="106" t="s">
        <v>94</v>
      </c>
      <c r="BA193" s="73" t="s">
        <v>77</v>
      </c>
      <c r="BB193" s="106" t="s">
        <v>98</v>
      </c>
      <c r="BC193" s="106">
        <v>31</v>
      </c>
      <c r="BD193" s="106" t="s">
        <v>98</v>
      </c>
      <c r="BE193" s="211" t="str">
        <f t="shared" ref="BE193:BE221" si="370">AJ193&amp;", "&amp;AD193&amp;","&amp;AI193</f>
        <v>271, POYOWA BESAR,</v>
      </c>
    </row>
    <row r="194" spans="1:57" s="211" customFormat="1" ht="15.75" customHeight="1">
      <c r="A194" s="41" t="s">
        <v>100</v>
      </c>
      <c r="B194" s="41">
        <f>B178+1</f>
        <v>14</v>
      </c>
      <c r="C194" s="32" t="s">
        <v>99</v>
      </c>
      <c r="D194" s="32" t="s">
        <v>101</v>
      </c>
      <c r="E194" s="32">
        <v>2</v>
      </c>
      <c r="F194" s="10">
        <f>F179+3</f>
        <v>13</v>
      </c>
      <c r="G194" s="213" t="s">
        <v>88</v>
      </c>
      <c r="H194" s="42">
        <v>1</v>
      </c>
      <c r="I194" s="119" t="s">
        <v>112</v>
      </c>
      <c r="J194" s="119">
        <v>0.71145460299999996</v>
      </c>
      <c r="K194" s="119">
        <v>124.3244320579</v>
      </c>
      <c r="L194" s="113" t="s">
        <v>116</v>
      </c>
      <c r="M194" s="119" t="str">
        <f t="shared" ref="M194" si="371">M193</f>
        <v>SULAWESU UTARA</v>
      </c>
      <c r="N194" s="14" t="s">
        <v>105</v>
      </c>
      <c r="O194" s="84" t="s">
        <v>118</v>
      </c>
      <c r="P194" s="14" t="s">
        <v>119</v>
      </c>
      <c r="Q194" s="84">
        <v>95717</v>
      </c>
      <c r="R194" s="86"/>
      <c r="S194" s="87"/>
      <c r="T194" s="88"/>
      <c r="U194" s="87"/>
      <c r="V194" s="88"/>
      <c r="W194" s="85" t="s">
        <v>105</v>
      </c>
      <c r="X194" s="83"/>
      <c r="Y194" s="119" t="s">
        <v>106</v>
      </c>
      <c r="Z194" s="119" t="str">
        <f t="shared" si="264"/>
        <v>KELURAHAN POYOWA BESAR SATU KOTAMOBAGU</v>
      </c>
      <c r="AA194" s="89"/>
      <c r="AB194" s="89"/>
      <c r="AC194" s="89" t="s">
        <v>70</v>
      </c>
      <c r="AD194" s="113" t="s">
        <v>119</v>
      </c>
      <c r="AE194" s="90"/>
      <c r="AF194" s="90"/>
      <c r="AG194" s="90"/>
      <c r="AH194" s="90"/>
      <c r="AI194" s="91"/>
      <c r="AJ194" s="115" t="s">
        <v>205</v>
      </c>
      <c r="AK194" s="89" t="s">
        <v>96</v>
      </c>
      <c r="AL194" s="95"/>
      <c r="AM194" s="95"/>
      <c r="AN194" s="95"/>
      <c r="AO194" s="95"/>
      <c r="AP194" s="95"/>
      <c r="AQ194" s="188" t="s">
        <v>97</v>
      </c>
      <c r="AR194" s="92" t="s">
        <v>349</v>
      </c>
      <c r="AS194" s="93" t="str">
        <f>AS178</f>
        <v>KPBS-1.019</v>
      </c>
      <c r="AT194" s="93" t="str">
        <f>G194</f>
        <v>B06</v>
      </c>
      <c r="AU194" s="94"/>
      <c r="AV194" s="203">
        <v>0.71137254979999998</v>
      </c>
      <c r="AW194" s="203">
        <v>124.3244011395</v>
      </c>
      <c r="AX194" s="95" t="s">
        <v>98</v>
      </c>
      <c r="AY194" s="95" t="s">
        <v>94</v>
      </c>
      <c r="AZ194" s="95" t="s">
        <v>94</v>
      </c>
      <c r="BA194" s="96" t="s">
        <v>77</v>
      </c>
      <c r="BB194" s="95" t="s">
        <v>98</v>
      </c>
      <c r="BC194" s="95">
        <v>31</v>
      </c>
      <c r="BD194" s="95" t="s">
        <v>98</v>
      </c>
      <c r="BE194" s="211" t="str">
        <f t="shared" si="370"/>
        <v>274, POYOWA BESAR,</v>
      </c>
    </row>
    <row r="195" spans="1:57" s="211" customFormat="1" ht="15.75" customHeight="1">
      <c r="A195" s="21"/>
      <c r="B195" s="21"/>
      <c r="C195" s="22" t="s">
        <v>99</v>
      </c>
      <c r="D195" s="22" t="s">
        <v>101</v>
      </c>
      <c r="E195" s="32">
        <v>2</v>
      </c>
      <c r="F195" s="6">
        <f>F194+1</f>
        <v>14</v>
      </c>
      <c r="G195" s="213"/>
      <c r="H195" s="12">
        <v>2</v>
      </c>
      <c r="I195" s="64" t="str">
        <f t="shared" ref="I195:M207" si="372">I194</f>
        <v>MR.KPBS.P017</v>
      </c>
      <c r="J195" s="64">
        <f t="shared" si="372"/>
        <v>0.71145460299999996</v>
      </c>
      <c r="K195" s="64">
        <f t="shared" si="372"/>
        <v>124.3244320579</v>
      </c>
      <c r="L195" s="64" t="str">
        <f t="shared" si="372"/>
        <v>JL. RAYA POYOWA BESAR</v>
      </c>
      <c r="M195" s="64" t="str">
        <f t="shared" si="372"/>
        <v>SULAWESU UTARA</v>
      </c>
      <c r="N195" s="65" t="s">
        <v>105</v>
      </c>
      <c r="O195" s="66" t="s">
        <v>118</v>
      </c>
      <c r="P195" s="65" t="s">
        <v>119</v>
      </c>
      <c r="Q195" s="66">
        <v>95717</v>
      </c>
      <c r="R195" s="98"/>
      <c r="S195" s="99"/>
      <c r="T195" s="100"/>
      <c r="U195" s="99"/>
      <c r="V195" s="100"/>
      <c r="W195" s="97" t="s">
        <v>105</v>
      </c>
      <c r="X195" s="101"/>
      <c r="Y195" s="64" t="s">
        <v>106</v>
      </c>
      <c r="Z195" s="64" t="str">
        <f t="shared" si="264"/>
        <v>KELURAHAN POYOWA BESAR SATU KOTAMOBAGU</v>
      </c>
      <c r="AA195" s="102"/>
      <c r="AB195" s="102"/>
      <c r="AC195" s="102" t="s">
        <v>70</v>
      </c>
      <c r="AD195" s="64" t="str">
        <f t="shared" ref="AD195" si="373">AD194</f>
        <v>POYOWA BESAR</v>
      </c>
      <c r="AE195" s="103"/>
      <c r="AF195" s="103"/>
      <c r="AG195" s="103"/>
      <c r="AH195" s="103"/>
      <c r="AI195" s="104"/>
      <c r="AJ195" s="11" t="s">
        <v>206</v>
      </c>
      <c r="AK195" s="102" t="s">
        <v>96</v>
      </c>
      <c r="AL195" s="106"/>
      <c r="AM195" s="106"/>
      <c r="AN195" s="106"/>
      <c r="AO195" s="106"/>
      <c r="AP195" s="106"/>
      <c r="AQ195" s="180" t="s">
        <v>97</v>
      </c>
      <c r="AR195" s="70" t="s">
        <v>349</v>
      </c>
      <c r="AS195" s="71" t="str">
        <f t="shared" ref="AS195:AT207" si="374">AS194</f>
        <v>KPBS-1.019</v>
      </c>
      <c r="AT195" s="71" t="str">
        <f t="shared" si="374"/>
        <v>B06</v>
      </c>
      <c r="AU195" s="105"/>
      <c r="AV195" s="202">
        <v>0.71170538210000001</v>
      </c>
      <c r="AW195" s="202">
        <v>124.32489425120001</v>
      </c>
      <c r="AX195" s="106" t="s">
        <v>98</v>
      </c>
      <c r="AY195" s="106" t="s">
        <v>94</v>
      </c>
      <c r="AZ195" s="106" t="s">
        <v>94</v>
      </c>
      <c r="BA195" s="73" t="s">
        <v>77</v>
      </c>
      <c r="BB195" s="106" t="s">
        <v>98</v>
      </c>
      <c r="BC195" s="106">
        <v>31</v>
      </c>
      <c r="BD195" s="106" t="s">
        <v>98</v>
      </c>
      <c r="BE195" s="211" t="str">
        <f t="shared" si="370"/>
        <v>252A, POYOWA BESAR,</v>
      </c>
    </row>
    <row r="196" spans="1:57" s="211" customFormat="1" ht="15.75" customHeight="1">
      <c r="A196" s="216"/>
      <c r="B196" s="216"/>
      <c r="C196" s="216"/>
      <c r="D196" s="216"/>
      <c r="E196" s="216"/>
      <c r="F196" s="216"/>
      <c r="G196" s="217"/>
      <c r="H196" s="12">
        <v>3</v>
      </c>
      <c r="I196" s="64" t="str">
        <f t="shared" si="372"/>
        <v>MR.KPBS.P017</v>
      </c>
      <c r="J196" s="64">
        <f t="shared" si="372"/>
        <v>0.71145460299999996</v>
      </c>
      <c r="K196" s="64">
        <f t="shared" si="372"/>
        <v>124.3244320579</v>
      </c>
      <c r="L196" s="64" t="str">
        <f t="shared" si="372"/>
        <v>JL. RAYA POYOWA BESAR</v>
      </c>
      <c r="M196" s="64" t="str">
        <f t="shared" si="372"/>
        <v>SULAWESU UTARA</v>
      </c>
      <c r="N196" s="65" t="s">
        <v>105</v>
      </c>
      <c r="O196" s="66" t="s">
        <v>118</v>
      </c>
      <c r="P196" s="65" t="s">
        <v>119</v>
      </c>
      <c r="Q196" s="66">
        <v>95717</v>
      </c>
      <c r="R196" s="98"/>
      <c r="S196" s="99"/>
      <c r="T196" s="100"/>
      <c r="U196" s="99"/>
      <c r="V196" s="100"/>
      <c r="W196" s="97" t="s">
        <v>105</v>
      </c>
      <c r="X196" s="101"/>
      <c r="Y196" s="64" t="s">
        <v>106</v>
      </c>
      <c r="Z196" s="64" t="str">
        <f t="shared" si="264"/>
        <v>KELURAHAN POYOWA BESAR SATU KOTAMOBAGU</v>
      </c>
      <c r="AA196" s="102"/>
      <c r="AB196" s="102"/>
      <c r="AC196" s="102" t="s">
        <v>70</v>
      </c>
      <c r="AD196" s="64" t="str">
        <f t="shared" ref="AD196" si="375">AD195</f>
        <v>POYOWA BESAR</v>
      </c>
      <c r="AE196" s="107"/>
      <c r="AF196" s="107"/>
      <c r="AG196" s="107"/>
      <c r="AH196" s="107"/>
      <c r="AI196" s="104"/>
      <c r="AJ196" s="11" t="s">
        <v>207</v>
      </c>
      <c r="AK196" s="102" t="s">
        <v>96</v>
      </c>
      <c r="AL196" s="106"/>
      <c r="AM196" s="106"/>
      <c r="AN196" s="106"/>
      <c r="AO196" s="106"/>
      <c r="AP196" s="106"/>
      <c r="AQ196" s="180" t="s">
        <v>97</v>
      </c>
      <c r="AR196" s="70" t="s">
        <v>349</v>
      </c>
      <c r="AS196" s="71" t="str">
        <f t="shared" si="374"/>
        <v>KPBS-1.019</v>
      </c>
      <c r="AT196" s="71" t="str">
        <f t="shared" si="374"/>
        <v>B06</v>
      </c>
      <c r="AU196" s="105"/>
      <c r="AV196" s="202">
        <v>0.71158349350000005</v>
      </c>
      <c r="AW196" s="202">
        <v>124.32483603129999</v>
      </c>
      <c r="AX196" s="106" t="s">
        <v>98</v>
      </c>
      <c r="AY196" s="106" t="s">
        <v>94</v>
      </c>
      <c r="AZ196" s="106" t="s">
        <v>94</v>
      </c>
      <c r="BA196" s="73" t="s">
        <v>77</v>
      </c>
      <c r="BB196" s="106" t="s">
        <v>98</v>
      </c>
      <c r="BC196" s="106">
        <v>31</v>
      </c>
      <c r="BD196" s="106" t="s">
        <v>98</v>
      </c>
      <c r="BE196" s="211" t="str">
        <f t="shared" si="370"/>
        <v>252, POYOWA BESAR,</v>
      </c>
    </row>
    <row r="197" spans="1:57" s="211" customFormat="1" ht="15.75" customHeight="1">
      <c r="A197" s="219"/>
      <c r="B197" s="219"/>
      <c r="C197" s="219"/>
      <c r="D197" s="219"/>
      <c r="E197" s="219"/>
      <c r="F197" s="219"/>
      <c r="G197" s="220"/>
      <c r="H197" s="12">
        <v>4</v>
      </c>
      <c r="I197" s="64" t="str">
        <f t="shared" si="372"/>
        <v>MR.KPBS.P017</v>
      </c>
      <c r="J197" s="64">
        <f t="shared" si="372"/>
        <v>0.71145460299999996</v>
      </c>
      <c r="K197" s="64">
        <f t="shared" si="372"/>
        <v>124.3244320579</v>
      </c>
      <c r="L197" s="64" t="str">
        <f t="shared" si="372"/>
        <v>JL. RAYA POYOWA BESAR</v>
      </c>
      <c r="M197" s="64" t="str">
        <f t="shared" si="372"/>
        <v>SULAWESU UTARA</v>
      </c>
      <c r="N197" s="65" t="s">
        <v>105</v>
      </c>
      <c r="O197" s="66" t="s">
        <v>118</v>
      </c>
      <c r="P197" s="65" t="s">
        <v>119</v>
      </c>
      <c r="Q197" s="66">
        <v>95717</v>
      </c>
      <c r="R197" s="98"/>
      <c r="S197" s="99"/>
      <c r="T197" s="100"/>
      <c r="U197" s="99"/>
      <c r="V197" s="100"/>
      <c r="W197" s="97" t="s">
        <v>105</v>
      </c>
      <c r="X197" s="101"/>
      <c r="Y197" s="64" t="s">
        <v>106</v>
      </c>
      <c r="Z197" s="64" t="str">
        <f t="shared" si="264"/>
        <v>KELURAHAN POYOWA BESAR SATU KOTAMOBAGU</v>
      </c>
      <c r="AA197" s="102"/>
      <c r="AB197" s="102"/>
      <c r="AC197" s="102" t="s">
        <v>70</v>
      </c>
      <c r="AD197" s="64" t="str">
        <f t="shared" ref="AD197" si="376">AD196</f>
        <v>POYOWA BESAR</v>
      </c>
      <c r="AE197" s="103"/>
      <c r="AF197" s="103"/>
      <c r="AG197" s="103"/>
      <c r="AH197" s="103"/>
      <c r="AI197" s="104"/>
      <c r="AJ197" s="11" t="s">
        <v>208</v>
      </c>
      <c r="AK197" s="102" t="s">
        <v>96</v>
      </c>
      <c r="AL197" s="106"/>
      <c r="AM197" s="106"/>
      <c r="AN197" s="106"/>
      <c r="AO197" s="106"/>
      <c r="AP197" s="106"/>
      <c r="AQ197" s="180" t="s">
        <v>97</v>
      </c>
      <c r="AR197" s="70" t="s">
        <v>349</v>
      </c>
      <c r="AS197" s="71" t="str">
        <f t="shared" si="374"/>
        <v>KPBS-1.019</v>
      </c>
      <c r="AT197" s="71" t="str">
        <f t="shared" si="374"/>
        <v>B06</v>
      </c>
      <c r="AU197" s="105"/>
      <c r="AV197" s="202">
        <v>0.71161625309999998</v>
      </c>
      <c r="AW197" s="202">
        <v>124.3247298762</v>
      </c>
      <c r="AX197" s="106" t="s">
        <v>98</v>
      </c>
      <c r="AY197" s="106" t="s">
        <v>94</v>
      </c>
      <c r="AZ197" s="106" t="s">
        <v>94</v>
      </c>
      <c r="BA197" s="73" t="s">
        <v>77</v>
      </c>
      <c r="BB197" s="106" t="s">
        <v>98</v>
      </c>
      <c r="BC197" s="106">
        <v>31</v>
      </c>
      <c r="BD197" s="106" t="s">
        <v>98</v>
      </c>
      <c r="BE197" s="211" t="str">
        <f t="shared" si="370"/>
        <v>254, POYOWA BESAR,</v>
      </c>
    </row>
    <row r="198" spans="1:57" s="211" customFormat="1" ht="15.75" customHeight="1">
      <c r="A198" s="219"/>
      <c r="B198" s="219"/>
      <c r="C198" s="219"/>
      <c r="D198" s="219"/>
      <c r="E198" s="219"/>
      <c r="F198" s="219"/>
      <c r="G198" s="220"/>
      <c r="H198" s="12">
        <v>5</v>
      </c>
      <c r="I198" s="64" t="str">
        <f t="shared" si="372"/>
        <v>MR.KPBS.P017</v>
      </c>
      <c r="J198" s="64">
        <f t="shared" si="372"/>
        <v>0.71145460299999996</v>
      </c>
      <c r="K198" s="64">
        <f t="shared" si="372"/>
        <v>124.3244320579</v>
      </c>
      <c r="L198" s="64" t="str">
        <f t="shared" si="372"/>
        <v>JL. RAYA POYOWA BESAR</v>
      </c>
      <c r="M198" s="64" t="str">
        <f t="shared" si="372"/>
        <v>SULAWESU UTARA</v>
      </c>
      <c r="N198" s="65" t="s">
        <v>105</v>
      </c>
      <c r="O198" s="66" t="s">
        <v>118</v>
      </c>
      <c r="P198" s="65" t="s">
        <v>119</v>
      </c>
      <c r="Q198" s="66">
        <v>95717</v>
      </c>
      <c r="R198" s="98"/>
      <c r="S198" s="99"/>
      <c r="T198" s="100"/>
      <c r="U198" s="99"/>
      <c r="V198" s="100"/>
      <c r="W198" s="97" t="s">
        <v>105</v>
      </c>
      <c r="X198" s="101"/>
      <c r="Y198" s="64" t="s">
        <v>106</v>
      </c>
      <c r="Z198" s="64" t="str">
        <f t="shared" si="264"/>
        <v>KELURAHAN POYOWA BESAR SATU KOTAMOBAGU</v>
      </c>
      <c r="AA198" s="102"/>
      <c r="AB198" s="102"/>
      <c r="AC198" s="102" t="s">
        <v>70</v>
      </c>
      <c r="AD198" s="64" t="str">
        <f t="shared" ref="AD198" si="377">AD197</f>
        <v>POYOWA BESAR</v>
      </c>
      <c r="AE198" s="103"/>
      <c r="AF198" s="103"/>
      <c r="AG198" s="103"/>
      <c r="AH198" s="103"/>
      <c r="AI198" s="104"/>
      <c r="AJ198" s="11" t="s">
        <v>209</v>
      </c>
      <c r="AK198" s="102" t="s">
        <v>96</v>
      </c>
      <c r="AL198" s="106"/>
      <c r="AM198" s="106"/>
      <c r="AN198" s="106"/>
      <c r="AO198" s="106"/>
      <c r="AP198" s="106"/>
      <c r="AQ198" s="180" t="s">
        <v>97</v>
      </c>
      <c r="AR198" s="70" t="s">
        <v>349</v>
      </c>
      <c r="AS198" s="71" t="str">
        <f t="shared" si="374"/>
        <v>KPBS-1.019</v>
      </c>
      <c r="AT198" s="71" t="str">
        <f t="shared" si="374"/>
        <v>B06</v>
      </c>
      <c r="AU198" s="105"/>
      <c r="AV198" s="202">
        <v>0.71145115820000004</v>
      </c>
      <c r="AW198" s="202">
        <v>124.32471435079999</v>
      </c>
      <c r="AX198" s="106" t="s">
        <v>98</v>
      </c>
      <c r="AY198" s="106" t="s">
        <v>94</v>
      </c>
      <c r="AZ198" s="106" t="s">
        <v>94</v>
      </c>
      <c r="BA198" s="73" t="s">
        <v>77</v>
      </c>
      <c r="BB198" s="106" t="s">
        <v>98</v>
      </c>
      <c r="BC198" s="106">
        <v>31</v>
      </c>
      <c r="BD198" s="106" t="s">
        <v>98</v>
      </c>
      <c r="BE198" s="211" t="str">
        <f t="shared" si="370"/>
        <v>255, POYOWA BESAR,</v>
      </c>
    </row>
    <row r="199" spans="1:57" s="211" customFormat="1" ht="15.75" customHeight="1">
      <c r="A199" s="219"/>
      <c r="B199" s="219"/>
      <c r="C199" s="219"/>
      <c r="D199" s="219"/>
      <c r="E199" s="219"/>
      <c r="F199" s="219"/>
      <c r="G199" s="220"/>
      <c r="H199" s="12">
        <v>6</v>
      </c>
      <c r="I199" s="64" t="str">
        <f t="shared" si="372"/>
        <v>MR.KPBS.P017</v>
      </c>
      <c r="J199" s="64">
        <f t="shared" si="372"/>
        <v>0.71145460299999996</v>
      </c>
      <c r="K199" s="64">
        <f t="shared" si="372"/>
        <v>124.3244320579</v>
      </c>
      <c r="L199" s="64" t="str">
        <f t="shared" si="372"/>
        <v>JL. RAYA POYOWA BESAR</v>
      </c>
      <c r="M199" s="64" t="str">
        <f t="shared" si="372"/>
        <v>SULAWESU UTARA</v>
      </c>
      <c r="N199" s="65" t="s">
        <v>105</v>
      </c>
      <c r="O199" s="66" t="s">
        <v>118</v>
      </c>
      <c r="P199" s="65" t="s">
        <v>119</v>
      </c>
      <c r="Q199" s="66">
        <v>95717</v>
      </c>
      <c r="R199" s="98"/>
      <c r="S199" s="99"/>
      <c r="T199" s="100"/>
      <c r="U199" s="99"/>
      <c r="V199" s="100"/>
      <c r="W199" s="97" t="s">
        <v>105</v>
      </c>
      <c r="X199" s="101"/>
      <c r="Y199" s="64" t="s">
        <v>106</v>
      </c>
      <c r="Z199" s="64" t="str">
        <f t="shared" si="264"/>
        <v>KELURAHAN POYOWA BESAR SATU KOTAMOBAGU</v>
      </c>
      <c r="AA199" s="102"/>
      <c r="AB199" s="102"/>
      <c r="AC199" s="102" t="s">
        <v>70</v>
      </c>
      <c r="AD199" s="64" t="str">
        <f t="shared" ref="AD199" si="378">AD198</f>
        <v>POYOWA BESAR</v>
      </c>
      <c r="AE199" s="103"/>
      <c r="AF199" s="103"/>
      <c r="AG199" s="103"/>
      <c r="AH199" s="103"/>
      <c r="AI199" s="104"/>
      <c r="AJ199" s="11" t="s">
        <v>210</v>
      </c>
      <c r="AK199" s="102" t="s">
        <v>96</v>
      </c>
      <c r="AL199" s="106"/>
      <c r="AM199" s="106"/>
      <c r="AN199" s="106"/>
      <c r="AO199" s="106"/>
      <c r="AP199" s="106"/>
      <c r="AQ199" s="180" t="s">
        <v>97</v>
      </c>
      <c r="AR199" s="70" t="s">
        <v>349</v>
      </c>
      <c r="AS199" s="71" t="str">
        <f t="shared" si="374"/>
        <v>KPBS-1.019</v>
      </c>
      <c r="AT199" s="71" t="str">
        <f t="shared" si="374"/>
        <v>B06</v>
      </c>
      <c r="AU199" s="105"/>
      <c r="AV199" s="202">
        <v>0.71159810130000001</v>
      </c>
      <c r="AW199" s="202">
        <v>124.3246358613</v>
      </c>
      <c r="AX199" s="106" t="s">
        <v>98</v>
      </c>
      <c r="AY199" s="106" t="s">
        <v>94</v>
      </c>
      <c r="AZ199" s="106" t="s">
        <v>94</v>
      </c>
      <c r="BA199" s="73" t="s">
        <v>77</v>
      </c>
      <c r="BB199" s="106" t="s">
        <v>98</v>
      </c>
      <c r="BC199" s="106">
        <v>31</v>
      </c>
      <c r="BD199" s="106" t="s">
        <v>98</v>
      </c>
      <c r="BE199" s="211" t="str">
        <f t="shared" si="370"/>
        <v>256, POYOWA BESAR,</v>
      </c>
    </row>
    <row r="200" spans="1:57" s="211" customFormat="1" ht="15.75" customHeight="1">
      <c r="A200" s="219"/>
      <c r="B200" s="219"/>
      <c r="C200" s="219"/>
      <c r="D200" s="219"/>
      <c r="E200" s="219"/>
      <c r="F200" s="219"/>
      <c r="G200" s="220"/>
      <c r="H200" s="12">
        <v>7</v>
      </c>
      <c r="I200" s="64" t="str">
        <f t="shared" si="372"/>
        <v>MR.KPBS.P017</v>
      </c>
      <c r="J200" s="64">
        <f t="shared" si="372"/>
        <v>0.71145460299999996</v>
      </c>
      <c r="K200" s="64">
        <f t="shared" si="372"/>
        <v>124.3244320579</v>
      </c>
      <c r="L200" s="64" t="str">
        <f t="shared" si="372"/>
        <v>JL. RAYA POYOWA BESAR</v>
      </c>
      <c r="M200" s="64" t="str">
        <f t="shared" si="372"/>
        <v>SULAWESU UTARA</v>
      </c>
      <c r="N200" s="65" t="s">
        <v>105</v>
      </c>
      <c r="O200" s="66" t="s">
        <v>118</v>
      </c>
      <c r="P200" s="65" t="s">
        <v>119</v>
      </c>
      <c r="Q200" s="66">
        <v>95717</v>
      </c>
      <c r="R200" s="98"/>
      <c r="S200" s="99"/>
      <c r="T200" s="100"/>
      <c r="U200" s="99"/>
      <c r="V200" s="100"/>
      <c r="W200" s="97" t="s">
        <v>105</v>
      </c>
      <c r="X200" s="101"/>
      <c r="Y200" s="64" t="s">
        <v>106</v>
      </c>
      <c r="Z200" s="64" t="str">
        <f t="shared" si="264"/>
        <v>KELURAHAN POYOWA BESAR SATU KOTAMOBAGU</v>
      </c>
      <c r="AA200" s="102"/>
      <c r="AB200" s="102"/>
      <c r="AC200" s="102" t="s">
        <v>70</v>
      </c>
      <c r="AD200" s="64" t="str">
        <f t="shared" ref="AD200" si="379">AD199</f>
        <v>POYOWA BESAR</v>
      </c>
      <c r="AE200" s="103"/>
      <c r="AF200" s="103"/>
      <c r="AG200" s="103"/>
      <c r="AH200" s="103"/>
      <c r="AI200" s="104"/>
      <c r="AJ200" s="11" t="s">
        <v>211</v>
      </c>
      <c r="AK200" s="102" t="s">
        <v>96</v>
      </c>
      <c r="AL200" s="106"/>
      <c r="AM200" s="106"/>
      <c r="AN200" s="106"/>
      <c r="AO200" s="106"/>
      <c r="AP200" s="106"/>
      <c r="AQ200" s="180" t="s">
        <v>97</v>
      </c>
      <c r="AR200" s="70" t="s">
        <v>349</v>
      </c>
      <c r="AS200" s="71" t="str">
        <f t="shared" si="374"/>
        <v>KPBS-1.019</v>
      </c>
      <c r="AT200" s="71" t="str">
        <f t="shared" si="374"/>
        <v>B06</v>
      </c>
      <c r="AU200" s="105"/>
      <c r="AV200" s="202">
        <v>0.711434735199999</v>
      </c>
      <c r="AW200" s="202">
        <v>124.324641899</v>
      </c>
      <c r="AX200" s="106" t="s">
        <v>98</v>
      </c>
      <c r="AY200" s="106" t="s">
        <v>94</v>
      </c>
      <c r="AZ200" s="106" t="s">
        <v>94</v>
      </c>
      <c r="BA200" s="73" t="s">
        <v>77</v>
      </c>
      <c r="BB200" s="106" t="s">
        <v>98</v>
      </c>
      <c r="BC200" s="106">
        <v>31</v>
      </c>
      <c r="BD200" s="106" t="s">
        <v>98</v>
      </c>
      <c r="BE200" s="211" t="str">
        <f t="shared" si="370"/>
        <v>258, POYOWA BESAR,</v>
      </c>
    </row>
    <row r="201" spans="1:57" s="211" customFormat="1" ht="15.75" customHeight="1">
      <c r="A201" s="219"/>
      <c r="B201" s="219"/>
      <c r="C201" s="219"/>
      <c r="D201" s="219"/>
      <c r="E201" s="219"/>
      <c r="F201" s="219"/>
      <c r="G201" s="220"/>
      <c r="H201" s="12">
        <v>8</v>
      </c>
      <c r="I201" s="64" t="str">
        <f t="shared" si="372"/>
        <v>MR.KPBS.P017</v>
      </c>
      <c r="J201" s="64">
        <f t="shared" si="372"/>
        <v>0.71145460299999996</v>
      </c>
      <c r="K201" s="64">
        <f t="shared" si="372"/>
        <v>124.3244320579</v>
      </c>
      <c r="L201" s="64" t="str">
        <f t="shared" si="372"/>
        <v>JL. RAYA POYOWA BESAR</v>
      </c>
      <c r="M201" s="64" t="str">
        <f t="shared" si="372"/>
        <v>SULAWESU UTARA</v>
      </c>
      <c r="N201" s="65" t="s">
        <v>105</v>
      </c>
      <c r="O201" s="66" t="s">
        <v>118</v>
      </c>
      <c r="P201" s="65" t="s">
        <v>119</v>
      </c>
      <c r="Q201" s="66">
        <v>95717</v>
      </c>
      <c r="R201" s="98"/>
      <c r="S201" s="99"/>
      <c r="T201" s="100"/>
      <c r="U201" s="99"/>
      <c r="V201" s="100"/>
      <c r="W201" s="97" t="s">
        <v>105</v>
      </c>
      <c r="X201" s="101"/>
      <c r="Y201" s="64" t="s">
        <v>106</v>
      </c>
      <c r="Z201" s="64" t="str">
        <f t="shared" si="264"/>
        <v>KELURAHAN POYOWA BESAR SATU KOTAMOBAGU</v>
      </c>
      <c r="AA201" s="102"/>
      <c r="AB201" s="102"/>
      <c r="AC201" s="102" t="s">
        <v>70</v>
      </c>
      <c r="AD201" s="64" t="str">
        <f t="shared" ref="AD201" si="380">AD200</f>
        <v>POYOWA BESAR</v>
      </c>
      <c r="AE201" s="103"/>
      <c r="AF201" s="103"/>
      <c r="AG201" s="103"/>
      <c r="AH201" s="103"/>
      <c r="AI201" s="104"/>
      <c r="AJ201" s="11" t="s">
        <v>212</v>
      </c>
      <c r="AK201" s="102" t="s">
        <v>96</v>
      </c>
      <c r="AL201" s="106"/>
      <c r="AM201" s="106"/>
      <c r="AN201" s="106"/>
      <c r="AO201" s="106"/>
      <c r="AP201" s="106"/>
      <c r="AQ201" s="180" t="s">
        <v>97</v>
      </c>
      <c r="AR201" s="70" t="s">
        <v>349</v>
      </c>
      <c r="AS201" s="71" t="str">
        <f t="shared" si="374"/>
        <v>KPBS-1.019</v>
      </c>
      <c r="AT201" s="71" t="str">
        <f t="shared" si="374"/>
        <v>B06</v>
      </c>
      <c r="AU201" s="105"/>
      <c r="AV201" s="202">
        <v>0.71156179769999905</v>
      </c>
      <c r="AW201" s="202">
        <v>124.3245358089</v>
      </c>
      <c r="AX201" s="106" t="s">
        <v>98</v>
      </c>
      <c r="AY201" s="106" t="s">
        <v>94</v>
      </c>
      <c r="AZ201" s="106" t="s">
        <v>94</v>
      </c>
      <c r="BA201" s="73" t="s">
        <v>77</v>
      </c>
      <c r="BB201" s="106" t="s">
        <v>98</v>
      </c>
      <c r="BC201" s="106">
        <v>31</v>
      </c>
      <c r="BD201" s="106" t="s">
        <v>98</v>
      </c>
      <c r="BE201" s="211" t="str">
        <f t="shared" si="370"/>
        <v>257, POYOWA BESAR,</v>
      </c>
    </row>
    <row r="202" spans="1:57" s="211" customFormat="1" ht="15.75" customHeight="1">
      <c r="A202" s="219"/>
      <c r="B202" s="219"/>
      <c r="C202" s="219"/>
      <c r="D202" s="219"/>
      <c r="E202" s="219"/>
      <c r="F202" s="219"/>
      <c r="G202" s="220"/>
      <c r="H202" s="12">
        <v>9</v>
      </c>
      <c r="I202" s="64" t="str">
        <f t="shared" si="372"/>
        <v>MR.KPBS.P017</v>
      </c>
      <c r="J202" s="64">
        <f t="shared" si="372"/>
        <v>0.71145460299999996</v>
      </c>
      <c r="K202" s="64">
        <f t="shared" si="372"/>
        <v>124.3244320579</v>
      </c>
      <c r="L202" s="64" t="str">
        <f t="shared" si="372"/>
        <v>JL. RAYA POYOWA BESAR</v>
      </c>
      <c r="M202" s="64" t="str">
        <f t="shared" si="372"/>
        <v>SULAWESU UTARA</v>
      </c>
      <c r="N202" s="65" t="s">
        <v>105</v>
      </c>
      <c r="O202" s="66" t="s">
        <v>118</v>
      </c>
      <c r="P202" s="65" t="s">
        <v>119</v>
      </c>
      <c r="Q202" s="66">
        <v>95717</v>
      </c>
      <c r="R202" s="98"/>
      <c r="S202" s="99"/>
      <c r="T202" s="100"/>
      <c r="U202" s="99"/>
      <c r="V202" s="100"/>
      <c r="W202" s="97" t="s">
        <v>105</v>
      </c>
      <c r="X202" s="101"/>
      <c r="Y202" s="64" t="s">
        <v>106</v>
      </c>
      <c r="Z202" s="64" t="str">
        <f t="shared" ref="Z202:Z265" si="381">Z201</f>
        <v>KELURAHAN POYOWA BESAR SATU KOTAMOBAGU</v>
      </c>
      <c r="AA202" s="102"/>
      <c r="AB202" s="102"/>
      <c r="AC202" s="102" t="s">
        <v>70</v>
      </c>
      <c r="AD202" s="64" t="str">
        <f t="shared" ref="AD202" si="382">AD201</f>
        <v>POYOWA BESAR</v>
      </c>
      <c r="AE202" s="103"/>
      <c r="AF202" s="103"/>
      <c r="AG202" s="103"/>
      <c r="AH202" s="103"/>
      <c r="AI202" s="104"/>
      <c r="AJ202" s="11" t="s">
        <v>213</v>
      </c>
      <c r="AK202" s="102" t="s">
        <v>96</v>
      </c>
      <c r="AL202" s="106"/>
      <c r="AM202" s="106"/>
      <c r="AN202" s="106"/>
      <c r="AO202" s="106"/>
      <c r="AP202" s="106"/>
      <c r="AQ202" s="180" t="s">
        <v>97</v>
      </c>
      <c r="AR202" s="70" t="s">
        <v>349</v>
      </c>
      <c r="AS202" s="71" t="str">
        <f t="shared" si="374"/>
        <v>KPBS-1.019</v>
      </c>
      <c r="AT202" s="71" t="str">
        <f t="shared" si="374"/>
        <v>B06</v>
      </c>
      <c r="AU202" s="105"/>
      <c r="AV202" s="202">
        <v>0.71142782019999895</v>
      </c>
      <c r="AW202" s="202">
        <v>124.32458497269999</v>
      </c>
      <c r="AX202" s="106" t="s">
        <v>98</v>
      </c>
      <c r="AY202" s="106" t="s">
        <v>94</v>
      </c>
      <c r="AZ202" s="106" t="s">
        <v>94</v>
      </c>
      <c r="BA202" s="73" t="s">
        <v>77</v>
      </c>
      <c r="BB202" s="106" t="s">
        <v>98</v>
      </c>
      <c r="BC202" s="106">
        <v>31</v>
      </c>
      <c r="BD202" s="106" t="s">
        <v>98</v>
      </c>
      <c r="BE202" s="211" t="str">
        <f t="shared" si="370"/>
        <v>259, POYOWA BESAR,</v>
      </c>
    </row>
    <row r="203" spans="1:57" s="211" customFormat="1" ht="15.75" customHeight="1">
      <c r="A203" s="219"/>
      <c r="B203" s="219"/>
      <c r="C203" s="219"/>
      <c r="D203" s="219"/>
      <c r="E203" s="219"/>
      <c r="F203" s="219"/>
      <c r="G203" s="220"/>
      <c r="H203" s="12">
        <v>10</v>
      </c>
      <c r="I203" s="64" t="str">
        <f t="shared" si="372"/>
        <v>MR.KPBS.P017</v>
      </c>
      <c r="J203" s="64">
        <f t="shared" si="372"/>
        <v>0.71145460299999996</v>
      </c>
      <c r="K203" s="64">
        <f t="shared" si="372"/>
        <v>124.3244320579</v>
      </c>
      <c r="L203" s="64" t="str">
        <f t="shared" si="372"/>
        <v>JL. RAYA POYOWA BESAR</v>
      </c>
      <c r="M203" s="64" t="str">
        <f t="shared" si="372"/>
        <v>SULAWESU UTARA</v>
      </c>
      <c r="N203" s="65" t="s">
        <v>105</v>
      </c>
      <c r="O203" s="66" t="s">
        <v>118</v>
      </c>
      <c r="P203" s="65" t="s">
        <v>119</v>
      </c>
      <c r="Q203" s="66">
        <v>95717</v>
      </c>
      <c r="R203" s="98"/>
      <c r="S203" s="99"/>
      <c r="T203" s="100"/>
      <c r="U203" s="99"/>
      <c r="V203" s="100"/>
      <c r="W203" s="97" t="s">
        <v>105</v>
      </c>
      <c r="X203" s="101"/>
      <c r="Y203" s="64" t="s">
        <v>106</v>
      </c>
      <c r="Z203" s="64" t="str">
        <f t="shared" si="381"/>
        <v>KELURAHAN POYOWA BESAR SATU KOTAMOBAGU</v>
      </c>
      <c r="AA203" s="102"/>
      <c r="AB203" s="102"/>
      <c r="AC203" s="102" t="s">
        <v>70</v>
      </c>
      <c r="AD203" s="64" t="str">
        <f t="shared" ref="AD203" si="383">AD202</f>
        <v>POYOWA BESAR</v>
      </c>
      <c r="AE203" s="103"/>
      <c r="AF203" s="103"/>
      <c r="AG203" s="103"/>
      <c r="AH203" s="103"/>
      <c r="AI203" s="104"/>
      <c r="AJ203" s="11" t="s">
        <v>214</v>
      </c>
      <c r="AK203" s="102" t="s">
        <v>96</v>
      </c>
      <c r="AL203" s="106"/>
      <c r="AM203" s="106"/>
      <c r="AN203" s="106"/>
      <c r="AO203" s="106"/>
      <c r="AP203" s="106"/>
      <c r="AQ203" s="180" t="s">
        <v>97</v>
      </c>
      <c r="AR203" s="70" t="s">
        <v>349</v>
      </c>
      <c r="AS203" s="71" t="str">
        <f t="shared" si="374"/>
        <v>KPBS-1.019</v>
      </c>
      <c r="AT203" s="71" t="str">
        <f t="shared" si="374"/>
        <v>B06</v>
      </c>
      <c r="AU203" s="105"/>
      <c r="AV203" s="202">
        <v>0.71141399029999997</v>
      </c>
      <c r="AW203" s="202">
        <v>124.3245133834</v>
      </c>
      <c r="AX203" s="106" t="s">
        <v>98</v>
      </c>
      <c r="AY203" s="106" t="s">
        <v>94</v>
      </c>
      <c r="AZ203" s="106" t="s">
        <v>94</v>
      </c>
      <c r="BA203" s="73" t="s">
        <v>77</v>
      </c>
      <c r="BB203" s="106" t="s">
        <v>98</v>
      </c>
      <c r="BC203" s="106">
        <v>31</v>
      </c>
      <c r="BD203" s="106" t="s">
        <v>98</v>
      </c>
      <c r="BE203" s="211" t="str">
        <f t="shared" si="370"/>
        <v>260, POYOWA BESAR,</v>
      </c>
    </row>
    <row r="204" spans="1:57" s="211" customFormat="1" ht="15.75" customHeight="1">
      <c r="A204" s="219"/>
      <c r="B204" s="219"/>
      <c r="C204" s="219"/>
      <c r="D204" s="219"/>
      <c r="E204" s="219"/>
      <c r="F204" s="219"/>
      <c r="G204" s="220"/>
      <c r="H204" s="12">
        <v>11</v>
      </c>
      <c r="I204" s="64" t="str">
        <f t="shared" si="372"/>
        <v>MR.KPBS.P017</v>
      </c>
      <c r="J204" s="64">
        <f t="shared" si="372"/>
        <v>0.71145460299999996</v>
      </c>
      <c r="K204" s="64">
        <f t="shared" si="372"/>
        <v>124.3244320579</v>
      </c>
      <c r="L204" s="64" t="str">
        <f t="shared" si="372"/>
        <v>JL. RAYA POYOWA BESAR</v>
      </c>
      <c r="M204" s="64" t="str">
        <f t="shared" si="372"/>
        <v>SULAWESU UTARA</v>
      </c>
      <c r="N204" s="65" t="s">
        <v>105</v>
      </c>
      <c r="O204" s="66" t="s">
        <v>118</v>
      </c>
      <c r="P204" s="65" t="s">
        <v>119</v>
      </c>
      <c r="Q204" s="66">
        <v>95717</v>
      </c>
      <c r="R204" s="98"/>
      <c r="S204" s="99"/>
      <c r="T204" s="100"/>
      <c r="U204" s="99"/>
      <c r="V204" s="100"/>
      <c r="W204" s="101" t="s">
        <v>105</v>
      </c>
      <c r="X204" s="101"/>
      <c r="Y204" s="64" t="s">
        <v>106</v>
      </c>
      <c r="Z204" s="64" t="str">
        <f t="shared" si="381"/>
        <v>KELURAHAN POYOWA BESAR SATU KOTAMOBAGU</v>
      </c>
      <c r="AA204" s="102"/>
      <c r="AB204" s="102"/>
      <c r="AC204" s="102" t="s">
        <v>70</v>
      </c>
      <c r="AD204" s="64" t="str">
        <f t="shared" ref="AD204" si="384">AD203</f>
        <v>POYOWA BESAR</v>
      </c>
      <c r="AE204" s="103"/>
      <c r="AF204" s="103"/>
      <c r="AG204" s="103"/>
      <c r="AH204" s="103"/>
      <c r="AI204" s="104"/>
      <c r="AJ204" s="11" t="s">
        <v>215</v>
      </c>
      <c r="AK204" s="102" t="s">
        <v>96</v>
      </c>
      <c r="AL204" s="106"/>
      <c r="AM204" s="106"/>
      <c r="AN204" s="106"/>
      <c r="AO204" s="106"/>
      <c r="AP204" s="106"/>
      <c r="AQ204" s="180" t="s">
        <v>97</v>
      </c>
      <c r="AR204" s="70" t="s">
        <v>349</v>
      </c>
      <c r="AS204" s="71" t="str">
        <f t="shared" si="374"/>
        <v>KPBS-1.019</v>
      </c>
      <c r="AT204" s="71" t="str">
        <f t="shared" si="374"/>
        <v>B06</v>
      </c>
      <c r="AU204" s="105"/>
      <c r="AV204" s="202">
        <v>0.71107685249999897</v>
      </c>
      <c r="AW204" s="202">
        <v>124.32450385680001</v>
      </c>
      <c r="AX204" s="106" t="s">
        <v>98</v>
      </c>
      <c r="AY204" s="106" t="s">
        <v>94</v>
      </c>
      <c r="AZ204" s="106" t="s">
        <v>94</v>
      </c>
      <c r="BA204" s="73" t="s">
        <v>77</v>
      </c>
      <c r="BB204" s="106" t="s">
        <v>98</v>
      </c>
      <c r="BC204" s="106">
        <v>31</v>
      </c>
      <c r="BD204" s="106" t="s">
        <v>98</v>
      </c>
      <c r="BE204" s="211" t="str">
        <f t="shared" si="370"/>
        <v>272, POYOWA BESAR,</v>
      </c>
    </row>
    <row r="205" spans="1:57" s="211" customFormat="1" ht="15.75" customHeight="1">
      <c r="A205" s="219"/>
      <c r="B205" s="219"/>
      <c r="C205" s="219"/>
      <c r="D205" s="219"/>
      <c r="E205" s="219"/>
      <c r="F205" s="219"/>
      <c r="G205" s="220"/>
      <c r="H205" s="12">
        <v>12</v>
      </c>
      <c r="I205" s="64" t="str">
        <f t="shared" si="372"/>
        <v>MR.KPBS.P017</v>
      </c>
      <c r="J205" s="64">
        <f t="shared" si="372"/>
        <v>0.71145460299999996</v>
      </c>
      <c r="K205" s="64">
        <f t="shared" si="372"/>
        <v>124.3244320579</v>
      </c>
      <c r="L205" s="64" t="str">
        <f t="shared" si="372"/>
        <v>JL. RAYA POYOWA BESAR</v>
      </c>
      <c r="M205" s="64" t="str">
        <f t="shared" si="372"/>
        <v>SULAWESU UTARA</v>
      </c>
      <c r="N205" s="65" t="s">
        <v>105</v>
      </c>
      <c r="O205" s="66" t="s">
        <v>118</v>
      </c>
      <c r="P205" s="65" t="s">
        <v>119</v>
      </c>
      <c r="Q205" s="66">
        <v>95717</v>
      </c>
      <c r="R205" s="98"/>
      <c r="S205" s="99"/>
      <c r="T205" s="100"/>
      <c r="U205" s="99"/>
      <c r="V205" s="100"/>
      <c r="W205" s="101" t="s">
        <v>105</v>
      </c>
      <c r="X205" s="101"/>
      <c r="Y205" s="64" t="s">
        <v>106</v>
      </c>
      <c r="Z205" s="64" t="str">
        <f t="shared" si="381"/>
        <v>KELURAHAN POYOWA BESAR SATU KOTAMOBAGU</v>
      </c>
      <c r="AA205" s="102"/>
      <c r="AB205" s="102"/>
      <c r="AC205" s="102" t="s">
        <v>70</v>
      </c>
      <c r="AD205" s="64" t="str">
        <f t="shared" ref="AD205" si="385">AD204</f>
        <v>POYOWA BESAR</v>
      </c>
      <c r="AE205" s="103"/>
      <c r="AF205" s="103"/>
      <c r="AG205" s="103"/>
      <c r="AH205" s="103"/>
      <c r="AI205" s="104"/>
      <c r="AJ205" s="11" t="s">
        <v>216</v>
      </c>
      <c r="AK205" s="102" t="s">
        <v>96</v>
      </c>
      <c r="AL205" s="106"/>
      <c r="AM205" s="106"/>
      <c r="AN205" s="106"/>
      <c r="AO205" s="106"/>
      <c r="AP205" s="106"/>
      <c r="AQ205" s="180" t="s">
        <v>97</v>
      </c>
      <c r="AR205" s="70" t="s">
        <v>349</v>
      </c>
      <c r="AS205" s="71" t="str">
        <f t="shared" si="374"/>
        <v>KPBS-1.019</v>
      </c>
      <c r="AT205" s="71" t="str">
        <f t="shared" si="374"/>
        <v>B06</v>
      </c>
      <c r="AU205" s="105"/>
      <c r="AV205" s="202">
        <v>0.71128854590000001</v>
      </c>
      <c r="AW205" s="202">
        <v>124.32442356510001</v>
      </c>
      <c r="AX205" s="106" t="s">
        <v>98</v>
      </c>
      <c r="AY205" s="106" t="s">
        <v>94</v>
      </c>
      <c r="AZ205" s="106" t="s">
        <v>94</v>
      </c>
      <c r="BA205" s="73" t="s">
        <v>77</v>
      </c>
      <c r="BB205" s="106" t="s">
        <v>98</v>
      </c>
      <c r="BC205" s="106">
        <v>31</v>
      </c>
      <c r="BD205" s="106" t="s">
        <v>98</v>
      </c>
      <c r="BE205" s="211" t="str">
        <f t="shared" si="370"/>
        <v>273, POYOWA BESAR,</v>
      </c>
    </row>
    <row r="206" spans="1:57" s="211" customFormat="1" ht="15.75" customHeight="1">
      <c r="A206" s="219"/>
      <c r="B206" s="219"/>
      <c r="C206" s="219"/>
      <c r="D206" s="219"/>
      <c r="E206" s="219"/>
      <c r="F206" s="219"/>
      <c r="G206" s="220"/>
      <c r="H206" s="12">
        <v>13</v>
      </c>
      <c r="I206" s="64" t="str">
        <f t="shared" si="372"/>
        <v>MR.KPBS.P017</v>
      </c>
      <c r="J206" s="64">
        <f t="shared" si="372"/>
        <v>0.71145460299999996</v>
      </c>
      <c r="K206" s="64">
        <f t="shared" si="372"/>
        <v>124.3244320579</v>
      </c>
      <c r="L206" s="64" t="str">
        <f t="shared" si="372"/>
        <v>JL. RAYA POYOWA BESAR</v>
      </c>
      <c r="M206" s="64" t="str">
        <f t="shared" si="372"/>
        <v>SULAWESU UTARA</v>
      </c>
      <c r="N206" s="65" t="s">
        <v>105</v>
      </c>
      <c r="O206" s="66" t="s">
        <v>118</v>
      </c>
      <c r="P206" s="65" t="s">
        <v>119</v>
      </c>
      <c r="Q206" s="66">
        <v>95717</v>
      </c>
      <c r="R206" s="67"/>
      <c r="S206" s="68"/>
      <c r="T206" s="68"/>
      <c r="U206" s="68"/>
      <c r="V206" s="68"/>
      <c r="W206" s="64" t="s">
        <v>105</v>
      </c>
      <c r="X206" s="64"/>
      <c r="Y206" s="64" t="s">
        <v>106</v>
      </c>
      <c r="Z206" s="64" t="str">
        <f t="shared" si="381"/>
        <v>KELURAHAN POYOWA BESAR SATU KOTAMOBAGU</v>
      </c>
      <c r="AA206" s="102"/>
      <c r="AB206" s="102"/>
      <c r="AC206" s="65" t="s">
        <v>70</v>
      </c>
      <c r="AD206" s="64" t="str">
        <f t="shared" ref="AD206" si="386">AD205</f>
        <v>POYOWA BESAR</v>
      </c>
      <c r="AE206" s="67"/>
      <c r="AF206" s="67"/>
      <c r="AG206" s="67"/>
      <c r="AH206" s="67"/>
      <c r="AI206" s="104"/>
      <c r="AJ206" s="11" t="s">
        <v>217</v>
      </c>
      <c r="AK206" s="102" t="s">
        <v>96</v>
      </c>
      <c r="AL206" s="106"/>
      <c r="AM206" s="106"/>
      <c r="AN206" s="106"/>
      <c r="AO206" s="106"/>
      <c r="AP206" s="106"/>
      <c r="AQ206" s="180" t="s">
        <v>97</v>
      </c>
      <c r="AR206" s="70" t="s">
        <v>349</v>
      </c>
      <c r="AS206" s="71" t="str">
        <f t="shared" si="374"/>
        <v>KPBS-1.019</v>
      </c>
      <c r="AT206" s="71" t="str">
        <f t="shared" si="374"/>
        <v>B06</v>
      </c>
      <c r="AU206" s="72"/>
      <c r="AV206" s="202">
        <v>0.71152635850000001</v>
      </c>
      <c r="AW206" s="202">
        <v>124.32446508229999</v>
      </c>
      <c r="AX206" s="106" t="s">
        <v>98</v>
      </c>
      <c r="AY206" s="106" t="s">
        <v>94</v>
      </c>
      <c r="AZ206" s="106" t="s">
        <v>94</v>
      </c>
      <c r="BA206" s="73" t="s">
        <v>77</v>
      </c>
      <c r="BB206" s="106" t="s">
        <v>98</v>
      </c>
      <c r="BC206" s="106">
        <v>31</v>
      </c>
      <c r="BD206" s="106" t="s">
        <v>98</v>
      </c>
      <c r="BE206" s="211" t="str">
        <f t="shared" si="370"/>
        <v>261, POYOWA BESAR,</v>
      </c>
    </row>
    <row r="207" spans="1:57" s="211" customFormat="1" ht="15.75" customHeight="1">
      <c r="A207" s="219"/>
      <c r="B207" s="219"/>
      <c r="C207" s="219"/>
      <c r="D207" s="219"/>
      <c r="E207" s="219"/>
      <c r="F207" s="219"/>
      <c r="G207" s="220"/>
      <c r="H207" s="12">
        <v>14</v>
      </c>
      <c r="I207" s="64" t="str">
        <f t="shared" si="372"/>
        <v>MR.KPBS.P017</v>
      </c>
      <c r="J207" s="64">
        <f t="shared" si="372"/>
        <v>0.71145460299999996</v>
      </c>
      <c r="K207" s="64">
        <f t="shared" si="372"/>
        <v>124.3244320579</v>
      </c>
      <c r="L207" s="64" t="str">
        <f t="shared" si="372"/>
        <v>JL. RAYA POYOWA BESAR</v>
      </c>
      <c r="M207" s="64" t="str">
        <f t="shared" si="372"/>
        <v>SULAWESU UTARA</v>
      </c>
      <c r="N207" s="65" t="s">
        <v>105</v>
      </c>
      <c r="O207" s="66" t="s">
        <v>118</v>
      </c>
      <c r="P207" s="65" t="s">
        <v>119</v>
      </c>
      <c r="Q207" s="66">
        <v>95717</v>
      </c>
      <c r="R207" s="67"/>
      <c r="S207" s="68"/>
      <c r="T207" s="68"/>
      <c r="U207" s="68"/>
      <c r="V207" s="68"/>
      <c r="W207" s="65" t="s">
        <v>105</v>
      </c>
      <c r="X207" s="64"/>
      <c r="Y207" s="64" t="s">
        <v>106</v>
      </c>
      <c r="Z207" s="64" t="str">
        <f t="shared" si="381"/>
        <v>KELURAHAN POYOWA BESAR SATU KOTAMOBAGU</v>
      </c>
      <c r="AA207" s="65"/>
      <c r="AB207" s="65"/>
      <c r="AC207" s="65" t="s">
        <v>70</v>
      </c>
      <c r="AD207" s="64" t="str">
        <f t="shared" ref="AD207" si="387">AD206</f>
        <v>POYOWA BESAR</v>
      </c>
      <c r="AE207" s="67"/>
      <c r="AF207" s="67"/>
      <c r="AG207" s="67"/>
      <c r="AH207" s="67"/>
      <c r="AI207" s="69"/>
      <c r="AJ207" s="11" t="s">
        <v>218</v>
      </c>
      <c r="AK207" s="65" t="s">
        <v>96</v>
      </c>
      <c r="AL207" s="65"/>
      <c r="AM207" s="176"/>
      <c r="AN207" s="176"/>
      <c r="AO207" s="176"/>
      <c r="AP207" s="176"/>
      <c r="AQ207" s="177" t="s">
        <v>97</v>
      </c>
      <c r="AR207" s="70" t="s">
        <v>349</v>
      </c>
      <c r="AS207" s="71" t="str">
        <f t="shared" si="374"/>
        <v>KPBS-1.019</v>
      </c>
      <c r="AT207" s="71" t="str">
        <f t="shared" si="374"/>
        <v>B06</v>
      </c>
      <c r="AU207" s="72"/>
      <c r="AV207" s="202">
        <v>0.71150388060000003</v>
      </c>
      <c r="AW207" s="202">
        <v>124.32439161640001</v>
      </c>
      <c r="AX207" s="65" t="s">
        <v>98</v>
      </c>
      <c r="AY207" s="65" t="s">
        <v>94</v>
      </c>
      <c r="AZ207" s="65" t="s">
        <v>94</v>
      </c>
      <c r="BA207" s="73" t="s">
        <v>77</v>
      </c>
      <c r="BB207" s="65" t="s">
        <v>98</v>
      </c>
      <c r="BC207" s="65">
        <v>31</v>
      </c>
      <c r="BD207" s="65" t="s">
        <v>98</v>
      </c>
      <c r="BE207" s="211" t="str">
        <f t="shared" si="370"/>
        <v>275, POYOWA BESAR,</v>
      </c>
    </row>
    <row r="208" spans="1:57" s="211" customFormat="1" ht="15.75" customHeight="1">
      <c r="A208" s="41" t="s">
        <v>100</v>
      </c>
      <c r="B208" s="41">
        <f>B194+1</f>
        <v>15</v>
      </c>
      <c r="C208" s="32" t="s">
        <v>99</v>
      </c>
      <c r="D208" s="32" t="s">
        <v>101</v>
      </c>
      <c r="E208" s="32">
        <v>2</v>
      </c>
      <c r="F208" s="10">
        <v>15</v>
      </c>
      <c r="G208" s="213" t="s">
        <v>83</v>
      </c>
      <c r="H208" s="42">
        <v>1</v>
      </c>
      <c r="I208" s="119" t="s">
        <v>325</v>
      </c>
      <c r="J208" s="119">
        <v>0.71141587790000005</v>
      </c>
      <c r="K208" s="119">
        <v>124.3240763829</v>
      </c>
      <c r="L208" s="113" t="s">
        <v>116</v>
      </c>
      <c r="M208" s="119" t="str">
        <f>M207</f>
        <v>SULAWESU UTARA</v>
      </c>
      <c r="N208" s="14" t="s">
        <v>105</v>
      </c>
      <c r="O208" s="84" t="s">
        <v>118</v>
      </c>
      <c r="P208" s="14" t="s">
        <v>119</v>
      </c>
      <c r="Q208" s="84">
        <v>95717</v>
      </c>
      <c r="R208" s="86"/>
      <c r="S208" s="87"/>
      <c r="T208" s="88"/>
      <c r="U208" s="87"/>
      <c r="V208" s="88"/>
      <c r="W208" s="85" t="s">
        <v>105</v>
      </c>
      <c r="X208" s="83"/>
      <c r="Y208" s="119" t="s">
        <v>106</v>
      </c>
      <c r="Z208" s="119" t="str">
        <f>Z207</f>
        <v>KELURAHAN POYOWA BESAR SATU KOTAMOBAGU</v>
      </c>
      <c r="AA208" s="89"/>
      <c r="AB208" s="89"/>
      <c r="AC208" s="89" t="s">
        <v>70</v>
      </c>
      <c r="AD208" s="113" t="s">
        <v>119</v>
      </c>
      <c r="AE208" s="90"/>
      <c r="AF208" s="90"/>
      <c r="AG208" s="90"/>
      <c r="AH208" s="90"/>
      <c r="AI208" s="91"/>
      <c r="AJ208" s="115" t="s">
        <v>466</v>
      </c>
      <c r="AK208" s="89" t="s">
        <v>96</v>
      </c>
      <c r="AL208" s="95"/>
      <c r="AM208" s="187"/>
      <c r="AN208" s="187"/>
      <c r="AO208" s="187"/>
      <c r="AP208" s="187"/>
      <c r="AQ208" s="188" t="s">
        <v>97</v>
      </c>
      <c r="AR208" s="92" t="s">
        <v>349</v>
      </c>
      <c r="AS208" s="93" t="str">
        <f>AS194</f>
        <v>KPBS-1.019</v>
      </c>
      <c r="AT208" s="93" t="str">
        <f>G208</f>
        <v>B07</v>
      </c>
      <c r="AU208" s="94"/>
      <c r="AV208" s="203">
        <v>0.71146584830000004</v>
      </c>
      <c r="AW208" s="203">
        <v>124.3242449878</v>
      </c>
      <c r="AX208" s="95" t="s">
        <v>98</v>
      </c>
      <c r="AY208" s="95" t="s">
        <v>94</v>
      </c>
      <c r="AZ208" s="95" t="s">
        <v>94</v>
      </c>
      <c r="BA208" s="96" t="s">
        <v>77</v>
      </c>
      <c r="BB208" s="95" t="s">
        <v>98</v>
      </c>
      <c r="BC208" s="95">
        <v>31</v>
      </c>
      <c r="BD208" s="95" t="s">
        <v>98</v>
      </c>
      <c r="BE208" s="211" t="str">
        <f t="shared" si="370"/>
        <v>278, POYOWA BESAR,</v>
      </c>
    </row>
    <row r="209" spans="1:57" s="211" customFormat="1" ht="15.75" customHeight="1">
      <c r="A209" s="21"/>
      <c r="B209" s="21"/>
      <c r="C209" s="22" t="s">
        <v>99</v>
      </c>
      <c r="D209" s="22" t="s">
        <v>101</v>
      </c>
      <c r="E209" s="32">
        <v>2</v>
      </c>
      <c r="F209" s="6">
        <f>F208+1</f>
        <v>16</v>
      </c>
      <c r="G209" s="213"/>
      <c r="H209" s="12">
        <v>2</v>
      </c>
      <c r="I209" s="64" t="str">
        <f>I208</f>
        <v>MR.KPBS.P018</v>
      </c>
      <c r="J209" s="64">
        <f t="shared" ref="I209:M221" si="388">J208</f>
        <v>0.71141587790000005</v>
      </c>
      <c r="K209" s="64">
        <f t="shared" si="388"/>
        <v>124.3240763829</v>
      </c>
      <c r="L209" s="64" t="str">
        <f t="shared" si="388"/>
        <v>JL. RAYA POYOWA BESAR</v>
      </c>
      <c r="M209" s="64" t="str">
        <f t="shared" si="388"/>
        <v>SULAWESU UTARA</v>
      </c>
      <c r="N209" s="65" t="s">
        <v>105</v>
      </c>
      <c r="O209" s="66" t="s">
        <v>118</v>
      </c>
      <c r="P209" s="65" t="s">
        <v>119</v>
      </c>
      <c r="Q209" s="66">
        <v>95717</v>
      </c>
      <c r="R209" s="98"/>
      <c r="S209" s="99"/>
      <c r="T209" s="100"/>
      <c r="U209" s="99"/>
      <c r="V209" s="100"/>
      <c r="W209" s="97" t="s">
        <v>105</v>
      </c>
      <c r="X209" s="101"/>
      <c r="Y209" s="64" t="s">
        <v>106</v>
      </c>
      <c r="Z209" s="64" t="str">
        <f t="shared" si="381"/>
        <v>KELURAHAN POYOWA BESAR SATU KOTAMOBAGU</v>
      </c>
      <c r="AA209" s="102"/>
      <c r="AB209" s="102"/>
      <c r="AC209" s="102" t="s">
        <v>70</v>
      </c>
      <c r="AD209" s="64" t="str">
        <f t="shared" ref="AD209" si="389">AD208</f>
        <v>POYOWA BESAR</v>
      </c>
      <c r="AE209" s="103"/>
      <c r="AF209" s="103"/>
      <c r="AG209" s="103"/>
      <c r="AH209" s="103"/>
      <c r="AI209" s="104"/>
      <c r="AJ209" s="11" t="s">
        <v>467</v>
      </c>
      <c r="AK209" s="102" t="s">
        <v>96</v>
      </c>
      <c r="AL209" s="106"/>
      <c r="AM209" s="192"/>
      <c r="AN209" s="192"/>
      <c r="AO209" s="192"/>
      <c r="AP209" s="192"/>
      <c r="AQ209" s="180" t="s">
        <v>97</v>
      </c>
      <c r="AR209" s="70" t="s">
        <v>349</v>
      </c>
      <c r="AS209" s="71" t="str">
        <f t="shared" ref="AS209:AT221" si="390">AS208</f>
        <v>KPBS-1.019</v>
      </c>
      <c r="AT209" s="71" t="str">
        <f t="shared" si="390"/>
        <v>B07</v>
      </c>
      <c r="AU209" s="105"/>
      <c r="AV209" s="202">
        <v>0.71155228540000004</v>
      </c>
      <c r="AW209" s="202">
        <v>124.324293289</v>
      </c>
      <c r="AX209" s="106" t="s">
        <v>98</v>
      </c>
      <c r="AY209" s="106" t="s">
        <v>94</v>
      </c>
      <c r="AZ209" s="106" t="s">
        <v>94</v>
      </c>
      <c r="BA209" s="73" t="s">
        <v>77</v>
      </c>
      <c r="BB209" s="106" t="s">
        <v>98</v>
      </c>
      <c r="BC209" s="106">
        <v>31</v>
      </c>
      <c r="BD209" s="106" t="s">
        <v>98</v>
      </c>
      <c r="BE209" s="211" t="str">
        <f t="shared" si="370"/>
        <v>276, POYOWA BESAR,</v>
      </c>
    </row>
    <row r="210" spans="1:57" s="211" customFormat="1" ht="15.75" customHeight="1">
      <c r="A210" s="215"/>
      <c r="B210" s="216"/>
      <c r="C210" s="216"/>
      <c r="D210" s="216"/>
      <c r="E210" s="216"/>
      <c r="F210" s="216"/>
      <c r="G210" s="217"/>
      <c r="H210" s="12">
        <v>3</v>
      </c>
      <c r="I210" s="64" t="str">
        <f t="shared" si="388"/>
        <v>MR.KPBS.P018</v>
      </c>
      <c r="J210" s="64">
        <f t="shared" si="388"/>
        <v>0.71141587790000005</v>
      </c>
      <c r="K210" s="64">
        <f t="shared" si="388"/>
        <v>124.3240763829</v>
      </c>
      <c r="L210" s="64" t="str">
        <f t="shared" si="388"/>
        <v>JL. RAYA POYOWA BESAR</v>
      </c>
      <c r="M210" s="64" t="str">
        <f t="shared" si="388"/>
        <v>SULAWESU UTARA</v>
      </c>
      <c r="N210" s="65" t="s">
        <v>105</v>
      </c>
      <c r="O210" s="66" t="s">
        <v>118</v>
      </c>
      <c r="P210" s="65" t="s">
        <v>119</v>
      </c>
      <c r="Q210" s="66">
        <v>95717</v>
      </c>
      <c r="R210" s="98"/>
      <c r="S210" s="99"/>
      <c r="T210" s="100"/>
      <c r="U210" s="99"/>
      <c r="V210" s="100"/>
      <c r="W210" s="97" t="s">
        <v>105</v>
      </c>
      <c r="X210" s="101"/>
      <c r="Y210" s="64" t="s">
        <v>106</v>
      </c>
      <c r="Z210" s="64" t="str">
        <f t="shared" si="381"/>
        <v>KELURAHAN POYOWA BESAR SATU KOTAMOBAGU</v>
      </c>
      <c r="AA210" s="102"/>
      <c r="AB210" s="102"/>
      <c r="AC210" s="102" t="s">
        <v>70</v>
      </c>
      <c r="AD210" s="64" t="str">
        <f t="shared" ref="AD210" si="391">AD209</f>
        <v>POYOWA BESAR</v>
      </c>
      <c r="AE210" s="103"/>
      <c r="AF210" s="103"/>
      <c r="AG210" s="103"/>
      <c r="AH210" s="103"/>
      <c r="AI210" s="104"/>
      <c r="AJ210" s="11" t="s">
        <v>468</v>
      </c>
      <c r="AK210" s="102" t="s">
        <v>96</v>
      </c>
      <c r="AL210" s="106"/>
      <c r="AM210" s="192"/>
      <c r="AN210" s="192"/>
      <c r="AO210" s="192"/>
      <c r="AP210" s="192"/>
      <c r="AQ210" s="180" t="s">
        <v>97</v>
      </c>
      <c r="AR210" s="70" t="s">
        <v>349</v>
      </c>
      <c r="AS210" s="71" t="str">
        <f t="shared" si="390"/>
        <v>KPBS-1.019</v>
      </c>
      <c r="AT210" s="71" t="str">
        <f t="shared" si="390"/>
        <v>B07</v>
      </c>
      <c r="AU210" s="105"/>
      <c r="AV210" s="202">
        <v>0.71130263569999996</v>
      </c>
      <c r="AW210" s="202">
        <v>124.3243105394</v>
      </c>
      <c r="AX210" s="106" t="s">
        <v>98</v>
      </c>
      <c r="AY210" s="106" t="s">
        <v>94</v>
      </c>
      <c r="AZ210" s="106" t="s">
        <v>94</v>
      </c>
      <c r="BA210" s="73" t="s">
        <v>77</v>
      </c>
      <c r="BB210" s="106" t="s">
        <v>98</v>
      </c>
      <c r="BC210" s="106">
        <v>31</v>
      </c>
      <c r="BD210" s="106" t="s">
        <v>98</v>
      </c>
      <c r="BE210" s="211" t="str">
        <f t="shared" si="370"/>
        <v>277, POYOWA BESAR,</v>
      </c>
    </row>
    <row r="211" spans="1:57" s="211" customFormat="1" ht="15.75" customHeight="1">
      <c r="A211" s="218"/>
      <c r="B211" s="219"/>
      <c r="C211" s="219"/>
      <c r="D211" s="219"/>
      <c r="E211" s="219"/>
      <c r="F211" s="219"/>
      <c r="G211" s="220"/>
      <c r="H211" s="12">
        <v>4</v>
      </c>
      <c r="I211" s="64" t="str">
        <f t="shared" si="388"/>
        <v>MR.KPBS.P018</v>
      </c>
      <c r="J211" s="64">
        <f t="shared" si="388"/>
        <v>0.71141587790000005</v>
      </c>
      <c r="K211" s="64">
        <f t="shared" si="388"/>
        <v>124.3240763829</v>
      </c>
      <c r="L211" s="64" t="str">
        <f t="shared" si="388"/>
        <v>JL. RAYA POYOWA BESAR</v>
      </c>
      <c r="M211" s="64" t="str">
        <f t="shared" si="388"/>
        <v>SULAWESU UTARA</v>
      </c>
      <c r="N211" s="65" t="s">
        <v>105</v>
      </c>
      <c r="O211" s="66" t="s">
        <v>118</v>
      </c>
      <c r="P211" s="65" t="s">
        <v>119</v>
      </c>
      <c r="Q211" s="66">
        <v>95717</v>
      </c>
      <c r="R211" s="98"/>
      <c r="S211" s="99"/>
      <c r="T211" s="100"/>
      <c r="U211" s="99"/>
      <c r="V211" s="100"/>
      <c r="W211" s="97" t="s">
        <v>105</v>
      </c>
      <c r="X211" s="101"/>
      <c r="Y211" s="64" t="s">
        <v>106</v>
      </c>
      <c r="Z211" s="64" t="str">
        <f t="shared" si="381"/>
        <v>KELURAHAN POYOWA BESAR SATU KOTAMOBAGU</v>
      </c>
      <c r="AA211" s="102"/>
      <c r="AB211" s="102"/>
      <c r="AC211" s="102" t="s">
        <v>70</v>
      </c>
      <c r="AD211" s="64" t="str">
        <f t="shared" ref="AD211" si="392">AD210</f>
        <v>POYOWA BESAR</v>
      </c>
      <c r="AE211" s="103"/>
      <c r="AF211" s="103"/>
      <c r="AG211" s="103"/>
      <c r="AH211" s="103"/>
      <c r="AI211" s="104"/>
      <c r="AJ211" s="11" t="s">
        <v>469</v>
      </c>
      <c r="AK211" s="102" t="s">
        <v>96</v>
      </c>
      <c r="AL211" s="106"/>
      <c r="AM211" s="192"/>
      <c r="AN211" s="192"/>
      <c r="AO211" s="192"/>
      <c r="AP211" s="192"/>
      <c r="AQ211" s="180" t="s">
        <v>97</v>
      </c>
      <c r="AR211" s="70" t="s">
        <v>349</v>
      </c>
      <c r="AS211" s="71" t="str">
        <f t="shared" si="390"/>
        <v>KPBS-1.019</v>
      </c>
      <c r="AT211" s="71" t="str">
        <f t="shared" si="390"/>
        <v>B07</v>
      </c>
      <c r="AU211" s="105"/>
      <c r="AV211" s="202">
        <v>0.71149091499999895</v>
      </c>
      <c r="AW211" s="202">
        <v>124.32418202389999</v>
      </c>
      <c r="AX211" s="106" t="s">
        <v>98</v>
      </c>
      <c r="AY211" s="106" t="s">
        <v>94</v>
      </c>
      <c r="AZ211" s="106" t="s">
        <v>94</v>
      </c>
      <c r="BA211" s="73" t="s">
        <v>77</v>
      </c>
      <c r="BB211" s="106" t="s">
        <v>98</v>
      </c>
      <c r="BC211" s="106">
        <v>31</v>
      </c>
      <c r="BD211" s="106" t="s">
        <v>98</v>
      </c>
      <c r="BE211" s="211" t="str">
        <f t="shared" si="370"/>
        <v>279, POYOWA BESAR,</v>
      </c>
    </row>
    <row r="212" spans="1:57" s="211" customFormat="1" ht="15.75" customHeight="1">
      <c r="A212" s="218"/>
      <c r="B212" s="219"/>
      <c r="C212" s="219"/>
      <c r="D212" s="219"/>
      <c r="E212" s="219"/>
      <c r="F212" s="219"/>
      <c r="G212" s="220"/>
      <c r="H212" s="12">
        <v>5</v>
      </c>
      <c r="I212" s="64" t="str">
        <f t="shared" si="388"/>
        <v>MR.KPBS.P018</v>
      </c>
      <c r="J212" s="64">
        <f t="shared" si="388"/>
        <v>0.71141587790000005</v>
      </c>
      <c r="K212" s="64">
        <f t="shared" si="388"/>
        <v>124.3240763829</v>
      </c>
      <c r="L212" s="64" t="str">
        <f t="shared" si="388"/>
        <v>JL. RAYA POYOWA BESAR</v>
      </c>
      <c r="M212" s="64" t="str">
        <f t="shared" si="388"/>
        <v>SULAWESU UTARA</v>
      </c>
      <c r="N212" s="65" t="s">
        <v>105</v>
      </c>
      <c r="O212" s="66" t="s">
        <v>118</v>
      </c>
      <c r="P212" s="65" t="s">
        <v>119</v>
      </c>
      <c r="Q212" s="66">
        <v>95717</v>
      </c>
      <c r="R212" s="98"/>
      <c r="S212" s="99"/>
      <c r="T212" s="100"/>
      <c r="U212" s="99"/>
      <c r="V212" s="100"/>
      <c r="W212" s="97" t="s">
        <v>105</v>
      </c>
      <c r="X212" s="101"/>
      <c r="Y212" s="64" t="s">
        <v>106</v>
      </c>
      <c r="Z212" s="64" t="str">
        <f t="shared" si="381"/>
        <v>KELURAHAN POYOWA BESAR SATU KOTAMOBAGU</v>
      </c>
      <c r="AA212" s="102"/>
      <c r="AB212" s="102"/>
      <c r="AC212" s="102" t="s">
        <v>70</v>
      </c>
      <c r="AD212" s="64" t="str">
        <f t="shared" ref="AD212" si="393">AD211</f>
        <v>POYOWA BESAR</v>
      </c>
      <c r="AE212" s="103"/>
      <c r="AF212" s="103"/>
      <c r="AG212" s="103"/>
      <c r="AH212" s="103"/>
      <c r="AI212" s="104"/>
      <c r="AJ212" s="11" t="s">
        <v>470</v>
      </c>
      <c r="AK212" s="102" t="s">
        <v>96</v>
      </c>
      <c r="AL212" s="106"/>
      <c r="AM212" s="192"/>
      <c r="AN212" s="192"/>
      <c r="AO212" s="192"/>
      <c r="AP212" s="192"/>
      <c r="AQ212" s="180" t="s">
        <v>97</v>
      </c>
      <c r="AR212" s="70" t="s">
        <v>349</v>
      </c>
      <c r="AS212" s="71" t="str">
        <f t="shared" si="390"/>
        <v>KPBS-1.019</v>
      </c>
      <c r="AT212" s="71" t="str">
        <f t="shared" si="390"/>
        <v>B07</v>
      </c>
      <c r="AU212" s="105"/>
      <c r="AV212" s="202">
        <v>0.71136271809999896</v>
      </c>
      <c r="AW212" s="202">
        <v>124.3241657662</v>
      </c>
      <c r="AX212" s="106" t="s">
        <v>98</v>
      </c>
      <c r="AY212" s="106" t="s">
        <v>94</v>
      </c>
      <c r="AZ212" s="106" t="s">
        <v>94</v>
      </c>
      <c r="BA212" s="73" t="s">
        <v>77</v>
      </c>
      <c r="BB212" s="106" t="s">
        <v>98</v>
      </c>
      <c r="BC212" s="106">
        <v>31</v>
      </c>
      <c r="BD212" s="106" t="s">
        <v>98</v>
      </c>
      <c r="BE212" s="211" t="str">
        <f t="shared" si="370"/>
        <v>284, POYOWA BESAR,</v>
      </c>
    </row>
    <row r="213" spans="1:57" s="211" customFormat="1" ht="15.75" customHeight="1">
      <c r="A213" s="218"/>
      <c r="B213" s="219"/>
      <c r="C213" s="219"/>
      <c r="D213" s="219"/>
      <c r="E213" s="219"/>
      <c r="F213" s="219"/>
      <c r="G213" s="220"/>
      <c r="H213" s="12">
        <v>6</v>
      </c>
      <c r="I213" s="64" t="str">
        <f t="shared" si="388"/>
        <v>MR.KPBS.P018</v>
      </c>
      <c r="J213" s="64">
        <f t="shared" si="388"/>
        <v>0.71141587790000005</v>
      </c>
      <c r="K213" s="64">
        <f t="shared" si="388"/>
        <v>124.3240763829</v>
      </c>
      <c r="L213" s="64" t="str">
        <f t="shared" si="388"/>
        <v>JL. RAYA POYOWA BESAR</v>
      </c>
      <c r="M213" s="64" t="str">
        <f t="shared" si="388"/>
        <v>SULAWESU UTARA</v>
      </c>
      <c r="N213" s="65" t="s">
        <v>105</v>
      </c>
      <c r="O213" s="66" t="s">
        <v>118</v>
      </c>
      <c r="P213" s="65" t="s">
        <v>119</v>
      </c>
      <c r="Q213" s="66">
        <v>95717</v>
      </c>
      <c r="R213" s="98"/>
      <c r="S213" s="99"/>
      <c r="T213" s="108"/>
      <c r="U213" s="109"/>
      <c r="V213" s="108"/>
      <c r="W213" s="97" t="s">
        <v>105</v>
      </c>
      <c r="X213" s="101"/>
      <c r="Y213" s="64" t="s">
        <v>106</v>
      </c>
      <c r="Z213" s="64" t="str">
        <f t="shared" si="381"/>
        <v>KELURAHAN POYOWA BESAR SATU KOTAMOBAGU</v>
      </c>
      <c r="AA213" s="102"/>
      <c r="AB213" s="102"/>
      <c r="AC213" s="102" t="s">
        <v>70</v>
      </c>
      <c r="AD213" s="64" t="str">
        <f t="shared" ref="AD213" si="394">AD212</f>
        <v>POYOWA BESAR</v>
      </c>
      <c r="AE213" s="110"/>
      <c r="AF213" s="110"/>
      <c r="AG213" s="110"/>
      <c r="AH213" s="110"/>
      <c r="AI213" s="104"/>
      <c r="AJ213" s="11" t="s">
        <v>471</v>
      </c>
      <c r="AK213" s="102" t="s">
        <v>96</v>
      </c>
      <c r="AL213" s="106"/>
      <c r="AM213" s="192"/>
      <c r="AN213" s="192"/>
      <c r="AO213" s="192"/>
      <c r="AP213" s="192"/>
      <c r="AQ213" s="193" t="s">
        <v>97</v>
      </c>
      <c r="AR213" s="70" t="s">
        <v>349</v>
      </c>
      <c r="AS213" s="71" t="str">
        <f t="shared" si="390"/>
        <v>KPBS-1.019</v>
      </c>
      <c r="AT213" s="71" t="str">
        <f t="shared" si="390"/>
        <v>B07</v>
      </c>
      <c r="AU213" s="105"/>
      <c r="AV213" s="202">
        <v>0.71147750340000004</v>
      </c>
      <c r="AW213" s="202">
        <v>124.3241145624</v>
      </c>
      <c r="AX213" s="106" t="s">
        <v>98</v>
      </c>
      <c r="AY213" s="106" t="s">
        <v>94</v>
      </c>
      <c r="AZ213" s="106" t="s">
        <v>94</v>
      </c>
      <c r="BA213" s="73" t="s">
        <v>77</v>
      </c>
      <c r="BB213" s="106" t="s">
        <v>98</v>
      </c>
      <c r="BC213" s="106">
        <v>31</v>
      </c>
      <c r="BD213" s="106" t="s">
        <v>98</v>
      </c>
      <c r="BE213" s="211" t="str">
        <f t="shared" si="370"/>
        <v>280, POYOWA BESAR,</v>
      </c>
    </row>
    <row r="214" spans="1:57" s="211" customFormat="1" ht="15.75" customHeight="1">
      <c r="A214" s="218"/>
      <c r="B214" s="219"/>
      <c r="C214" s="219"/>
      <c r="D214" s="219"/>
      <c r="E214" s="219"/>
      <c r="F214" s="219"/>
      <c r="G214" s="220"/>
      <c r="H214" s="12">
        <v>7</v>
      </c>
      <c r="I214" s="64" t="str">
        <f t="shared" si="388"/>
        <v>MR.KPBS.P018</v>
      </c>
      <c r="J214" s="64">
        <f t="shared" si="388"/>
        <v>0.71141587790000005</v>
      </c>
      <c r="K214" s="64">
        <f t="shared" si="388"/>
        <v>124.3240763829</v>
      </c>
      <c r="L214" s="64" t="str">
        <f t="shared" si="388"/>
        <v>JL. RAYA POYOWA BESAR</v>
      </c>
      <c r="M214" s="64" t="str">
        <f t="shared" si="388"/>
        <v>SULAWESU UTARA</v>
      </c>
      <c r="N214" s="65" t="s">
        <v>105</v>
      </c>
      <c r="O214" s="66" t="s">
        <v>118</v>
      </c>
      <c r="P214" s="65" t="s">
        <v>119</v>
      </c>
      <c r="Q214" s="66">
        <v>95717</v>
      </c>
      <c r="R214" s="98"/>
      <c r="S214" s="99"/>
      <c r="T214" s="100"/>
      <c r="U214" s="99"/>
      <c r="V214" s="100"/>
      <c r="W214" s="97" t="s">
        <v>105</v>
      </c>
      <c r="X214" s="101"/>
      <c r="Y214" s="64" t="s">
        <v>106</v>
      </c>
      <c r="Z214" s="64" t="str">
        <f t="shared" si="381"/>
        <v>KELURAHAN POYOWA BESAR SATU KOTAMOBAGU</v>
      </c>
      <c r="AA214" s="102"/>
      <c r="AB214" s="102"/>
      <c r="AC214" s="102" t="s">
        <v>70</v>
      </c>
      <c r="AD214" s="64" t="str">
        <f t="shared" ref="AD214" si="395">AD213</f>
        <v>POYOWA BESAR</v>
      </c>
      <c r="AE214" s="103"/>
      <c r="AF214" s="103"/>
      <c r="AG214" s="103"/>
      <c r="AH214" s="103"/>
      <c r="AI214" s="104"/>
      <c r="AJ214" s="102" t="s">
        <v>472</v>
      </c>
      <c r="AK214" s="102" t="s">
        <v>96</v>
      </c>
      <c r="AL214" s="106"/>
      <c r="AM214" s="106"/>
      <c r="AN214" s="106"/>
      <c r="AO214" s="106"/>
      <c r="AP214" s="106"/>
      <c r="AQ214" s="180" t="s">
        <v>97</v>
      </c>
      <c r="AR214" s="70" t="s">
        <v>349</v>
      </c>
      <c r="AS214" s="71" t="str">
        <f t="shared" si="390"/>
        <v>KPBS-1.019</v>
      </c>
      <c r="AT214" s="71" t="str">
        <f t="shared" si="390"/>
        <v>B07</v>
      </c>
      <c r="AU214" s="105"/>
      <c r="AV214" s="204">
        <v>0.71147858559999999</v>
      </c>
      <c r="AW214" s="204">
        <v>124.3240557039</v>
      </c>
      <c r="AX214" s="106" t="s">
        <v>98</v>
      </c>
      <c r="AY214" s="106" t="s">
        <v>94</v>
      </c>
      <c r="AZ214" s="106" t="s">
        <v>94</v>
      </c>
      <c r="BA214" s="73" t="s">
        <v>77</v>
      </c>
      <c r="BB214" s="106" t="s">
        <v>98</v>
      </c>
      <c r="BC214" s="106">
        <v>31</v>
      </c>
      <c r="BD214" s="106" t="s">
        <v>98</v>
      </c>
      <c r="BE214" s="211" t="str">
        <f t="shared" si="370"/>
        <v>281, POYOWA BESAR,</v>
      </c>
    </row>
    <row r="215" spans="1:57" s="211" customFormat="1" ht="15.75" customHeight="1">
      <c r="A215" s="218"/>
      <c r="B215" s="219"/>
      <c r="C215" s="219"/>
      <c r="D215" s="219"/>
      <c r="E215" s="219"/>
      <c r="F215" s="219"/>
      <c r="G215" s="220"/>
      <c r="H215" s="12">
        <v>8</v>
      </c>
      <c r="I215" s="64" t="str">
        <f t="shared" si="388"/>
        <v>MR.KPBS.P018</v>
      </c>
      <c r="J215" s="64">
        <f t="shared" si="388"/>
        <v>0.71141587790000005</v>
      </c>
      <c r="K215" s="64">
        <f t="shared" si="388"/>
        <v>124.3240763829</v>
      </c>
      <c r="L215" s="64" t="str">
        <f t="shared" si="388"/>
        <v>JL. RAYA POYOWA BESAR</v>
      </c>
      <c r="M215" s="64" t="str">
        <f t="shared" si="388"/>
        <v>SULAWESU UTARA</v>
      </c>
      <c r="N215" s="65" t="s">
        <v>105</v>
      </c>
      <c r="O215" s="66" t="s">
        <v>118</v>
      </c>
      <c r="P215" s="65" t="s">
        <v>119</v>
      </c>
      <c r="Q215" s="66">
        <v>95717</v>
      </c>
      <c r="R215" s="98"/>
      <c r="S215" s="99"/>
      <c r="T215" s="100"/>
      <c r="U215" s="99"/>
      <c r="V215" s="100"/>
      <c r="W215" s="97" t="s">
        <v>105</v>
      </c>
      <c r="X215" s="101"/>
      <c r="Y215" s="64" t="s">
        <v>106</v>
      </c>
      <c r="Z215" s="64" t="str">
        <f t="shared" si="381"/>
        <v>KELURAHAN POYOWA BESAR SATU KOTAMOBAGU</v>
      </c>
      <c r="AA215" s="102"/>
      <c r="AB215" s="102"/>
      <c r="AC215" s="102" t="s">
        <v>70</v>
      </c>
      <c r="AD215" s="64" t="str">
        <f t="shared" ref="AD215" si="396">AD214</f>
        <v>POYOWA BESAR</v>
      </c>
      <c r="AE215" s="103"/>
      <c r="AF215" s="103"/>
      <c r="AG215" s="103"/>
      <c r="AH215" s="103"/>
      <c r="AI215" s="104"/>
      <c r="AJ215" s="102" t="s">
        <v>473</v>
      </c>
      <c r="AK215" s="102" t="s">
        <v>96</v>
      </c>
      <c r="AL215" s="106"/>
      <c r="AM215" s="106"/>
      <c r="AN215" s="106"/>
      <c r="AO215" s="106"/>
      <c r="AP215" s="106"/>
      <c r="AQ215" s="180" t="s">
        <v>97</v>
      </c>
      <c r="AR215" s="70" t="s">
        <v>349</v>
      </c>
      <c r="AS215" s="71" t="str">
        <f t="shared" si="390"/>
        <v>KPBS-1.019</v>
      </c>
      <c r="AT215" s="71" t="str">
        <f t="shared" si="390"/>
        <v>B07</v>
      </c>
      <c r="AU215" s="105"/>
      <c r="AV215" s="204">
        <v>0.71134594259999895</v>
      </c>
      <c r="AW215" s="204">
        <v>124.324058849</v>
      </c>
      <c r="AX215" s="106" t="s">
        <v>98</v>
      </c>
      <c r="AY215" s="106" t="s">
        <v>94</v>
      </c>
      <c r="AZ215" s="106" t="s">
        <v>94</v>
      </c>
      <c r="BA215" s="73" t="s">
        <v>77</v>
      </c>
      <c r="BB215" s="106" t="s">
        <v>98</v>
      </c>
      <c r="BC215" s="106">
        <v>31</v>
      </c>
      <c r="BD215" s="106" t="s">
        <v>98</v>
      </c>
      <c r="BE215" s="211" t="str">
        <f t="shared" si="370"/>
        <v>285, POYOWA BESAR,</v>
      </c>
    </row>
    <row r="216" spans="1:57" s="211" customFormat="1" ht="15.75" customHeight="1">
      <c r="A216" s="218"/>
      <c r="B216" s="219"/>
      <c r="C216" s="219"/>
      <c r="D216" s="219"/>
      <c r="E216" s="219"/>
      <c r="F216" s="219"/>
      <c r="G216" s="220"/>
      <c r="H216" s="12">
        <v>9</v>
      </c>
      <c r="I216" s="64" t="str">
        <f t="shared" si="388"/>
        <v>MR.KPBS.P018</v>
      </c>
      <c r="J216" s="64">
        <f t="shared" si="388"/>
        <v>0.71141587790000005</v>
      </c>
      <c r="K216" s="64">
        <f t="shared" si="388"/>
        <v>124.3240763829</v>
      </c>
      <c r="L216" s="64" t="str">
        <f t="shared" si="388"/>
        <v>JL. RAYA POYOWA BESAR</v>
      </c>
      <c r="M216" s="64" t="str">
        <f t="shared" si="388"/>
        <v>SULAWESU UTARA</v>
      </c>
      <c r="N216" s="65" t="s">
        <v>105</v>
      </c>
      <c r="O216" s="66" t="s">
        <v>118</v>
      </c>
      <c r="P216" s="65" t="s">
        <v>119</v>
      </c>
      <c r="Q216" s="66">
        <v>95717</v>
      </c>
      <c r="R216" s="98"/>
      <c r="S216" s="99"/>
      <c r="T216" s="108"/>
      <c r="U216" s="109"/>
      <c r="V216" s="108"/>
      <c r="W216" s="97" t="s">
        <v>105</v>
      </c>
      <c r="X216" s="101"/>
      <c r="Y216" s="64" t="s">
        <v>106</v>
      </c>
      <c r="Z216" s="64" t="str">
        <f t="shared" si="381"/>
        <v>KELURAHAN POYOWA BESAR SATU KOTAMOBAGU</v>
      </c>
      <c r="AA216" s="102"/>
      <c r="AB216" s="102"/>
      <c r="AC216" s="102" t="s">
        <v>70</v>
      </c>
      <c r="AD216" s="64" t="str">
        <f t="shared" ref="AD216" si="397">AD215</f>
        <v>POYOWA BESAR</v>
      </c>
      <c r="AE216" s="103"/>
      <c r="AF216" s="103"/>
      <c r="AG216" s="103"/>
      <c r="AH216" s="103"/>
      <c r="AI216" s="104"/>
      <c r="AJ216" s="102" t="s">
        <v>474</v>
      </c>
      <c r="AK216" s="102" t="s">
        <v>96</v>
      </c>
      <c r="AL216" s="106"/>
      <c r="AM216" s="106"/>
      <c r="AN216" s="106"/>
      <c r="AO216" s="106"/>
      <c r="AP216" s="106"/>
      <c r="AQ216" s="180" t="s">
        <v>97</v>
      </c>
      <c r="AR216" s="70" t="s">
        <v>349</v>
      </c>
      <c r="AS216" s="71" t="str">
        <f t="shared" si="390"/>
        <v>KPBS-1.019</v>
      </c>
      <c r="AT216" s="71" t="str">
        <f t="shared" si="390"/>
        <v>B07</v>
      </c>
      <c r="AU216" s="105"/>
      <c r="AV216" s="204">
        <v>0.71133187279999999</v>
      </c>
      <c r="AW216" s="204">
        <v>124.32396327150001</v>
      </c>
      <c r="AX216" s="106" t="s">
        <v>98</v>
      </c>
      <c r="AY216" s="106" t="s">
        <v>94</v>
      </c>
      <c r="AZ216" s="106" t="s">
        <v>94</v>
      </c>
      <c r="BA216" s="73" t="s">
        <v>77</v>
      </c>
      <c r="BB216" s="106" t="s">
        <v>98</v>
      </c>
      <c r="BC216" s="106">
        <v>31</v>
      </c>
      <c r="BD216" s="106" t="s">
        <v>98</v>
      </c>
      <c r="BE216" s="211" t="str">
        <f t="shared" si="370"/>
        <v>286, POYOWA BESAR,</v>
      </c>
    </row>
    <row r="217" spans="1:57" s="211" customFormat="1" ht="15.75" customHeight="1">
      <c r="A217" s="218"/>
      <c r="B217" s="219"/>
      <c r="C217" s="219"/>
      <c r="D217" s="219"/>
      <c r="E217" s="219"/>
      <c r="F217" s="219"/>
      <c r="G217" s="220"/>
      <c r="H217" s="12">
        <v>10</v>
      </c>
      <c r="I217" s="64" t="str">
        <f t="shared" si="388"/>
        <v>MR.KPBS.P018</v>
      </c>
      <c r="J217" s="64">
        <f t="shared" si="388"/>
        <v>0.71141587790000005</v>
      </c>
      <c r="K217" s="64">
        <f t="shared" si="388"/>
        <v>124.3240763829</v>
      </c>
      <c r="L217" s="64" t="str">
        <f t="shared" si="388"/>
        <v>JL. RAYA POYOWA BESAR</v>
      </c>
      <c r="M217" s="64" t="str">
        <f t="shared" si="388"/>
        <v>SULAWESU UTARA</v>
      </c>
      <c r="N217" s="65" t="s">
        <v>105</v>
      </c>
      <c r="O217" s="66" t="s">
        <v>118</v>
      </c>
      <c r="P217" s="65" t="s">
        <v>119</v>
      </c>
      <c r="Q217" s="66">
        <v>95717</v>
      </c>
      <c r="R217" s="98"/>
      <c r="S217" s="99"/>
      <c r="T217" s="100"/>
      <c r="U217" s="99"/>
      <c r="V217" s="100"/>
      <c r="W217" s="97" t="s">
        <v>105</v>
      </c>
      <c r="X217" s="101"/>
      <c r="Y217" s="64" t="s">
        <v>106</v>
      </c>
      <c r="Z217" s="64" t="str">
        <f t="shared" si="381"/>
        <v>KELURAHAN POYOWA BESAR SATU KOTAMOBAGU</v>
      </c>
      <c r="AA217" s="102"/>
      <c r="AB217" s="102"/>
      <c r="AC217" s="102" t="s">
        <v>70</v>
      </c>
      <c r="AD217" s="64" t="str">
        <f t="shared" ref="AD217" si="398">AD216</f>
        <v>POYOWA BESAR</v>
      </c>
      <c r="AE217" s="103"/>
      <c r="AF217" s="103"/>
      <c r="AG217" s="103"/>
      <c r="AH217" s="103"/>
      <c r="AI217" s="104"/>
      <c r="AJ217" s="102" t="s">
        <v>475</v>
      </c>
      <c r="AK217" s="102" t="s">
        <v>96</v>
      </c>
      <c r="AL217" s="106"/>
      <c r="AM217" s="106"/>
      <c r="AN217" s="106"/>
      <c r="AO217" s="106"/>
      <c r="AP217" s="106"/>
      <c r="AQ217" s="180" t="s">
        <v>97</v>
      </c>
      <c r="AR217" s="70" t="s">
        <v>349</v>
      </c>
      <c r="AS217" s="71" t="str">
        <f t="shared" si="390"/>
        <v>KPBS-1.019</v>
      </c>
      <c r="AT217" s="71" t="str">
        <f t="shared" si="390"/>
        <v>B07</v>
      </c>
      <c r="AU217" s="105"/>
      <c r="AV217" s="204">
        <v>0.71147482049999999</v>
      </c>
      <c r="AW217" s="204">
        <v>124.32398866139999</v>
      </c>
      <c r="AX217" s="106" t="s">
        <v>98</v>
      </c>
      <c r="AY217" s="106" t="s">
        <v>94</v>
      </c>
      <c r="AZ217" s="106" t="s">
        <v>94</v>
      </c>
      <c r="BA217" s="73" t="s">
        <v>77</v>
      </c>
      <c r="BB217" s="106" t="s">
        <v>98</v>
      </c>
      <c r="BC217" s="106">
        <v>31</v>
      </c>
      <c r="BD217" s="106" t="s">
        <v>98</v>
      </c>
      <c r="BE217" s="211" t="str">
        <f t="shared" si="370"/>
        <v>282, POYOWA BESAR,</v>
      </c>
    </row>
    <row r="218" spans="1:57" s="211" customFormat="1" ht="15.75" customHeight="1">
      <c r="A218" s="218"/>
      <c r="B218" s="219"/>
      <c r="C218" s="219"/>
      <c r="D218" s="219"/>
      <c r="E218" s="219"/>
      <c r="F218" s="219"/>
      <c r="G218" s="220"/>
      <c r="H218" s="12">
        <v>11</v>
      </c>
      <c r="I218" s="64" t="str">
        <f t="shared" si="388"/>
        <v>MR.KPBS.P018</v>
      </c>
      <c r="J218" s="64">
        <f t="shared" si="388"/>
        <v>0.71141587790000005</v>
      </c>
      <c r="K218" s="64">
        <f t="shared" si="388"/>
        <v>124.3240763829</v>
      </c>
      <c r="L218" s="64" t="str">
        <f t="shared" si="388"/>
        <v>JL. RAYA POYOWA BESAR</v>
      </c>
      <c r="M218" s="64" t="str">
        <f t="shared" si="388"/>
        <v>SULAWESU UTARA</v>
      </c>
      <c r="N218" s="65" t="s">
        <v>105</v>
      </c>
      <c r="O218" s="66" t="s">
        <v>118</v>
      </c>
      <c r="P218" s="65" t="s">
        <v>119</v>
      </c>
      <c r="Q218" s="66">
        <v>95717</v>
      </c>
      <c r="R218" s="98"/>
      <c r="S218" s="99"/>
      <c r="T218" s="100"/>
      <c r="U218" s="99"/>
      <c r="V218" s="100"/>
      <c r="W218" s="97" t="s">
        <v>105</v>
      </c>
      <c r="X218" s="101"/>
      <c r="Y218" s="64" t="s">
        <v>106</v>
      </c>
      <c r="Z218" s="64" t="str">
        <f t="shared" si="381"/>
        <v>KELURAHAN POYOWA BESAR SATU KOTAMOBAGU</v>
      </c>
      <c r="AA218" s="102"/>
      <c r="AB218" s="102"/>
      <c r="AC218" s="102" t="s">
        <v>70</v>
      </c>
      <c r="AD218" s="64" t="str">
        <f t="shared" ref="AD218" si="399">AD217</f>
        <v>POYOWA BESAR</v>
      </c>
      <c r="AE218" s="66"/>
      <c r="AF218" s="66"/>
      <c r="AG218" s="66"/>
      <c r="AH218" s="66"/>
      <c r="AI218" s="104"/>
      <c r="AJ218" s="102" t="s">
        <v>476</v>
      </c>
      <c r="AK218" s="102" t="s">
        <v>96</v>
      </c>
      <c r="AL218" s="106"/>
      <c r="AM218" s="106"/>
      <c r="AN218" s="106"/>
      <c r="AO218" s="106"/>
      <c r="AP218" s="106"/>
      <c r="AQ218" s="180" t="s">
        <v>97</v>
      </c>
      <c r="AR218" s="70" t="s">
        <v>349</v>
      </c>
      <c r="AS218" s="71" t="str">
        <f t="shared" si="390"/>
        <v>KPBS-1.019</v>
      </c>
      <c r="AT218" s="71" t="str">
        <f t="shared" si="390"/>
        <v>B07</v>
      </c>
      <c r="AU218" s="105"/>
      <c r="AV218" s="204">
        <v>0.71147156739999895</v>
      </c>
      <c r="AW218" s="204">
        <v>124.3239265631</v>
      </c>
      <c r="AX218" s="106" t="s">
        <v>98</v>
      </c>
      <c r="AY218" s="106" t="s">
        <v>94</v>
      </c>
      <c r="AZ218" s="106" t="s">
        <v>94</v>
      </c>
      <c r="BA218" s="73" t="s">
        <v>77</v>
      </c>
      <c r="BB218" s="106" t="s">
        <v>98</v>
      </c>
      <c r="BC218" s="106">
        <v>31</v>
      </c>
      <c r="BD218" s="106" t="s">
        <v>98</v>
      </c>
      <c r="BE218" s="211" t="str">
        <f t="shared" si="370"/>
        <v>283, POYOWA BESAR,</v>
      </c>
    </row>
    <row r="219" spans="1:57" s="211" customFormat="1" ht="15.75" customHeight="1">
      <c r="A219" s="218"/>
      <c r="B219" s="219"/>
      <c r="C219" s="219"/>
      <c r="D219" s="219"/>
      <c r="E219" s="219"/>
      <c r="F219" s="219"/>
      <c r="G219" s="220"/>
      <c r="H219" s="12">
        <v>12</v>
      </c>
      <c r="I219" s="64" t="str">
        <f t="shared" si="388"/>
        <v>MR.KPBS.P018</v>
      </c>
      <c r="J219" s="64">
        <f t="shared" si="388"/>
        <v>0.71141587790000005</v>
      </c>
      <c r="K219" s="64">
        <f t="shared" si="388"/>
        <v>124.3240763829</v>
      </c>
      <c r="L219" s="64" t="str">
        <f t="shared" si="388"/>
        <v>JL. RAYA POYOWA BESAR</v>
      </c>
      <c r="M219" s="64" t="str">
        <f t="shared" si="388"/>
        <v>SULAWESU UTARA</v>
      </c>
      <c r="N219" s="65" t="s">
        <v>105</v>
      </c>
      <c r="O219" s="66" t="s">
        <v>118</v>
      </c>
      <c r="P219" s="65" t="s">
        <v>119</v>
      </c>
      <c r="Q219" s="66">
        <v>95717</v>
      </c>
      <c r="R219" s="98"/>
      <c r="S219" s="99"/>
      <c r="T219" s="108"/>
      <c r="U219" s="109"/>
      <c r="V219" s="108"/>
      <c r="W219" s="97" t="s">
        <v>105</v>
      </c>
      <c r="X219" s="101"/>
      <c r="Y219" s="64" t="s">
        <v>106</v>
      </c>
      <c r="Z219" s="64" t="str">
        <f t="shared" si="381"/>
        <v>KELURAHAN POYOWA BESAR SATU KOTAMOBAGU</v>
      </c>
      <c r="AA219" s="102"/>
      <c r="AB219" s="102"/>
      <c r="AC219" s="102" t="s">
        <v>70</v>
      </c>
      <c r="AD219" s="64" t="str">
        <f t="shared" ref="AD219" si="400">AD218</f>
        <v>POYOWA BESAR</v>
      </c>
      <c r="AE219" s="66"/>
      <c r="AF219" s="66"/>
      <c r="AG219" s="66"/>
      <c r="AH219" s="66"/>
      <c r="AI219" s="104"/>
      <c r="AJ219" s="102" t="s">
        <v>477</v>
      </c>
      <c r="AK219" s="102" t="s">
        <v>96</v>
      </c>
      <c r="AL219" s="106"/>
      <c r="AM219" s="106"/>
      <c r="AN219" s="106"/>
      <c r="AO219" s="106"/>
      <c r="AP219" s="106"/>
      <c r="AQ219" s="180" t="s">
        <v>97</v>
      </c>
      <c r="AR219" s="70" t="s">
        <v>349</v>
      </c>
      <c r="AS219" s="71" t="str">
        <f t="shared" si="390"/>
        <v>KPBS-1.019</v>
      </c>
      <c r="AT219" s="71" t="str">
        <f t="shared" si="390"/>
        <v>B07</v>
      </c>
      <c r="AU219" s="105"/>
      <c r="AV219" s="204">
        <v>0.71145907239999895</v>
      </c>
      <c r="AW219" s="204">
        <v>124.3238746641</v>
      </c>
      <c r="AX219" s="106" t="s">
        <v>98</v>
      </c>
      <c r="AY219" s="106" t="s">
        <v>94</v>
      </c>
      <c r="AZ219" s="106" t="s">
        <v>94</v>
      </c>
      <c r="BA219" s="73" t="s">
        <v>77</v>
      </c>
      <c r="BB219" s="106" t="s">
        <v>98</v>
      </c>
      <c r="BC219" s="106">
        <v>31</v>
      </c>
      <c r="BD219" s="106" t="s">
        <v>98</v>
      </c>
      <c r="BE219" s="211" t="str">
        <f t="shared" si="370"/>
        <v>287, POYOWA BESAR,</v>
      </c>
    </row>
    <row r="220" spans="1:57" s="211" customFormat="1" ht="15.75" customHeight="1">
      <c r="A220" s="218"/>
      <c r="B220" s="219"/>
      <c r="C220" s="219"/>
      <c r="D220" s="219"/>
      <c r="E220" s="219"/>
      <c r="F220" s="219"/>
      <c r="G220" s="220"/>
      <c r="H220" s="12">
        <v>13</v>
      </c>
      <c r="I220" s="64" t="str">
        <f t="shared" si="388"/>
        <v>MR.KPBS.P018</v>
      </c>
      <c r="J220" s="64">
        <f t="shared" si="388"/>
        <v>0.71141587790000005</v>
      </c>
      <c r="K220" s="64">
        <f t="shared" si="388"/>
        <v>124.3240763829</v>
      </c>
      <c r="L220" s="64" t="str">
        <f t="shared" si="388"/>
        <v>JL. RAYA POYOWA BESAR</v>
      </c>
      <c r="M220" s="64" t="str">
        <f t="shared" si="388"/>
        <v>SULAWESU UTARA</v>
      </c>
      <c r="N220" s="65" t="s">
        <v>105</v>
      </c>
      <c r="O220" s="66" t="s">
        <v>118</v>
      </c>
      <c r="P220" s="65" t="s">
        <v>119</v>
      </c>
      <c r="Q220" s="66">
        <v>95717</v>
      </c>
      <c r="R220" s="98"/>
      <c r="S220" s="99"/>
      <c r="T220" s="100"/>
      <c r="U220" s="99"/>
      <c r="V220" s="100"/>
      <c r="W220" s="97" t="s">
        <v>105</v>
      </c>
      <c r="X220" s="101"/>
      <c r="Y220" s="64" t="s">
        <v>106</v>
      </c>
      <c r="Z220" s="64" t="str">
        <f t="shared" si="381"/>
        <v>KELURAHAN POYOWA BESAR SATU KOTAMOBAGU</v>
      </c>
      <c r="AA220" s="102"/>
      <c r="AB220" s="102"/>
      <c r="AC220" s="102" t="s">
        <v>70</v>
      </c>
      <c r="AD220" s="64" t="str">
        <f t="shared" ref="AD220" si="401">AD219</f>
        <v>POYOWA BESAR</v>
      </c>
      <c r="AE220" s="66"/>
      <c r="AF220" s="66"/>
      <c r="AG220" s="66"/>
      <c r="AH220" s="66"/>
      <c r="AI220" s="104"/>
      <c r="AJ220" s="102" t="s">
        <v>478</v>
      </c>
      <c r="AK220" s="102" t="s">
        <v>96</v>
      </c>
      <c r="AL220" s="106"/>
      <c r="AM220" s="106"/>
      <c r="AN220" s="106"/>
      <c r="AO220" s="106"/>
      <c r="AP220" s="106"/>
      <c r="AQ220" s="180" t="s">
        <v>97</v>
      </c>
      <c r="AR220" s="70" t="s">
        <v>349</v>
      </c>
      <c r="AS220" s="71" t="str">
        <f t="shared" si="390"/>
        <v>KPBS-1.019</v>
      </c>
      <c r="AT220" s="71" t="str">
        <f t="shared" si="390"/>
        <v>B07</v>
      </c>
      <c r="AU220" s="105"/>
      <c r="AV220" s="204">
        <v>0.71134997180000004</v>
      </c>
      <c r="AW220" s="204">
        <v>124.3237131563</v>
      </c>
      <c r="AX220" s="106" t="s">
        <v>98</v>
      </c>
      <c r="AY220" s="106" t="s">
        <v>94</v>
      </c>
      <c r="AZ220" s="106" t="s">
        <v>94</v>
      </c>
      <c r="BA220" s="73" t="s">
        <v>77</v>
      </c>
      <c r="BB220" s="106" t="s">
        <v>98</v>
      </c>
      <c r="BC220" s="106">
        <v>31</v>
      </c>
      <c r="BD220" s="106" t="s">
        <v>98</v>
      </c>
      <c r="BE220" s="211" t="str">
        <f t="shared" si="370"/>
        <v>290, POYOWA BESAR,</v>
      </c>
    </row>
    <row r="221" spans="1:57" s="211" customFormat="1" ht="15.75" customHeight="1">
      <c r="A221" s="218"/>
      <c r="B221" s="219"/>
      <c r="C221" s="219"/>
      <c r="D221" s="219"/>
      <c r="E221" s="219"/>
      <c r="F221" s="219"/>
      <c r="G221" s="220"/>
      <c r="H221" s="23">
        <v>14</v>
      </c>
      <c r="I221" s="64" t="str">
        <f t="shared" si="388"/>
        <v>MR.KPBS.P018</v>
      </c>
      <c r="J221" s="64">
        <f t="shared" si="388"/>
        <v>0.71141587790000005</v>
      </c>
      <c r="K221" s="64">
        <f t="shared" si="388"/>
        <v>124.3240763829</v>
      </c>
      <c r="L221" s="64" t="str">
        <f t="shared" si="388"/>
        <v>JL. RAYA POYOWA BESAR</v>
      </c>
      <c r="M221" s="64" t="str">
        <f t="shared" si="388"/>
        <v>SULAWESU UTARA</v>
      </c>
      <c r="N221" s="65" t="s">
        <v>105</v>
      </c>
      <c r="O221" s="66" t="s">
        <v>118</v>
      </c>
      <c r="P221" s="65" t="s">
        <v>119</v>
      </c>
      <c r="Q221" s="66">
        <v>95717</v>
      </c>
      <c r="R221" s="98"/>
      <c r="S221" s="99"/>
      <c r="T221" s="100"/>
      <c r="U221" s="99"/>
      <c r="V221" s="100"/>
      <c r="W221" s="97" t="s">
        <v>105</v>
      </c>
      <c r="X221" s="64"/>
      <c r="Y221" s="64" t="s">
        <v>106</v>
      </c>
      <c r="Z221" s="64" t="str">
        <f t="shared" si="381"/>
        <v>KELURAHAN POYOWA BESAR SATU KOTAMOBAGU</v>
      </c>
      <c r="AA221" s="102"/>
      <c r="AB221" s="102"/>
      <c r="AC221" s="65" t="s">
        <v>70</v>
      </c>
      <c r="AD221" s="64" t="str">
        <f t="shared" ref="AD221" si="402">AD220</f>
        <v>POYOWA BESAR</v>
      </c>
      <c r="AE221" s="66"/>
      <c r="AF221" s="66"/>
      <c r="AG221" s="66"/>
      <c r="AH221" s="66"/>
      <c r="AI221" s="104"/>
      <c r="AJ221" s="102" t="s">
        <v>479</v>
      </c>
      <c r="AK221" s="102" t="s">
        <v>96</v>
      </c>
      <c r="AL221" s="106"/>
      <c r="AM221" s="106"/>
      <c r="AN221" s="106"/>
      <c r="AO221" s="106"/>
      <c r="AP221" s="106"/>
      <c r="AQ221" s="180" t="s">
        <v>97</v>
      </c>
      <c r="AR221" s="70" t="s">
        <v>349</v>
      </c>
      <c r="AS221" s="71" t="str">
        <f t="shared" si="390"/>
        <v>KPBS-1.019</v>
      </c>
      <c r="AT221" s="71" t="str">
        <f t="shared" si="390"/>
        <v>B07</v>
      </c>
      <c r="AU221" s="72"/>
      <c r="AV221" s="204">
        <v>0.71126740779999897</v>
      </c>
      <c r="AW221" s="204">
        <v>124.3237407883</v>
      </c>
      <c r="AX221" s="106" t="s">
        <v>98</v>
      </c>
      <c r="AY221" s="106" t="s">
        <v>94</v>
      </c>
      <c r="AZ221" s="106" t="s">
        <v>94</v>
      </c>
      <c r="BA221" s="73" t="s">
        <v>77</v>
      </c>
      <c r="BB221" s="106" t="s">
        <v>98</v>
      </c>
      <c r="BC221" s="106">
        <v>31</v>
      </c>
      <c r="BD221" s="106" t="s">
        <v>98</v>
      </c>
      <c r="BE221" s="211" t="str">
        <f t="shared" si="370"/>
        <v>407, POYOWA BESAR,</v>
      </c>
    </row>
    <row r="222" spans="1:57" s="211" customFormat="1" ht="15.75" customHeight="1">
      <c r="A222" s="41" t="s">
        <v>100</v>
      </c>
      <c r="B222" s="41">
        <f>B208+1</f>
        <v>16</v>
      </c>
      <c r="C222" s="32" t="s">
        <v>99</v>
      </c>
      <c r="D222" s="32" t="s">
        <v>101</v>
      </c>
      <c r="E222" s="32">
        <v>2</v>
      </c>
      <c r="F222" s="10">
        <f>F209+1</f>
        <v>17</v>
      </c>
      <c r="G222" s="213" t="s">
        <v>84</v>
      </c>
      <c r="H222" s="42">
        <v>1</v>
      </c>
      <c r="I222" s="119" t="s">
        <v>326</v>
      </c>
      <c r="J222" s="119">
        <v>0.71193129119999998</v>
      </c>
      <c r="K222" s="119">
        <v>124.32371049859999</v>
      </c>
      <c r="L222" s="113" t="s">
        <v>116</v>
      </c>
      <c r="M222" s="119" t="str">
        <f t="shared" ref="M222" si="403">M221</f>
        <v>SULAWESU UTARA</v>
      </c>
      <c r="N222" s="14" t="s">
        <v>105</v>
      </c>
      <c r="O222" s="84" t="s">
        <v>118</v>
      </c>
      <c r="P222" s="14" t="s">
        <v>119</v>
      </c>
      <c r="Q222" s="84">
        <v>95717</v>
      </c>
      <c r="R222" s="86"/>
      <c r="S222" s="87"/>
      <c r="T222" s="88"/>
      <c r="U222" s="87"/>
      <c r="V222" s="88"/>
      <c r="W222" s="85" t="s">
        <v>105</v>
      </c>
      <c r="X222" s="83"/>
      <c r="Y222" s="119" t="s">
        <v>106</v>
      </c>
      <c r="Z222" s="119" t="str">
        <f t="shared" si="381"/>
        <v>KELURAHAN POYOWA BESAR SATU KOTAMOBAGU</v>
      </c>
      <c r="AA222" s="89"/>
      <c r="AB222" s="89"/>
      <c r="AC222" s="89" t="s">
        <v>70</v>
      </c>
      <c r="AD222" s="113" t="s">
        <v>119</v>
      </c>
      <c r="AE222" s="90"/>
      <c r="AF222" s="90"/>
      <c r="AG222" s="90"/>
      <c r="AH222" s="90"/>
      <c r="AI222" s="91"/>
      <c r="AJ222" s="115" t="s">
        <v>219</v>
      </c>
      <c r="AK222" s="89" t="s">
        <v>96</v>
      </c>
      <c r="AL222" s="95"/>
      <c r="AM222" s="187"/>
      <c r="AN222" s="187"/>
      <c r="AO222" s="187"/>
      <c r="AP222" s="187"/>
      <c r="AQ222" s="188" t="s">
        <v>97</v>
      </c>
      <c r="AR222" s="92" t="s">
        <v>349</v>
      </c>
      <c r="AS222" s="93" t="str">
        <f>AS208</f>
        <v>KPBS-1.019</v>
      </c>
      <c r="AT222" s="93" t="str">
        <f>G222</f>
        <v>B08</v>
      </c>
      <c r="AU222" s="94"/>
      <c r="AV222" s="203">
        <v>0.71181655960000001</v>
      </c>
      <c r="AW222" s="203">
        <v>124.3238294585</v>
      </c>
      <c r="AX222" s="95" t="s">
        <v>98</v>
      </c>
      <c r="AY222" s="95" t="s">
        <v>94</v>
      </c>
      <c r="AZ222" s="95" t="s">
        <v>94</v>
      </c>
      <c r="BA222" s="96" t="s">
        <v>77</v>
      </c>
      <c r="BB222" s="95" t="s">
        <v>98</v>
      </c>
      <c r="BC222" s="95">
        <v>31</v>
      </c>
      <c r="BD222" s="95" t="s">
        <v>98</v>
      </c>
      <c r="BE222" s="211" t="str">
        <f t="shared" ref="BE222:BE253" si="404">AJ222&amp;", "&amp;AD222&amp;","&amp;AI222</f>
        <v>295, POYOWA BESAR,</v>
      </c>
    </row>
    <row r="223" spans="1:57" s="211" customFormat="1" ht="15.75" customHeight="1">
      <c r="A223" s="21"/>
      <c r="B223" s="21"/>
      <c r="C223" s="22" t="s">
        <v>99</v>
      </c>
      <c r="D223" s="22" t="s">
        <v>101</v>
      </c>
      <c r="E223" s="32">
        <v>2</v>
      </c>
      <c r="F223" s="6">
        <f>F222+1</f>
        <v>18</v>
      </c>
      <c r="G223" s="213"/>
      <c r="H223" s="12">
        <v>2</v>
      </c>
      <c r="I223" s="64" t="str">
        <f t="shared" ref="I223:M237" si="405">I222</f>
        <v>MR.KPBS.P021</v>
      </c>
      <c r="J223" s="64">
        <f t="shared" si="405"/>
        <v>0.71193129119999998</v>
      </c>
      <c r="K223" s="64">
        <f t="shared" si="405"/>
        <v>124.32371049859999</v>
      </c>
      <c r="L223" s="64" t="str">
        <f t="shared" si="405"/>
        <v>JL. RAYA POYOWA BESAR</v>
      </c>
      <c r="M223" s="64" t="str">
        <f t="shared" si="405"/>
        <v>SULAWESU UTARA</v>
      </c>
      <c r="N223" s="65" t="s">
        <v>105</v>
      </c>
      <c r="O223" s="66" t="s">
        <v>118</v>
      </c>
      <c r="P223" s="65" t="s">
        <v>119</v>
      </c>
      <c r="Q223" s="66">
        <v>95717</v>
      </c>
      <c r="R223" s="98"/>
      <c r="S223" s="99"/>
      <c r="T223" s="100"/>
      <c r="U223" s="99"/>
      <c r="V223" s="100"/>
      <c r="W223" s="97" t="s">
        <v>105</v>
      </c>
      <c r="X223" s="101"/>
      <c r="Y223" s="64" t="s">
        <v>106</v>
      </c>
      <c r="Z223" s="64" t="str">
        <f t="shared" si="381"/>
        <v>KELURAHAN POYOWA BESAR SATU KOTAMOBAGU</v>
      </c>
      <c r="AA223" s="102"/>
      <c r="AB223" s="102"/>
      <c r="AC223" s="102" t="s">
        <v>70</v>
      </c>
      <c r="AD223" s="64" t="str">
        <f t="shared" ref="AD223" si="406">AD222</f>
        <v>POYOWA BESAR</v>
      </c>
      <c r="AE223" s="103"/>
      <c r="AF223" s="103"/>
      <c r="AG223" s="103"/>
      <c r="AH223" s="103"/>
      <c r="AI223" s="104"/>
      <c r="AJ223" s="11" t="s">
        <v>220</v>
      </c>
      <c r="AK223" s="102" t="s">
        <v>96</v>
      </c>
      <c r="AL223" s="106"/>
      <c r="AM223" s="192"/>
      <c r="AN223" s="192"/>
      <c r="AO223" s="192"/>
      <c r="AP223" s="192"/>
      <c r="AQ223" s="180" t="s">
        <v>97</v>
      </c>
      <c r="AR223" s="70" t="s">
        <v>349</v>
      </c>
      <c r="AS223" s="71" t="str">
        <f t="shared" ref="AS223:AT237" si="407">AS222</f>
        <v>KPBS-1.019</v>
      </c>
      <c r="AT223" s="71" t="str">
        <f t="shared" si="407"/>
        <v>B08</v>
      </c>
      <c r="AU223" s="105"/>
      <c r="AV223" s="202">
        <v>0.71210960109999999</v>
      </c>
      <c r="AW223" s="202">
        <v>124.32375330470001</v>
      </c>
      <c r="AX223" s="106" t="s">
        <v>98</v>
      </c>
      <c r="AY223" s="106" t="s">
        <v>94</v>
      </c>
      <c r="AZ223" s="106" t="s">
        <v>94</v>
      </c>
      <c r="BA223" s="73" t="s">
        <v>77</v>
      </c>
      <c r="BB223" s="106" t="s">
        <v>98</v>
      </c>
      <c r="BC223" s="106">
        <v>31</v>
      </c>
      <c r="BD223" s="106" t="s">
        <v>98</v>
      </c>
      <c r="BE223" s="211" t="str">
        <f t="shared" si="404"/>
        <v>303, POYOWA BESAR,</v>
      </c>
    </row>
    <row r="224" spans="1:57" s="211" customFormat="1" ht="15.75" customHeight="1">
      <c r="A224" s="216"/>
      <c r="B224" s="216"/>
      <c r="C224" s="216"/>
      <c r="D224" s="216"/>
      <c r="E224" s="216"/>
      <c r="F224" s="216"/>
      <c r="G224" s="217"/>
      <c r="H224" s="12">
        <v>3</v>
      </c>
      <c r="I224" s="64" t="str">
        <f t="shared" si="405"/>
        <v>MR.KPBS.P021</v>
      </c>
      <c r="J224" s="64">
        <f t="shared" si="405"/>
        <v>0.71193129119999998</v>
      </c>
      <c r="K224" s="64">
        <f t="shared" si="405"/>
        <v>124.32371049859999</v>
      </c>
      <c r="L224" s="64" t="str">
        <f t="shared" si="405"/>
        <v>JL. RAYA POYOWA BESAR</v>
      </c>
      <c r="M224" s="64" t="str">
        <f t="shared" si="405"/>
        <v>SULAWESU UTARA</v>
      </c>
      <c r="N224" s="65" t="s">
        <v>105</v>
      </c>
      <c r="O224" s="66" t="s">
        <v>118</v>
      </c>
      <c r="P224" s="65" t="s">
        <v>119</v>
      </c>
      <c r="Q224" s="66">
        <v>95717</v>
      </c>
      <c r="R224" s="98"/>
      <c r="S224" s="99"/>
      <c r="T224" s="100"/>
      <c r="U224" s="99"/>
      <c r="V224" s="100"/>
      <c r="W224" s="97" t="s">
        <v>105</v>
      </c>
      <c r="X224" s="101"/>
      <c r="Y224" s="64" t="s">
        <v>106</v>
      </c>
      <c r="Z224" s="64" t="str">
        <f t="shared" si="381"/>
        <v>KELURAHAN POYOWA BESAR SATU KOTAMOBAGU</v>
      </c>
      <c r="AA224" s="102"/>
      <c r="AB224" s="102"/>
      <c r="AC224" s="102" t="s">
        <v>70</v>
      </c>
      <c r="AD224" s="64" t="str">
        <f t="shared" ref="AD224:AD233" si="408">AD223</f>
        <v>POYOWA BESAR</v>
      </c>
      <c r="AE224" s="103"/>
      <c r="AF224" s="103"/>
      <c r="AG224" s="103"/>
      <c r="AH224" s="103"/>
      <c r="AI224" s="104"/>
      <c r="AJ224" s="11" t="s">
        <v>221</v>
      </c>
      <c r="AK224" s="102" t="s">
        <v>96</v>
      </c>
      <c r="AL224" s="106"/>
      <c r="AM224" s="192"/>
      <c r="AN224" s="192"/>
      <c r="AO224" s="192"/>
      <c r="AP224" s="192"/>
      <c r="AQ224" s="180" t="s">
        <v>97</v>
      </c>
      <c r="AR224" s="70" t="s">
        <v>349</v>
      </c>
      <c r="AS224" s="71" t="str">
        <f t="shared" si="407"/>
        <v>KPBS-1.019</v>
      </c>
      <c r="AT224" s="71" t="str">
        <f t="shared" si="407"/>
        <v>B08</v>
      </c>
      <c r="AU224" s="105"/>
      <c r="AV224" s="202">
        <v>0.71204826249999997</v>
      </c>
      <c r="AW224" s="202">
        <v>124.32376715549999</v>
      </c>
      <c r="AX224" s="106" t="s">
        <v>98</v>
      </c>
      <c r="AY224" s="106" t="s">
        <v>94</v>
      </c>
      <c r="AZ224" s="106" t="s">
        <v>94</v>
      </c>
      <c r="BA224" s="73" t="s">
        <v>77</v>
      </c>
      <c r="BB224" s="106" t="s">
        <v>98</v>
      </c>
      <c r="BC224" s="106">
        <v>31</v>
      </c>
      <c r="BD224" s="106" t="s">
        <v>98</v>
      </c>
      <c r="BE224" s="211" t="str">
        <f t="shared" si="404"/>
        <v>301, POYOWA BESAR,</v>
      </c>
    </row>
    <row r="225" spans="1:57" s="211" customFormat="1" ht="15.75" customHeight="1">
      <c r="A225" s="219"/>
      <c r="B225" s="219"/>
      <c r="C225" s="219"/>
      <c r="D225" s="219"/>
      <c r="E225" s="219"/>
      <c r="F225" s="219"/>
      <c r="G225" s="220"/>
      <c r="H225" s="12">
        <v>4</v>
      </c>
      <c r="I225" s="64" t="str">
        <f t="shared" ref="I225:M225" si="409">I224</f>
        <v>MR.KPBS.P021</v>
      </c>
      <c r="J225" s="64">
        <f t="shared" si="409"/>
        <v>0.71193129119999998</v>
      </c>
      <c r="K225" s="64">
        <f t="shared" si="409"/>
        <v>124.32371049859999</v>
      </c>
      <c r="L225" s="64" t="str">
        <f t="shared" si="409"/>
        <v>JL. RAYA POYOWA BESAR</v>
      </c>
      <c r="M225" s="64" t="str">
        <f t="shared" si="409"/>
        <v>SULAWESU UTARA</v>
      </c>
      <c r="N225" s="65" t="s">
        <v>105</v>
      </c>
      <c r="O225" s="66" t="s">
        <v>118</v>
      </c>
      <c r="P225" s="65" t="s">
        <v>119</v>
      </c>
      <c r="Q225" s="66">
        <v>95717</v>
      </c>
      <c r="R225" s="98"/>
      <c r="S225" s="99"/>
      <c r="T225" s="100"/>
      <c r="U225" s="99"/>
      <c r="V225" s="100"/>
      <c r="W225" s="97" t="s">
        <v>105</v>
      </c>
      <c r="X225" s="101"/>
      <c r="Y225" s="64" t="s">
        <v>106</v>
      </c>
      <c r="Z225" s="64" t="str">
        <f t="shared" si="381"/>
        <v>KELURAHAN POYOWA BESAR SATU KOTAMOBAGU</v>
      </c>
      <c r="AA225" s="102"/>
      <c r="AB225" s="102"/>
      <c r="AC225" s="102" t="s">
        <v>70</v>
      </c>
      <c r="AD225" s="64" t="str">
        <f t="shared" si="408"/>
        <v>POYOWA BESAR</v>
      </c>
      <c r="AE225" s="103"/>
      <c r="AF225" s="103"/>
      <c r="AG225" s="103"/>
      <c r="AH225" s="103"/>
      <c r="AI225" s="104"/>
      <c r="AJ225" s="11" t="s">
        <v>222</v>
      </c>
      <c r="AK225" s="102" t="s">
        <v>96</v>
      </c>
      <c r="AL225" s="106"/>
      <c r="AM225" s="192"/>
      <c r="AN225" s="192"/>
      <c r="AO225" s="192"/>
      <c r="AP225" s="192"/>
      <c r="AQ225" s="180" t="s">
        <v>97</v>
      </c>
      <c r="AR225" s="70" t="s">
        <v>349</v>
      </c>
      <c r="AS225" s="71" t="str">
        <f t="shared" ref="AS225:AT233" si="410">AS224</f>
        <v>KPBS-1.019</v>
      </c>
      <c r="AT225" s="71" t="str">
        <f t="shared" si="410"/>
        <v>B08</v>
      </c>
      <c r="AU225" s="105"/>
      <c r="AV225" s="202">
        <v>0.71197195729999996</v>
      </c>
      <c r="AW225" s="202">
        <v>124.3237962303</v>
      </c>
      <c r="AX225" s="106" t="s">
        <v>98</v>
      </c>
      <c r="AY225" s="106" t="s">
        <v>94</v>
      </c>
      <c r="AZ225" s="106" t="s">
        <v>94</v>
      </c>
      <c r="BA225" s="73" t="s">
        <v>77</v>
      </c>
      <c r="BB225" s="106" t="s">
        <v>98</v>
      </c>
      <c r="BC225" s="106">
        <v>31</v>
      </c>
      <c r="BD225" s="106" t="s">
        <v>98</v>
      </c>
      <c r="BE225" s="211" t="str">
        <f t="shared" ref="BE225:BE232" si="411">AJ225&amp;", "&amp;AD225&amp;","&amp;AI225</f>
        <v>299, POYOWA BESAR,</v>
      </c>
    </row>
    <row r="226" spans="1:57" s="211" customFormat="1" ht="15.75" customHeight="1">
      <c r="A226" s="219"/>
      <c r="B226" s="219"/>
      <c r="C226" s="219"/>
      <c r="D226" s="219"/>
      <c r="E226" s="219"/>
      <c r="F226" s="219"/>
      <c r="G226" s="220"/>
      <c r="H226" s="12">
        <v>5</v>
      </c>
      <c r="I226" s="64" t="str">
        <f t="shared" ref="I226:M226" si="412">I225</f>
        <v>MR.KPBS.P021</v>
      </c>
      <c r="J226" s="64">
        <f t="shared" si="412"/>
        <v>0.71193129119999998</v>
      </c>
      <c r="K226" s="64">
        <f t="shared" si="412"/>
        <v>124.32371049859999</v>
      </c>
      <c r="L226" s="64" t="str">
        <f t="shared" si="412"/>
        <v>JL. RAYA POYOWA BESAR</v>
      </c>
      <c r="M226" s="64" t="str">
        <f t="shared" si="412"/>
        <v>SULAWESU UTARA</v>
      </c>
      <c r="N226" s="65" t="s">
        <v>105</v>
      </c>
      <c r="O226" s="66" t="s">
        <v>118</v>
      </c>
      <c r="P226" s="65" t="s">
        <v>119</v>
      </c>
      <c r="Q226" s="66">
        <v>95717</v>
      </c>
      <c r="R226" s="98"/>
      <c r="S226" s="99"/>
      <c r="T226" s="100"/>
      <c r="U226" s="99"/>
      <c r="V226" s="100"/>
      <c r="W226" s="97" t="s">
        <v>105</v>
      </c>
      <c r="X226" s="101"/>
      <c r="Y226" s="64" t="s">
        <v>106</v>
      </c>
      <c r="Z226" s="64" t="str">
        <f t="shared" si="381"/>
        <v>KELURAHAN POYOWA BESAR SATU KOTAMOBAGU</v>
      </c>
      <c r="AA226" s="102"/>
      <c r="AB226" s="102"/>
      <c r="AC226" s="102" t="s">
        <v>70</v>
      </c>
      <c r="AD226" s="64" t="str">
        <f t="shared" si="408"/>
        <v>POYOWA BESAR</v>
      </c>
      <c r="AE226" s="103"/>
      <c r="AF226" s="103"/>
      <c r="AG226" s="103"/>
      <c r="AH226" s="103"/>
      <c r="AI226" s="104"/>
      <c r="AJ226" s="11" t="s">
        <v>223</v>
      </c>
      <c r="AK226" s="102" t="s">
        <v>96</v>
      </c>
      <c r="AL226" s="106"/>
      <c r="AM226" s="192"/>
      <c r="AN226" s="192"/>
      <c r="AO226" s="192"/>
      <c r="AP226" s="192"/>
      <c r="AQ226" s="180" t="s">
        <v>97</v>
      </c>
      <c r="AR226" s="70" t="s">
        <v>349</v>
      </c>
      <c r="AS226" s="71" t="str">
        <f t="shared" si="410"/>
        <v>KPBS-1.019</v>
      </c>
      <c r="AT226" s="71" t="str">
        <f t="shared" si="410"/>
        <v>B08</v>
      </c>
      <c r="AU226" s="105"/>
      <c r="AV226" s="202">
        <v>0.71188870849999997</v>
      </c>
      <c r="AW226" s="202">
        <v>124.32381838249999</v>
      </c>
      <c r="AX226" s="106" t="s">
        <v>98</v>
      </c>
      <c r="AY226" s="106" t="s">
        <v>94</v>
      </c>
      <c r="AZ226" s="106" t="s">
        <v>94</v>
      </c>
      <c r="BA226" s="73" t="s">
        <v>77</v>
      </c>
      <c r="BB226" s="106" t="s">
        <v>98</v>
      </c>
      <c r="BC226" s="106">
        <v>31</v>
      </c>
      <c r="BD226" s="106" t="s">
        <v>98</v>
      </c>
      <c r="BE226" s="211" t="str">
        <f t="shared" si="411"/>
        <v>298, POYOWA BESAR,</v>
      </c>
    </row>
    <row r="227" spans="1:57" s="211" customFormat="1" ht="15.75" customHeight="1">
      <c r="A227" s="219"/>
      <c r="B227" s="219"/>
      <c r="C227" s="219"/>
      <c r="D227" s="219"/>
      <c r="E227" s="219"/>
      <c r="F227" s="219"/>
      <c r="G227" s="220"/>
      <c r="H227" s="12">
        <v>6</v>
      </c>
      <c r="I227" s="64" t="str">
        <f t="shared" ref="I227:M227" si="413">I226</f>
        <v>MR.KPBS.P021</v>
      </c>
      <c r="J227" s="64">
        <f t="shared" si="413"/>
        <v>0.71193129119999998</v>
      </c>
      <c r="K227" s="64">
        <f t="shared" si="413"/>
        <v>124.32371049859999</v>
      </c>
      <c r="L227" s="64" t="str">
        <f t="shared" si="413"/>
        <v>JL. RAYA POYOWA BESAR</v>
      </c>
      <c r="M227" s="64" t="str">
        <f t="shared" si="413"/>
        <v>SULAWESU UTARA</v>
      </c>
      <c r="N227" s="65" t="s">
        <v>105</v>
      </c>
      <c r="O227" s="66" t="s">
        <v>118</v>
      </c>
      <c r="P227" s="65" t="s">
        <v>119</v>
      </c>
      <c r="Q227" s="66">
        <v>95717</v>
      </c>
      <c r="R227" s="98"/>
      <c r="S227" s="99"/>
      <c r="T227" s="100"/>
      <c r="U227" s="99"/>
      <c r="V227" s="100"/>
      <c r="W227" s="97" t="s">
        <v>105</v>
      </c>
      <c r="X227" s="101"/>
      <c r="Y227" s="64" t="s">
        <v>106</v>
      </c>
      <c r="Z227" s="64" t="str">
        <f t="shared" si="381"/>
        <v>KELURAHAN POYOWA BESAR SATU KOTAMOBAGU</v>
      </c>
      <c r="AA227" s="102"/>
      <c r="AB227" s="102"/>
      <c r="AC227" s="102" t="s">
        <v>70</v>
      </c>
      <c r="AD227" s="64" t="str">
        <f t="shared" si="408"/>
        <v>POYOWA BESAR</v>
      </c>
      <c r="AE227" s="103"/>
      <c r="AF227" s="103"/>
      <c r="AG227" s="103"/>
      <c r="AH227" s="103"/>
      <c r="AI227" s="104"/>
      <c r="AJ227" s="11" t="s">
        <v>224</v>
      </c>
      <c r="AK227" s="102" t="s">
        <v>96</v>
      </c>
      <c r="AL227" s="106"/>
      <c r="AM227" s="192"/>
      <c r="AN227" s="192"/>
      <c r="AO227" s="192"/>
      <c r="AP227" s="192"/>
      <c r="AQ227" s="180" t="s">
        <v>97</v>
      </c>
      <c r="AR227" s="70" t="s">
        <v>349</v>
      </c>
      <c r="AS227" s="71" t="str">
        <f t="shared" si="410"/>
        <v>KPBS-1.019</v>
      </c>
      <c r="AT227" s="71" t="str">
        <f t="shared" si="410"/>
        <v>B08</v>
      </c>
      <c r="AU227" s="105"/>
      <c r="AV227" s="202">
        <v>0.71211894190000002</v>
      </c>
      <c r="AW227" s="202">
        <v>124.3235286635</v>
      </c>
      <c r="AX227" s="106" t="s">
        <v>98</v>
      </c>
      <c r="AY227" s="106" t="s">
        <v>94</v>
      </c>
      <c r="AZ227" s="106" t="s">
        <v>94</v>
      </c>
      <c r="BA227" s="73" t="s">
        <v>77</v>
      </c>
      <c r="BB227" s="106" t="s">
        <v>98</v>
      </c>
      <c r="BC227" s="106">
        <v>31</v>
      </c>
      <c r="BD227" s="106" t="s">
        <v>98</v>
      </c>
      <c r="BE227" s="211" t="str">
        <f t="shared" si="411"/>
        <v>302A, POYOWA BESAR,</v>
      </c>
    </row>
    <row r="228" spans="1:57" s="211" customFormat="1" ht="15.75" customHeight="1">
      <c r="A228" s="219"/>
      <c r="B228" s="219"/>
      <c r="C228" s="219"/>
      <c r="D228" s="219"/>
      <c r="E228" s="219"/>
      <c r="F228" s="219"/>
      <c r="G228" s="220"/>
      <c r="H228" s="12">
        <v>7</v>
      </c>
      <c r="I228" s="64" t="str">
        <f t="shared" ref="I228:M228" si="414">I227</f>
        <v>MR.KPBS.P021</v>
      </c>
      <c r="J228" s="64">
        <f t="shared" si="414"/>
        <v>0.71193129119999998</v>
      </c>
      <c r="K228" s="64">
        <f t="shared" si="414"/>
        <v>124.32371049859999</v>
      </c>
      <c r="L228" s="64" t="str">
        <f t="shared" si="414"/>
        <v>JL. RAYA POYOWA BESAR</v>
      </c>
      <c r="M228" s="64" t="str">
        <f t="shared" si="414"/>
        <v>SULAWESU UTARA</v>
      </c>
      <c r="N228" s="65" t="s">
        <v>105</v>
      </c>
      <c r="O228" s="66" t="s">
        <v>118</v>
      </c>
      <c r="P228" s="65" t="s">
        <v>119</v>
      </c>
      <c r="Q228" s="66">
        <v>95717</v>
      </c>
      <c r="R228" s="98"/>
      <c r="S228" s="99"/>
      <c r="T228" s="100"/>
      <c r="U228" s="99"/>
      <c r="V228" s="100"/>
      <c r="W228" s="97" t="s">
        <v>105</v>
      </c>
      <c r="X228" s="101"/>
      <c r="Y228" s="64" t="s">
        <v>106</v>
      </c>
      <c r="Z228" s="64" t="str">
        <f t="shared" si="381"/>
        <v>KELURAHAN POYOWA BESAR SATU KOTAMOBAGU</v>
      </c>
      <c r="AA228" s="102"/>
      <c r="AB228" s="102"/>
      <c r="AC228" s="102" t="s">
        <v>70</v>
      </c>
      <c r="AD228" s="64" t="str">
        <f t="shared" si="408"/>
        <v>POYOWA BESAR</v>
      </c>
      <c r="AE228" s="103"/>
      <c r="AF228" s="103"/>
      <c r="AG228" s="103"/>
      <c r="AH228" s="103"/>
      <c r="AI228" s="104"/>
      <c r="AJ228" s="11" t="s">
        <v>225</v>
      </c>
      <c r="AK228" s="102" t="s">
        <v>96</v>
      </c>
      <c r="AL228" s="106"/>
      <c r="AM228" s="192"/>
      <c r="AN228" s="192"/>
      <c r="AO228" s="192"/>
      <c r="AP228" s="192"/>
      <c r="AQ228" s="180" t="s">
        <v>97</v>
      </c>
      <c r="AR228" s="70" t="s">
        <v>349</v>
      </c>
      <c r="AS228" s="71" t="str">
        <f t="shared" si="410"/>
        <v>KPBS-1.019</v>
      </c>
      <c r="AT228" s="71" t="str">
        <f t="shared" si="410"/>
        <v>B08</v>
      </c>
      <c r="AU228" s="105"/>
      <c r="AV228" s="202">
        <v>0.71205658729999899</v>
      </c>
      <c r="AW228" s="202">
        <v>124.32354424970001</v>
      </c>
      <c r="AX228" s="106" t="s">
        <v>98</v>
      </c>
      <c r="AY228" s="106" t="s">
        <v>94</v>
      </c>
      <c r="AZ228" s="106" t="s">
        <v>94</v>
      </c>
      <c r="BA228" s="73" t="s">
        <v>77</v>
      </c>
      <c r="BB228" s="106" t="s">
        <v>98</v>
      </c>
      <c r="BC228" s="106">
        <v>31</v>
      </c>
      <c r="BD228" s="106" t="s">
        <v>98</v>
      </c>
      <c r="BE228" s="211" t="str">
        <f t="shared" si="411"/>
        <v>302, POYOWA BESAR,</v>
      </c>
    </row>
    <row r="229" spans="1:57" s="211" customFormat="1" ht="15.75" customHeight="1">
      <c r="A229" s="219"/>
      <c r="B229" s="219"/>
      <c r="C229" s="219"/>
      <c r="D229" s="219"/>
      <c r="E229" s="219"/>
      <c r="F229" s="219"/>
      <c r="G229" s="220"/>
      <c r="H229" s="12">
        <v>8</v>
      </c>
      <c r="I229" s="64" t="str">
        <f t="shared" ref="I229:M229" si="415">I228</f>
        <v>MR.KPBS.P021</v>
      </c>
      <c r="J229" s="64">
        <f t="shared" si="415"/>
        <v>0.71193129119999998</v>
      </c>
      <c r="K229" s="64">
        <f t="shared" si="415"/>
        <v>124.32371049859999</v>
      </c>
      <c r="L229" s="64" t="str">
        <f t="shared" si="415"/>
        <v>JL. RAYA POYOWA BESAR</v>
      </c>
      <c r="M229" s="64" t="str">
        <f t="shared" si="415"/>
        <v>SULAWESU UTARA</v>
      </c>
      <c r="N229" s="65" t="s">
        <v>105</v>
      </c>
      <c r="O229" s="66" t="s">
        <v>118</v>
      </c>
      <c r="P229" s="65" t="s">
        <v>119</v>
      </c>
      <c r="Q229" s="66">
        <v>95717</v>
      </c>
      <c r="R229" s="98"/>
      <c r="S229" s="99"/>
      <c r="T229" s="100"/>
      <c r="U229" s="99"/>
      <c r="V229" s="100"/>
      <c r="W229" s="97" t="s">
        <v>105</v>
      </c>
      <c r="X229" s="101"/>
      <c r="Y229" s="64" t="s">
        <v>106</v>
      </c>
      <c r="Z229" s="64" t="str">
        <f t="shared" si="381"/>
        <v>KELURAHAN POYOWA BESAR SATU KOTAMOBAGU</v>
      </c>
      <c r="AA229" s="102"/>
      <c r="AB229" s="102"/>
      <c r="AC229" s="102" t="s">
        <v>70</v>
      </c>
      <c r="AD229" s="64" t="str">
        <f t="shared" si="408"/>
        <v>POYOWA BESAR</v>
      </c>
      <c r="AE229" s="103"/>
      <c r="AF229" s="103"/>
      <c r="AG229" s="103"/>
      <c r="AH229" s="103"/>
      <c r="AI229" s="104"/>
      <c r="AJ229" s="11" t="s">
        <v>226</v>
      </c>
      <c r="AK229" s="102" t="s">
        <v>96</v>
      </c>
      <c r="AL229" s="106"/>
      <c r="AM229" s="192"/>
      <c r="AN229" s="192"/>
      <c r="AO229" s="192"/>
      <c r="AP229" s="192"/>
      <c r="AQ229" s="180" t="s">
        <v>97</v>
      </c>
      <c r="AR229" s="70" t="s">
        <v>349</v>
      </c>
      <c r="AS229" s="71" t="str">
        <f t="shared" si="410"/>
        <v>KPBS-1.019</v>
      </c>
      <c r="AT229" s="71" t="str">
        <f t="shared" si="410"/>
        <v>B08</v>
      </c>
      <c r="AU229" s="105"/>
      <c r="AV229" s="202">
        <v>0.71198998830000004</v>
      </c>
      <c r="AW229" s="202">
        <v>124.32357193990001</v>
      </c>
      <c r="AX229" s="106" t="s">
        <v>98</v>
      </c>
      <c r="AY229" s="106" t="s">
        <v>94</v>
      </c>
      <c r="AZ229" s="106" t="s">
        <v>94</v>
      </c>
      <c r="BA229" s="73" t="s">
        <v>77</v>
      </c>
      <c r="BB229" s="106" t="s">
        <v>98</v>
      </c>
      <c r="BC229" s="106">
        <v>31</v>
      </c>
      <c r="BD229" s="106" t="s">
        <v>98</v>
      </c>
      <c r="BE229" s="211" t="str">
        <f t="shared" si="411"/>
        <v>300, POYOWA BESAR,</v>
      </c>
    </row>
    <row r="230" spans="1:57" s="211" customFormat="1" ht="15.75" customHeight="1">
      <c r="A230" s="219"/>
      <c r="B230" s="219"/>
      <c r="C230" s="219"/>
      <c r="D230" s="219"/>
      <c r="E230" s="219"/>
      <c r="F230" s="219"/>
      <c r="G230" s="220"/>
      <c r="H230" s="12">
        <v>9</v>
      </c>
      <c r="I230" s="64" t="str">
        <f t="shared" ref="I230:M230" si="416">I229</f>
        <v>MR.KPBS.P021</v>
      </c>
      <c r="J230" s="64">
        <f t="shared" si="416"/>
        <v>0.71193129119999998</v>
      </c>
      <c r="K230" s="64">
        <f t="shared" si="416"/>
        <v>124.32371049859999</v>
      </c>
      <c r="L230" s="64" t="str">
        <f t="shared" si="416"/>
        <v>JL. RAYA POYOWA BESAR</v>
      </c>
      <c r="M230" s="64" t="str">
        <f t="shared" si="416"/>
        <v>SULAWESU UTARA</v>
      </c>
      <c r="N230" s="65" t="s">
        <v>105</v>
      </c>
      <c r="O230" s="66" t="s">
        <v>118</v>
      </c>
      <c r="P230" s="65" t="s">
        <v>119</v>
      </c>
      <c r="Q230" s="66">
        <v>95717</v>
      </c>
      <c r="R230" s="98"/>
      <c r="S230" s="99"/>
      <c r="T230" s="100"/>
      <c r="U230" s="99"/>
      <c r="V230" s="100"/>
      <c r="W230" s="97" t="s">
        <v>105</v>
      </c>
      <c r="X230" s="101"/>
      <c r="Y230" s="64" t="s">
        <v>106</v>
      </c>
      <c r="Z230" s="64" t="str">
        <f t="shared" si="381"/>
        <v>KELURAHAN POYOWA BESAR SATU KOTAMOBAGU</v>
      </c>
      <c r="AA230" s="102"/>
      <c r="AB230" s="102"/>
      <c r="AC230" s="102" t="s">
        <v>70</v>
      </c>
      <c r="AD230" s="64" t="str">
        <f t="shared" si="408"/>
        <v>POYOWA BESAR</v>
      </c>
      <c r="AE230" s="103"/>
      <c r="AF230" s="103"/>
      <c r="AG230" s="103"/>
      <c r="AH230" s="103"/>
      <c r="AI230" s="104"/>
      <c r="AJ230" s="11" t="s">
        <v>227</v>
      </c>
      <c r="AK230" s="102" t="s">
        <v>96</v>
      </c>
      <c r="AL230" s="106"/>
      <c r="AM230" s="192"/>
      <c r="AN230" s="192"/>
      <c r="AO230" s="192"/>
      <c r="AP230" s="192"/>
      <c r="AQ230" s="180" t="s">
        <v>97</v>
      </c>
      <c r="AR230" s="70" t="s">
        <v>349</v>
      </c>
      <c r="AS230" s="71" t="str">
        <f t="shared" si="410"/>
        <v>KPBS-1.019</v>
      </c>
      <c r="AT230" s="71" t="str">
        <f t="shared" si="410"/>
        <v>B08</v>
      </c>
      <c r="AU230" s="105"/>
      <c r="AV230" s="202">
        <v>0.71189564589999998</v>
      </c>
      <c r="AW230" s="202">
        <v>124.32355809480001</v>
      </c>
      <c r="AX230" s="106" t="s">
        <v>98</v>
      </c>
      <c r="AY230" s="106" t="s">
        <v>94</v>
      </c>
      <c r="AZ230" s="106" t="s">
        <v>94</v>
      </c>
      <c r="BA230" s="73" t="s">
        <v>77</v>
      </c>
      <c r="BB230" s="106" t="s">
        <v>98</v>
      </c>
      <c r="BC230" s="106">
        <v>31</v>
      </c>
      <c r="BD230" s="106" t="s">
        <v>98</v>
      </c>
      <c r="BE230" s="211" t="str">
        <f t="shared" si="411"/>
        <v>297, POYOWA BESAR,</v>
      </c>
    </row>
    <row r="231" spans="1:57" s="211" customFormat="1" ht="15.75" customHeight="1">
      <c r="A231" s="219"/>
      <c r="B231" s="219"/>
      <c r="C231" s="219"/>
      <c r="D231" s="219"/>
      <c r="E231" s="219"/>
      <c r="F231" s="219"/>
      <c r="G231" s="220"/>
      <c r="H231" s="12">
        <v>10</v>
      </c>
      <c r="I231" s="64" t="str">
        <f t="shared" ref="I231:M231" si="417">I230</f>
        <v>MR.KPBS.P021</v>
      </c>
      <c r="J231" s="64">
        <f t="shared" si="417"/>
        <v>0.71193129119999998</v>
      </c>
      <c r="K231" s="64">
        <f t="shared" si="417"/>
        <v>124.32371049859999</v>
      </c>
      <c r="L231" s="64" t="str">
        <f t="shared" si="417"/>
        <v>JL. RAYA POYOWA BESAR</v>
      </c>
      <c r="M231" s="64" t="str">
        <f t="shared" si="417"/>
        <v>SULAWESU UTARA</v>
      </c>
      <c r="N231" s="65" t="s">
        <v>105</v>
      </c>
      <c r="O231" s="66" t="s">
        <v>118</v>
      </c>
      <c r="P231" s="65" t="s">
        <v>119</v>
      </c>
      <c r="Q231" s="66">
        <v>95717</v>
      </c>
      <c r="R231" s="98"/>
      <c r="S231" s="99"/>
      <c r="T231" s="100"/>
      <c r="U231" s="99"/>
      <c r="V231" s="100"/>
      <c r="W231" s="97" t="s">
        <v>105</v>
      </c>
      <c r="X231" s="101"/>
      <c r="Y231" s="64" t="s">
        <v>106</v>
      </c>
      <c r="Z231" s="64" t="str">
        <f t="shared" si="381"/>
        <v>KELURAHAN POYOWA BESAR SATU KOTAMOBAGU</v>
      </c>
      <c r="AA231" s="102"/>
      <c r="AB231" s="102"/>
      <c r="AC231" s="102" t="s">
        <v>70</v>
      </c>
      <c r="AD231" s="64" t="str">
        <f t="shared" si="408"/>
        <v>POYOWA BESAR</v>
      </c>
      <c r="AE231" s="103"/>
      <c r="AF231" s="103"/>
      <c r="AG231" s="103"/>
      <c r="AH231" s="103"/>
      <c r="AI231" s="104"/>
      <c r="AJ231" s="11" t="s">
        <v>228</v>
      </c>
      <c r="AK231" s="102" t="s">
        <v>96</v>
      </c>
      <c r="AL231" s="106"/>
      <c r="AM231" s="192"/>
      <c r="AN231" s="192"/>
      <c r="AO231" s="192"/>
      <c r="AP231" s="192"/>
      <c r="AQ231" s="180" t="s">
        <v>97</v>
      </c>
      <c r="AR231" s="70" t="s">
        <v>349</v>
      </c>
      <c r="AS231" s="71" t="str">
        <f t="shared" si="410"/>
        <v>KPBS-1.019</v>
      </c>
      <c r="AT231" s="71" t="str">
        <f t="shared" si="410"/>
        <v>B08</v>
      </c>
      <c r="AU231" s="105"/>
      <c r="AV231" s="202">
        <v>0.7118123972</v>
      </c>
      <c r="AW231" s="202">
        <v>124.3235871694</v>
      </c>
      <c r="AX231" s="106" t="s">
        <v>98</v>
      </c>
      <c r="AY231" s="106" t="s">
        <v>94</v>
      </c>
      <c r="AZ231" s="106" t="s">
        <v>94</v>
      </c>
      <c r="BA231" s="73" t="s">
        <v>77</v>
      </c>
      <c r="BB231" s="106" t="s">
        <v>98</v>
      </c>
      <c r="BC231" s="106">
        <v>31</v>
      </c>
      <c r="BD231" s="106" t="s">
        <v>98</v>
      </c>
      <c r="BE231" s="211" t="str">
        <f t="shared" si="411"/>
        <v>296, POYOWA BESAR,</v>
      </c>
    </row>
    <row r="232" spans="1:57" s="211" customFormat="1" ht="15.75" customHeight="1">
      <c r="A232" s="219"/>
      <c r="B232" s="219"/>
      <c r="C232" s="219"/>
      <c r="D232" s="219"/>
      <c r="E232" s="219"/>
      <c r="F232" s="219"/>
      <c r="G232" s="220"/>
      <c r="H232" s="12">
        <v>11</v>
      </c>
      <c r="I232" s="64" t="str">
        <f t="shared" ref="I232:M232" si="418">I231</f>
        <v>MR.KPBS.P021</v>
      </c>
      <c r="J232" s="64">
        <f t="shared" si="418"/>
        <v>0.71193129119999998</v>
      </c>
      <c r="K232" s="64">
        <f t="shared" si="418"/>
        <v>124.32371049859999</v>
      </c>
      <c r="L232" s="64" t="str">
        <f t="shared" si="418"/>
        <v>JL. RAYA POYOWA BESAR</v>
      </c>
      <c r="M232" s="64" t="str">
        <f t="shared" si="418"/>
        <v>SULAWESU UTARA</v>
      </c>
      <c r="N232" s="65" t="s">
        <v>105</v>
      </c>
      <c r="O232" s="66" t="s">
        <v>118</v>
      </c>
      <c r="P232" s="65" t="s">
        <v>119</v>
      </c>
      <c r="Q232" s="66">
        <v>95717</v>
      </c>
      <c r="R232" s="98"/>
      <c r="S232" s="99"/>
      <c r="T232" s="100"/>
      <c r="U232" s="99"/>
      <c r="V232" s="100"/>
      <c r="W232" s="97" t="s">
        <v>105</v>
      </c>
      <c r="X232" s="101"/>
      <c r="Y232" s="64" t="s">
        <v>106</v>
      </c>
      <c r="Z232" s="64" t="str">
        <f t="shared" si="381"/>
        <v>KELURAHAN POYOWA BESAR SATU KOTAMOBAGU</v>
      </c>
      <c r="AA232" s="102"/>
      <c r="AB232" s="102"/>
      <c r="AC232" s="102" t="s">
        <v>70</v>
      </c>
      <c r="AD232" s="64" t="str">
        <f t="shared" si="408"/>
        <v>POYOWA BESAR</v>
      </c>
      <c r="AE232" s="103"/>
      <c r="AF232" s="103"/>
      <c r="AG232" s="103"/>
      <c r="AH232" s="103"/>
      <c r="AI232" s="104"/>
      <c r="AJ232" s="11" t="s">
        <v>229</v>
      </c>
      <c r="AK232" s="102" t="s">
        <v>96</v>
      </c>
      <c r="AL232" s="106"/>
      <c r="AM232" s="192"/>
      <c r="AN232" s="192"/>
      <c r="AO232" s="192"/>
      <c r="AP232" s="192"/>
      <c r="AQ232" s="180" t="s">
        <v>97</v>
      </c>
      <c r="AR232" s="70" t="s">
        <v>349</v>
      </c>
      <c r="AS232" s="71" t="str">
        <f t="shared" si="410"/>
        <v>KPBS-1.019</v>
      </c>
      <c r="AT232" s="71" t="str">
        <f t="shared" si="410"/>
        <v>B08</v>
      </c>
      <c r="AU232" s="105"/>
      <c r="AV232" s="202">
        <v>0.71173869010000002</v>
      </c>
      <c r="AW232" s="202">
        <v>124.3236300749</v>
      </c>
      <c r="AX232" s="106" t="s">
        <v>98</v>
      </c>
      <c r="AY232" s="106" t="s">
        <v>94</v>
      </c>
      <c r="AZ232" s="106" t="s">
        <v>94</v>
      </c>
      <c r="BA232" s="73" t="s">
        <v>77</v>
      </c>
      <c r="BB232" s="106" t="s">
        <v>98</v>
      </c>
      <c r="BC232" s="106">
        <v>31</v>
      </c>
      <c r="BD232" s="106" t="s">
        <v>98</v>
      </c>
      <c r="BE232" s="211" t="str">
        <f t="shared" si="411"/>
        <v>294, POYOWA BESAR,</v>
      </c>
    </row>
    <row r="233" spans="1:57" s="211" customFormat="1" ht="15.75" customHeight="1">
      <c r="A233" s="219"/>
      <c r="B233" s="219"/>
      <c r="C233" s="219"/>
      <c r="D233" s="219"/>
      <c r="E233" s="219"/>
      <c r="F233" s="219"/>
      <c r="G233" s="220"/>
      <c r="H233" s="12">
        <v>12</v>
      </c>
      <c r="I233" s="64" t="str">
        <f t="shared" ref="I233:M233" si="419">I232</f>
        <v>MR.KPBS.P021</v>
      </c>
      <c r="J233" s="64">
        <f t="shared" si="419"/>
        <v>0.71193129119999998</v>
      </c>
      <c r="K233" s="64">
        <f t="shared" si="419"/>
        <v>124.32371049859999</v>
      </c>
      <c r="L233" s="64" t="str">
        <f t="shared" si="419"/>
        <v>JL. RAYA POYOWA BESAR</v>
      </c>
      <c r="M233" s="64" t="str">
        <f t="shared" si="419"/>
        <v>SULAWESU UTARA</v>
      </c>
      <c r="N233" s="65" t="s">
        <v>105</v>
      </c>
      <c r="O233" s="66" t="s">
        <v>118</v>
      </c>
      <c r="P233" s="65" t="s">
        <v>119</v>
      </c>
      <c r="Q233" s="66">
        <v>95717</v>
      </c>
      <c r="R233" s="98"/>
      <c r="S233" s="99"/>
      <c r="T233" s="100"/>
      <c r="U233" s="99"/>
      <c r="V233" s="100"/>
      <c r="W233" s="97" t="s">
        <v>105</v>
      </c>
      <c r="X233" s="101"/>
      <c r="Y233" s="64" t="s">
        <v>106</v>
      </c>
      <c r="Z233" s="64" t="str">
        <f t="shared" si="381"/>
        <v>KELURAHAN POYOWA BESAR SATU KOTAMOBAGU</v>
      </c>
      <c r="AA233" s="102"/>
      <c r="AB233" s="102"/>
      <c r="AC233" s="102" t="s">
        <v>70</v>
      </c>
      <c r="AD233" s="64" t="str">
        <f t="shared" si="408"/>
        <v>POYOWA BESAR</v>
      </c>
      <c r="AE233" s="103"/>
      <c r="AF233" s="103"/>
      <c r="AG233" s="103"/>
      <c r="AH233" s="103"/>
      <c r="AI233" s="104"/>
      <c r="AJ233" s="11" t="s">
        <v>230</v>
      </c>
      <c r="AK233" s="102" t="s">
        <v>96</v>
      </c>
      <c r="AL233" s="106"/>
      <c r="AM233" s="192"/>
      <c r="AN233" s="192"/>
      <c r="AO233" s="192"/>
      <c r="AP233" s="192"/>
      <c r="AQ233" s="180" t="s">
        <v>97</v>
      </c>
      <c r="AR233" s="70" t="s">
        <v>349</v>
      </c>
      <c r="AS233" s="71" t="str">
        <f t="shared" si="410"/>
        <v>KPBS-1.019</v>
      </c>
      <c r="AT233" s="71" t="str">
        <f t="shared" si="410"/>
        <v>B08</v>
      </c>
      <c r="AU233" s="105"/>
      <c r="AV233" s="202">
        <v>0.71163323550000002</v>
      </c>
      <c r="AW233" s="202">
        <v>124.323641151</v>
      </c>
      <c r="AX233" s="106" t="s">
        <v>98</v>
      </c>
      <c r="AY233" s="106" t="s">
        <v>94</v>
      </c>
      <c r="AZ233" s="106" t="s">
        <v>94</v>
      </c>
      <c r="BA233" s="73" t="s">
        <v>77</v>
      </c>
      <c r="BB233" s="106" t="s">
        <v>98</v>
      </c>
      <c r="BC233" s="106">
        <v>31</v>
      </c>
      <c r="BD233" s="106" t="s">
        <v>98</v>
      </c>
      <c r="BE233" s="211" t="str">
        <f t="shared" si="404"/>
        <v>293, POYOWA BESAR,</v>
      </c>
    </row>
    <row r="234" spans="1:57" s="211" customFormat="1" ht="15.75" customHeight="1">
      <c r="A234" s="219"/>
      <c r="B234" s="219"/>
      <c r="C234" s="219"/>
      <c r="D234" s="219"/>
      <c r="E234" s="219"/>
      <c r="F234" s="219"/>
      <c r="G234" s="220"/>
      <c r="H234" s="12">
        <v>13</v>
      </c>
      <c r="I234" s="64" t="str">
        <f t="shared" si="405"/>
        <v>MR.KPBS.P021</v>
      </c>
      <c r="J234" s="64">
        <f t="shared" si="405"/>
        <v>0.71193129119999998</v>
      </c>
      <c r="K234" s="64">
        <f t="shared" si="405"/>
        <v>124.32371049859999</v>
      </c>
      <c r="L234" s="64" t="str">
        <f t="shared" si="405"/>
        <v>JL. RAYA POYOWA BESAR</v>
      </c>
      <c r="M234" s="64" t="str">
        <f t="shared" si="405"/>
        <v>SULAWESU UTARA</v>
      </c>
      <c r="N234" s="65" t="s">
        <v>105</v>
      </c>
      <c r="O234" s="66" t="s">
        <v>118</v>
      </c>
      <c r="P234" s="65" t="s">
        <v>119</v>
      </c>
      <c r="Q234" s="66">
        <v>95717</v>
      </c>
      <c r="R234" s="98"/>
      <c r="S234" s="99"/>
      <c r="T234" s="100"/>
      <c r="U234" s="99"/>
      <c r="V234" s="100"/>
      <c r="W234" s="97" t="s">
        <v>105</v>
      </c>
      <c r="X234" s="101"/>
      <c r="Y234" s="64" t="s">
        <v>106</v>
      </c>
      <c r="Z234" s="64" t="str">
        <f t="shared" si="381"/>
        <v>KELURAHAN POYOWA BESAR SATU KOTAMOBAGU</v>
      </c>
      <c r="AA234" s="102"/>
      <c r="AB234" s="102"/>
      <c r="AC234" s="102" t="s">
        <v>70</v>
      </c>
      <c r="AD234" s="64" t="str">
        <f t="shared" ref="AD234" si="420">AD233</f>
        <v>POYOWA BESAR</v>
      </c>
      <c r="AE234" s="103"/>
      <c r="AF234" s="103"/>
      <c r="AG234" s="103"/>
      <c r="AH234" s="103"/>
      <c r="AI234" s="104"/>
      <c r="AJ234" s="11" t="s">
        <v>231</v>
      </c>
      <c r="AK234" s="102" t="s">
        <v>96</v>
      </c>
      <c r="AL234" s="106"/>
      <c r="AM234" s="192"/>
      <c r="AN234" s="192"/>
      <c r="AO234" s="192"/>
      <c r="AP234" s="192"/>
      <c r="AQ234" s="180" t="s">
        <v>97</v>
      </c>
      <c r="AR234" s="70" t="s">
        <v>349</v>
      </c>
      <c r="AS234" s="71" t="str">
        <f t="shared" si="407"/>
        <v>KPBS-1.019</v>
      </c>
      <c r="AT234" s="71" t="str">
        <f t="shared" si="407"/>
        <v>B08</v>
      </c>
      <c r="AU234" s="105"/>
      <c r="AV234" s="202">
        <v>0.71154283139999996</v>
      </c>
      <c r="AW234" s="202">
        <v>124.3236730056</v>
      </c>
      <c r="AX234" s="106" t="s">
        <v>98</v>
      </c>
      <c r="AY234" s="106" t="s">
        <v>94</v>
      </c>
      <c r="AZ234" s="106" t="s">
        <v>94</v>
      </c>
      <c r="BA234" s="73" t="s">
        <v>77</v>
      </c>
      <c r="BB234" s="106" t="s">
        <v>98</v>
      </c>
      <c r="BC234" s="106">
        <v>31</v>
      </c>
      <c r="BD234" s="106" t="s">
        <v>98</v>
      </c>
      <c r="BE234" s="211" t="str">
        <f t="shared" si="404"/>
        <v>292, POYOWA BESAR,</v>
      </c>
    </row>
    <row r="235" spans="1:57" s="211" customFormat="1" ht="15.75" customHeight="1">
      <c r="A235" s="219"/>
      <c r="B235" s="219"/>
      <c r="C235" s="219"/>
      <c r="D235" s="219"/>
      <c r="E235" s="219"/>
      <c r="F235" s="219"/>
      <c r="G235" s="220"/>
      <c r="H235" s="12">
        <v>14</v>
      </c>
      <c r="I235" s="64" t="str">
        <f t="shared" si="405"/>
        <v>MR.KPBS.P021</v>
      </c>
      <c r="J235" s="64">
        <f t="shared" si="405"/>
        <v>0.71193129119999998</v>
      </c>
      <c r="K235" s="64">
        <f t="shared" si="405"/>
        <v>124.32371049859999</v>
      </c>
      <c r="L235" s="64" t="str">
        <f t="shared" si="405"/>
        <v>JL. RAYA POYOWA BESAR</v>
      </c>
      <c r="M235" s="64" t="str">
        <f t="shared" si="405"/>
        <v>SULAWESU UTARA</v>
      </c>
      <c r="N235" s="65" t="s">
        <v>105</v>
      </c>
      <c r="O235" s="66" t="s">
        <v>118</v>
      </c>
      <c r="P235" s="65" t="s">
        <v>119</v>
      </c>
      <c r="Q235" s="66">
        <v>95717</v>
      </c>
      <c r="R235" s="98"/>
      <c r="S235" s="99"/>
      <c r="T235" s="100"/>
      <c r="U235" s="99"/>
      <c r="V235" s="100"/>
      <c r="W235" s="97" t="s">
        <v>105</v>
      </c>
      <c r="X235" s="101"/>
      <c r="Y235" s="64" t="s">
        <v>106</v>
      </c>
      <c r="Z235" s="64" t="str">
        <f t="shared" si="381"/>
        <v>KELURAHAN POYOWA BESAR SATU KOTAMOBAGU</v>
      </c>
      <c r="AA235" s="102"/>
      <c r="AB235" s="102"/>
      <c r="AC235" s="102" t="s">
        <v>70</v>
      </c>
      <c r="AD235" s="64" t="str">
        <f t="shared" ref="AD235" si="421">AD234</f>
        <v>POYOWA BESAR</v>
      </c>
      <c r="AE235" s="103"/>
      <c r="AF235" s="103"/>
      <c r="AG235" s="103"/>
      <c r="AH235" s="103"/>
      <c r="AI235" s="104"/>
      <c r="AJ235" s="11" t="s">
        <v>232</v>
      </c>
      <c r="AK235" s="102" t="s">
        <v>96</v>
      </c>
      <c r="AL235" s="106"/>
      <c r="AM235" s="192"/>
      <c r="AN235" s="192"/>
      <c r="AO235" s="192"/>
      <c r="AP235" s="192"/>
      <c r="AQ235" s="193" t="s">
        <v>97</v>
      </c>
      <c r="AR235" s="70" t="s">
        <v>349</v>
      </c>
      <c r="AS235" s="71" t="str">
        <f t="shared" si="407"/>
        <v>KPBS-1.019</v>
      </c>
      <c r="AT235" s="71" t="str">
        <f t="shared" si="407"/>
        <v>B08</v>
      </c>
      <c r="AU235" s="105"/>
      <c r="AV235" s="202">
        <v>0.71162439229999996</v>
      </c>
      <c r="AW235" s="202">
        <v>124.323842078</v>
      </c>
      <c r="AX235" s="106" t="s">
        <v>98</v>
      </c>
      <c r="AY235" s="106" t="s">
        <v>94</v>
      </c>
      <c r="AZ235" s="106" t="s">
        <v>94</v>
      </c>
      <c r="BA235" s="73" t="s">
        <v>77</v>
      </c>
      <c r="BB235" s="106" t="s">
        <v>98</v>
      </c>
      <c r="BC235" s="106">
        <v>31</v>
      </c>
      <c r="BD235" s="106" t="s">
        <v>98</v>
      </c>
      <c r="BE235" s="211" t="str">
        <f t="shared" si="404"/>
        <v>288, POYOWA BESAR,</v>
      </c>
    </row>
    <row r="236" spans="1:57" s="211" customFormat="1" ht="15.75" customHeight="1">
      <c r="A236" s="219"/>
      <c r="B236" s="219"/>
      <c r="C236" s="219"/>
      <c r="D236" s="219"/>
      <c r="E236" s="219"/>
      <c r="F236" s="219"/>
      <c r="G236" s="220"/>
      <c r="H236" s="12">
        <v>15</v>
      </c>
      <c r="I236" s="64" t="str">
        <f t="shared" si="405"/>
        <v>MR.KPBS.P021</v>
      </c>
      <c r="J236" s="64">
        <f t="shared" si="405"/>
        <v>0.71193129119999998</v>
      </c>
      <c r="K236" s="64">
        <f t="shared" si="405"/>
        <v>124.32371049859999</v>
      </c>
      <c r="L236" s="64" t="str">
        <f t="shared" si="405"/>
        <v>JL. RAYA POYOWA BESAR</v>
      </c>
      <c r="M236" s="64" t="str">
        <f t="shared" si="405"/>
        <v>SULAWESU UTARA</v>
      </c>
      <c r="N236" s="65" t="s">
        <v>105</v>
      </c>
      <c r="O236" s="66" t="s">
        <v>118</v>
      </c>
      <c r="P236" s="65" t="s">
        <v>119</v>
      </c>
      <c r="Q236" s="66">
        <v>95717</v>
      </c>
      <c r="R236" s="98"/>
      <c r="S236" s="99"/>
      <c r="T236" s="100"/>
      <c r="U236" s="99"/>
      <c r="V236" s="100"/>
      <c r="W236" s="97" t="s">
        <v>105</v>
      </c>
      <c r="X236" s="101"/>
      <c r="Y236" s="64" t="s">
        <v>106</v>
      </c>
      <c r="Z236" s="64" t="str">
        <f t="shared" si="381"/>
        <v>KELURAHAN POYOWA BESAR SATU KOTAMOBAGU</v>
      </c>
      <c r="AA236" s="102"/>
      <c r="AB236" s="102"/>
      <c r="AC236" s="102" t="s">
        <v>70</v>
      </c>
      <c r="AD236" s="64" t="str">
        <f t="shared" ref="AD236" si="422">AD235</f>
        <v>POYOWA BESAR</v>
      </c>
      <c r="AE236" s="103"/>
      <c r="AF236" s="103"/>
      <c r="AG236" s="103"/>
      <c r="AH236" s="103"/>
      <c r="AI236" s="104"/>
      <c r="AJ236" s="11" t="s">
        <v>233</v>
      </c>
      <c r="AK236" s="102" t="s">
        <v>96</v>
      </c>
      <c r="AL236" s="106"/>
      <c r="AM236" s="106"/>
      <c r="AN236" s="106"/>
      <c r="AO236" s="106"/>
      <c r="AP236" s="106"/>
      <c r="AQ236" s="180" t="s">
        <v>97</v>
      </c>
      <c r="AR236" s="70" t="s">
        <v>349</v>
      </c>
      <c r="AS236" s="71" t="str">
        <f t="shared" si="407"/>
        <v>KPBS-1.019</v>
      </c>
      <c r="AT236" s="71" t="str">
        <f t="shared" si="407"/>
        <v>B08</v>
      </c>
      <c r="AU236" s="105"/>
      <c r="AV236" s="202">
        <v>0.71156316769999906</v>
      </c>
      <c r="AW236" s="202">
        <v>124.3238739765</v>
      </c>
      <c r="AX236" s="106" t="s">
        <v>98</v>
      </c>
      <c r="AY236" s="106" t="s">
        <v>94</v>
      </c>
      <c r="AZ236" s="106" t="s">
        <v>94</v>
      </c>
      <c r="BA236" s="73" t="s">
        <v>77</v>
      </c>
      <c r="BB236" s="106" t="s">
        <v>98</v>
      </c>
      <c r="BC236" s="106">
        <v>31</v>
      </c>
      <c r="BD236" s="106" t="s">
        <v>98</v>
      </c>
      <c r="BE236" s="211" t="str">
        <f t="shared" si="404"/>
        <v>289, POYOWA BESAR,</v>
      </c>
    </row>
    <row r="237" spans="1:57" s="211" customFormat="1" ht="15.75" customHeight="1">
      <c r="A237" s="219"/>
      <c r="B237" s="219"/>
      <c r="C237" s="219"/>
      <c r="D237" s="219"/>
      <c r="E237" s="219"/>
      <c r="F237" s="219"/>
      <c r="G237" s="220"/>
      <c r="H237" s="12">
        <v>16</v>
      </c>
      <c r="I237" s="64" t="str">
        <f t="shared" si="405"/>
        <v>MR.KPBS.P021</v>
      </c>
      <c r="J237" s="64">
        <f t="shared" si="405"/>
        <v>0.71193129119999998</v>
      </c>
      <c r="K237" s="64">
        <f t="shared" si="405"/>
        <v>124.32371049859999</v>
      </c>
      <c r="L237" s="64" t="str">
        <f t="shared" si="405"/>
        <v>JL. RAYA POYOWA BESAR</v>
      </c>
      <c r="M237" s="64" t="str">
        <f t="shared" si="405"/>
        <v>SULAWESU UTARA</v>
      </c>
      <c r="N237" s="65" t="s">
        <v>105</v>
      </c>
      <c r="O237" s="66" t="s">
        <v>118</v>
      </c>
      <c r="P237" s="65" t="s">
        <v>119</v>
      </c>
      <c r="Q237" s="66">
        <v>95717</v>
      </c>
      <c r="R237" s="98"/>
      <c r="S237" s="99"/>
      <c r="T237" s="100"/>
      <c r="U237" s="99"/>
      <c r="V237" s="100"/>
      <c r="W237" s="97" t="s">
        <v>105</v>
      </c>
      <c r="X237" s="101"/>
      <c r="Y237" s="64" t="s">
        <v>106</v>
      </c>
      <c r="Z237" s="64" t="str">
        <f t="shared" si="381"/>
        <v>KELURAHAN POYOWA BESAR SATU KOTAMOBAGU</v>
      </c>
      <c r="AA237" s="102"/>
      <c r="AB237" s="102"/>
      <c r="AC237" s="102" t="s">
        <v>70</v>
      </c>
      <c r="AD237" s="64" t="str">
        <f t="shared" ref="AD237" si="423">AD236</f>
        <v>POYOWA BESAR</v>
      </c>
      <c r="AE237" s="103"/>
      <c r="AF237" s="103"/>
      <c r="AG237" s="103"/>
      <c r="AH237" s="103"/>
      <c r="AI237" s="104"/>
      <c r="AJ237" s="11" t="s">
        <v>234</v>
      </c>
      <c r="AK237" s="102" t="s">
        <v>96</v>
      </c>
      <c r="AL237" s="106"/>
      <c r="AM237" s="106"/>
      <c r="AN237" s="106"/>
      <c r="AO237" s="106"/>
      <c r="AP237" s="106"/>
      <c r="AQ237" s="180" t="s">
        <v>97</v>
      </c>
      <c r="AR237" s="70" t="s">
        <v>349</v>
      </c>
      <c r="AS237" s="71" t="str">
        <f t="shared" si="407"/>
        <v>KPBS-1.019</v>
      </c>
      <c r="AT237" s="71" t="str">
        <f t="shared" si="407"/>
        <v>B08</v>
      </c>
      <c r="AU237" s="105"/>
      <c r="AV237" s="202">
        <v>0.71144154540000004</v>
      </c>
      <c r="AW237" s="202">
        <v>124.32370208019999</v>
      </c>
      <c r="AX237" s="106" t="s">
        <v>98</v>
      </c>
      <c r="AY237" s="106" t="s">
        <v>94</v>
      </c>
      <c r="AZ237" s="106" t="s">
        <v>94</v>
      </c>
      <c r="BA237" s="73" t="s">
        <v>77</v>
      </c>
      <c r="BB237" s="106" t="s">
        <v>98</v>
      </c>
      <c r="BC237" s="106">
        <v>31</v>
      </c>
      <c r="BD237" s="106" t="s">
        <v>98</v>
      </c>
      <c r="BE237" s="211" t="str">
        <f t="shared" si="404"/>
        <v>291, POYOWA BESAR,</v>
      </c>
    </row>
    <row r="238" spans="1:57" s="211" customFormat="1" ht="15.75" customHeight="1">
      <c r="A238" s="40" t="s">
        <v>100</v>
      </c>
      <c r="B238" s="40">
        <f>B222+1</f>
        <v>17</v>
      </c>
      <c r="C238" s="111" t="s">
        <v>99</v>
      </c>
      <c r="D238" s="111" t="s">
        <v>101</v>
      </c>
      <c r="E238" s="111">
        <v>2</v>
      </c>
      <c r="F238" s="43">
        <f>F223+1</f>
        <v>19</v>
      </c>
      <c r="G238" s="235" t="s">
        <v>89</v>
      </c>
      <c r="H238" s="42">
        <v>1</v>
      </c>
      <c r="I238" s="119" t="s">
        <v>113</v>
      </c>
      <c r="J238" s="119">
        <v>0.71232666950000001</v>
      </c>
      <c r="K238" s="119">
        <v>124.3235379167</v>
      </c>
      <c r="L238" s="113" t="s">
        <v>116</v>
      </c>
      <c r="M238" s="119" t="str">
        <f t="shared" ref="M238" si="424">M237</f>
        <v>SULAWESU UTARA</v>
      </c>
      <c r="N238" s="14" t="s">
        <v>105</v>
      </c>
      <c r="O238" s="84" t="s">
        <v>118</v>
      </c>
      <c r="P238" s="14" t="s">
        <v>119</v>
      </c>
      <c r="Q238" s="84">
        <v>95717</v>
      </c>
      <c r="R238" s="86"/>
      <c r="S238" s="87"/>
      <c r="T238" s="88"/>
      <c r="U238" s="87"/>
      <c r="V238" s="88"/>
      <c r="W238" s="85" t="s">
        <v>105</v>
      </c>
      <c r="X238" s="83"/>
      <c r="Y238" s="119" t="s">
        <v>106</v>
      </c>
      <c r="Z238" s="119" t="str">
        <f t="shared" si="381"/>
        <v>KELURAHAN POYOWA BESAR SATU KOTAMOBAGU</v>
      </c>
      <c r="AA238" s="89"/>
      <c r="AB238" s="89"/>
      <c r="AC238" s="89" t="s">
        <v>70</v>
      </c>
      <c r="AD238" s="113" t="s">
        <v>119</v>
      </c>
      <c r="AE238" s="90"/>
      <c r="AF238" s="90"/>
      <c r="AG238" s="90"/>
      <c r="AH238" s="90"/>
      <c r="AI238" s="91"/>
      <c r="AJ238" s="115" t="s">
        <v>480</v>
      </c>
      <c r="AK238" s="89" t="s">
        <v>96</v>
      </c>
      <c r="AL238" s="95"/>
      <c r="AM238" s="187"/>
      <c r="AN238" s="187"/>
      <c r="AO238" s="187"/>
      <c r="AP238" s="187"/>
      <c r="AQ238" s="188" t="s">
        <v>97</v>
      </c>
      <c r="AR238" s="92" t="s">
        <v>349</v>
      </c>
      <c r="AS238" s="93" t="str">
        <f>AS222</f>
        <v>KPBS-1.019</v>
      </c>
      <c r="AT238" s="93" t="str">
        <f>G238</f>
        <v>B09</v>
      </c>
      <c r="AU238" s="94"/>
      <c r="AV238" s="203">
        <v>0.71230727650000003</v>
      </c>
      <c r="AW238" s="203">
        <v>124.3237857395</v>
      </c>
      <c r="AX238" s="95" t="s">
        <v>98</v>
      </c>
      <c r="AY238" s="95" t="s">
        <v>94</v>
      </c>
      <c r="AZ238" s="95" t="s">
        <v>94</v>
      </c>
      <c r="BA238" s="96" t="s">
        <v>77</v>
      </c>
      <c r="BB238" s="95" t="s">
        <v>98</v>
      </c>
      <c r="BC238" s="95">
        <v>31</v>
      </c>
      <c r="BD238" s="95" t="s">
        <v>98</v>
      </c>
      <c r="BE238" s="211" t="str">
        <f t="shared" si="404"/>
        <v>132, POYOWA BESAR,</v>
      </c>
    </row>
    <row r="239" spans="1:57" s="211" customFormat="1" ht="15.75" customHeight="1">
      <c r="A239" s="21"/>
      <c r="B239" s="21"/>
      <c r="C239" s="22" t="s">
        <v>99</v>
      </c>
      <c r="D239" s="22" t="s">
        <v>101</v>
      </c>
      <c r="E239" s="32">
        <v>2</v>
      </c>
      <c r="F239" s="6">
        <f>F238+1</f>
        <v>20</v>
      </c>
      <c r="G239" s="213"/>
      <c r="H239" s="12">
        <v>2</v>
      </c>
      <c r="I239" s="64" t="str">
        <f t="shared" ref="I239:M253" si="425">I238</f>
        <v>MR.KPBS.P023</v>
      </c>
      <c r="J239" s="64">
        <f t="shared" si="425"/>
        <v>0.71232666950000001</v>
      </c>
      <c r="K239" s="64">
        <f t="shared" si="425"/>
        <v>124.3235379167</v>
      </c>
      <c r="L239" s="64" t="str">
        <f t="shared" si="425"/>
        <v>JL. RAYA POYOWA BESAR</v>
      </c>
      <c r="M239" s="64" t="str">
        <f t="shared" si="425"/>
        <v>SULAWESU UTARA</v>
      </c>
      <c r="N239" s="65" t="s">
        <v>105</v>
      </c>
      <c r="O239" s="66" t="s">
        <v>118</v>
      </c>
      <c r="P239" s="65" t="s">
        <v>119</v>
      </c>
      <c r="Q239" s="66">
        <v>95717</v>
      </c>
      <c r="R239" s="98"/>
      <c r="S239" s="99"/>
      <c r="T239" s="100"/>
      <c r="U239" s="99"/>
      <c r="V239" s="100"/>
      <c r="W239" s="97" t="s">
        <v>105</v>
      </c>
      <c r="X239" s="101"/>
      <c r="Y239" s="64" t="s">
        <v>106</v>
      </c>
      <c r="Z239" s="64" t="str">
        <f t="shared" si="381"/>
        <v>KELURAHAN POYOWA BESAR SATU KOTAMOBAGU</v>
      </c>
      <c r="AA239" s="102"/>
      <c r="AB239" s="102"/>
      <c r="AC239" s="102" t="s">
        <v>70</v>
      </c>
      <c r="AD239" s="64" t="str">
        <f t="shared" ref="AD239" si="426">AD238</f>
        <v>POYOWA BESAR</v>
      </c>
      <c r="AE239" s="103"/>
      <c r="AF239" s="103"/>
      <c r="AG239" s="103"/>
      <c r="AH239" s="103"/>
      <c r="AI239" s="104"/>
      <c r="AJ239" s="11" t="s">
        <v>481</v>
      </c>
      <c r="AK239" s="102" t="s">
        <v>96</v>
      </c>
      <c r="AL239" s="106"/>
      <c r="AM239" s="192"/>
      <c r="AN239" s="192"/>
      <c r="AO239" s="192"/>
      <c r="AP239" s="192"/>
      <c r="AQ239" s="180" t="s">
        <v>97</v>
      </c>
      <c r="AR239" s="70" t="s">
        <v>349</v>
      </c>
      <c r="AS239" s="71" t="str">
        <f t="shared" ref="AS239:AT253" si="427">AS238</f>
        <v>KPBS-1.019</v>
      </c>
      <c r="AT239" s="71" t="str">
        <f t="shared" si="427"/>
        <v>B09</v>
      </c>
      <c r="AU239" s="105"/>
      <c r="AV239" s="202">
        <v>0.71265539050000004</v>
      </c>
      <c r="AW239" s="202">
        <v>124.3239844524</v>
      </c>
      <c r="AX239" s="106" t="s">
        <v>98</v>
      </c>
      <c r="AY239" s="106" t="s">
        <v>94</v>
      </c>
      <c r="AZ239" s="106" t="s">
        <v>94</v>
      </c>
      <c r="BA239" s="73" t="s">
        <v>77</v>
      </c>
      <c r="BB239" s="106" t="s">
        <v>98</v>
      </c>
      <c r="BC239" s="106">
        <v>31</v>
      </c>
      <c r="BD239" s="106" t="s">
        <v>98</v>
      </c>
      <c r="BE239" s="211" t="str">
        <f t="shared" si="404"/>
        <v>139, POYOWA BESAR,</v>
      </c>
    </row>
    <row r="240" spans="1:57" s="211" customFormat="1" ht="15.75" customHeight="1">
      <c r="A240" s="215"/>
      <c r="B240" s="216"/>
      <c r="C240" s="216"/>
      <c r="D240" s="216"/>
      <c r="E240" s="216"/>
      <c r="F240" s="216"/>
      <c r="G240" s="217"/>
      <c r="H240" s="12">
        <v>3</v>
      </c>
      <c r="I240" s="64" t="str">
        <f t="shared" si="425"/>
        <v>MR.KPBS.P023</v>
      </c>
      <c r="J240" s="64">
        <f t="shared" si="425"/>
        <v>0.71232666950000001</v>
      </c>
      <c r="K240" s="64">
        <f t="shared" si="425"/>
        <v>124.3235379167</v>
      </c>
      <c r="L240" s="64" t="str">
        <f t="shared" si="425"/>
        <v>JL. RAYA POYOWA BESAR</v>
      </c>
      <c r="M240" s="64" t="str">
        <f t="shared" si="425"/>
        <v>SULAWESU UTARA</v>
      </c>
      <c r="N240" s="65" t="s">
        <v>105</v>
      </c>
      <c r="O240" s="66" t="s">
        <v>118</v>
      </c>
      <c r="P240" s="65" t="s">
        <v>119</v>
      </c>
      <c r="Q240" s="66">
        <v>95717</v>
      </c>
      <c r="R240" s="98"/>
      <c r="S240" s="99"/>
      <c r="T240" s="100"/>
      <c r="U240" s="99"/>
      <c r="V240" s="100"/>
      <c r="W240" s="97" t="s">
        <v>105</v>
      </c>
      <c r="X240" s="101"/>
      <c r="Y240" s="64" t="s">
        <v>106</v>
      </c>
      <c r="Z240" s="64" t="str">
        <f t="shared" si="381"/>
        <v>KELURAHAN POYOWA BESAR SATU KOTAMOBAGU</v>
      </c>
      <c r="AA240" s="102"/>
      <c r="AB240" s="102"/>
      <c r="AC240" s="102" t="s">
        <v>70</v>
      </c>
      <c r="AD240" s="64" t="str">
        <f t="shared" ref="AD240:AD246" si="428">AD239</f>
        <v>POYOWA BESAR</v>
      </c>
      <c r="AE240" s="103"/>
      <c r="AF240" s="103"/>
      <c r="AG240" s="103"/>
      <c r="AH240" s="103"/>
      <c r="AI240" s="104"/>
      <c r="AJ240" s="11" t="s">
        <v>482</v>
      </c>
      <c r="AK240" s="102" t="s">
        <v>96</v>
      </c>
      <c r="AL240" s="106"/>
      <c r="AM240" s="192"/>
      <c r="AN240" s="192"/>
      <c r="AO240" s="192"/>
      <c r="AP240" s="192"/>
      <c r="AQ240" s="180" t="s">
        <v>97</v>
      </c>
      <c r="AR240" s="70" t="s">
        <v>349</v>
      </c>
      <c r="AS240" s="71" t="str">
        <f t="shared" si="427"/>
        <v>KPBS-1.019</v>
      </c>
      <c r="AT240" s="71" t="str">
        <f t="shared" si="427"/>
        <v>B09</v>
      </c>
      <c r="AU240" s="105"/>
      <c r="AV240" s="202">
        <v>0.71263102339999995</v>
      </c>
      <c r="AW240" s="202">
        <v>124.32391556</v>
      </c>
      <c r="AX240" s="106" t="s">
        <v>98</v>
      </c>
      <c r="AY240" s="106" t="s">
        <v>94</v>
      </c>
      <c r="AZ240" s="106" t="s">
        <v>94</v>
      </c>
      <c r="BA240" s="73" t="s">
        <v>77</v>
      </c>
      <c r="BB240" s="106" t="s">
        <v>98</v>
      </c>
      <c r="BC240" s="106">
        <v>31</v>
      </c>
      <c r="BD240" s="106" t="s">
        <v>98</v>
      </c>
      <c r="BE240" s="211" t="str">
        <f t="shared" si="404"/>
        <v>137, POYOWA BESAR,</v>
      </c>
    </row>
    <row r="241" spans="1:57" s="211" customFormat="1" ht="15.75" customHeight="1">
      <c r="A241" s="218"/>
      <c r="B241" s="219"/>
      <c r="C241" s="219"/>
      <c r="D241" s="219"/>
      <c r="E241" s="219"/>
      <c r="F241" s="219"/>
      <c r="G241" s="220"/>
      <c r="H241" s="12">
        <v>4</v>
      </c>
      <c r="I241" s="64" t="str">
        <f t="shared" ref="I241:M241" si="429">I240</f>
        <v>MR.KPBS.P023</v>
      </c>
      <c r="J241" s="64">
        <f t="shared" si="429"/>
        <v>0.71232666950000001</v>
      </c>
      <c r="K241" s="64">
        <f t="shared" si="429"/>
        <v>124.3235379167</v>
      </c>
      <c r="L241" s="64" t="str">
        <f t="shared" si="429"/>
        <v>JL. RAYA POYOWA BESAR</v>
      </c>
      <c r="M241" s="64" t="str">
        <f t="shared" si="429"/>
        <v>SULAWESU UTARA</v>
      </c>
      <c r="N241" s="65" t="s">
        <v>105</v>
      </c>
      <c r="O241" s="66" t="s">
        <v>118</v>
      </c>
      <c r="P241" s="65" t="s">
        <v>119</v>
      </c>
      <c r="Q241" s="66">
        <v>95717</v>
      </c>
      <c r="R241" s="98"/>
      <c r="S241" s="99"/>
      <c r="T241" s="100"/>
      <c r="U241" s="99"/>
      <c r="V241" s="100"/>
      <c r="W241" s="97" t="s">
        <v>105</v>
      </c>
      <c r="X241" s="101"/>
      <c r="Y241" s="64" t="s">
        <v>106</v>
      </c>
      <c r="Z241" s="64" t="str">
        <f t="shared" si="381"/>
        <v>KELURAHAN POYOWA BESAR SATU KOTAMOBAGU</v>
      </c>
      <c r="AA241" s="102"/>
      <c r="AB241" s="102"/>
      <c r="AC241" s="102" t="s">
        <v>70</v>
      </c>
      <c r="AD241" s="64" t="str">
        <f t="shared" si="428"/>
        <v>POYOWA BESAR</v>
      </c>
      <c r="AE241" s="103"/>
      <c r="AF241" s="103"/>
      <c r="AG241" s="103"/>
      <c r="AH241" s="103"/>
      <c r="AI241" s="104"/>
      <c r="AJ241" s="11" t="s">
        <v>483</v>
      </c>
      <c r="AK241" s="102" t="s">
        <v>96</v>
      </c>
      <c r="AL241" s="106"/>
      <c r="AM241" s="192"/>
      <c r="AN241" s="192"/>
      <c r="AO241" s="192"/>
      <c r="AP241" s="192"/>
      <c r="AQ241" s="180" t="s">
        <v>97</v>
      </c>
      <c r="AR241" s="70" t="s">
        <v>349</v>
      </c>
      <c r="AS241" s="71" t="str">
        <f t="shared" ref="AS241:AT246" si="430">AS240</f>
        <v>KPBS-1.019</v>
      </c>
      <c r="AT241" s="71" t="str">
        <f t="shared" si="430"/>
        <v>B09</v>
      </c>
      <c r="AU241" s="105"/>
      <c r="AV241" s="202">
        <v>0.71227093149999998</v>
      </c>
      <c r="AW241" s="202">
        <v>124.3239709441</v>
      </c>
      <c r="AX241" s="106" t="s">
        <v>98</v>
      </c>
      <c r="AY241" s="106" t="s">
        <v>94</v>
      </c>
      <c r="AZ241" s="106" t="s">
        <v>94</v>
      </c>
      <c r="BA241" s="73" t="s">
        <v>77</v>
      </c>
      <c r="BB241" s="106" t="s">
        <v>98</v>
      </c>
      <c r="BC241" s="106">
        <v>31</v>
      </c>
      <c r="BD241" s="106" t="s">
        <v>98</v>
      </c>
      <c r="BE241" s="211" t="str">
        <f t="shared" ref="BE241:BE246" si="431">AJ241&amp;", "&amp;AD241&amp;","&amp;AI241</f>
        <v>138, POYOWA BESAR,</v>
      </c>
    </row>
    <row r="242" spans="1:57" s="211" customFormat="1" ht="15.75" customHeight="1">
      <c r="A242" s="218"/>
      <c r="B242" s="219"/>
      <c r="C242" s="219"/>
      <c r="D242" s="219"/>
      <c r="E242" s="219"/>
      <c r="F242" s="219"/>
      <c r="G242" s="220"/>
      <c r="H242" s="12">
        <v>5</v>
      </c>
      <c r="I242" s="64" t="str">
        <f t="shared" ref="I242:M242" si="432">I241</f>
        <v>MR.KPBS.P023</v>
      </c>
      <c r="J242" s="64">
        <f t="shared" si="432"/>
        <v>0.71232666950000001</v>
      </c>
      <c r="K242" s="64">
        <f t="shared" si="432"/>
        <v>124.3235379167</v>
      </c>
      <c r="L242" s="64" t="str">
        <f t="shared" si="432"/>
        <v>JL. RAYA POYOWA BESAR</v>
      </c>
      <c r="M242" s="64" t="str">
        <f t="shared" si="432"/>
        <v>SULAWESU UTARA</v>
      </c>
      <c r="N242" s="65" t="s">
        <v>105</v>
      </c>
      <c r="O242" s="66" t="s">
        <v>118</v>
      </c>
      <c r="P242" s="65" t="s">
        <v>119</v>
      </c>
      <c r="Q242" s="66">
        <v>95717</v>
      </c>
      <c r="R242" s="98"/>
      <c r="S242" s="99"/>
      <c r="T242" s="100"/>
      <c r="U242" s="99"/>
      <c r="V242" s="100"/>
      <c r="W242" s="97" t="s">
        <v>105</v>
      </c>
      <c r="X242" s="101"/>
      <c r="Y242" s="64" t="s">
        <v>106</v>
      </c>
      <c r="Z242" s="64" t="str">
        <f t="shared" si="381"/>
        <v>KELURAHAN POYOWA BESAR SATU KOTAMOBAGU</v>
      </c>
      <c r="AA242" s="102"/>
      <c r="AB242" s="102"/>
      <c r="AC242" s="102" t="s">
        <v>70</v>
      </c>
      <c r="AD242" s="64" t="str">
        <f t="shared" si="428"/>
        <v>POYOWA BESAR</v>
      </c>
      <c r="AE242" s="103"/>
      <c r="AF242" s="103"/>
      <c r="AG242" s="103"/>
      <c r="AH242" s="103"/>
      <c r="AI242" s="104"/>
      <c r="AJ242" s="11" t="s">
        <v>484</v>
      </c>
      <c r="AK242" s="102" t="s">
        <v>96</v>
      </c>
      <c r="AL242" s="106"/>
      <c r="AM242" s="192"/>
      <c r="AN242" s="192"/>
      <c r="AO242" s="192"/>
      <c r="AP242" s="192"/>
      <c r="AQ242" s="180" t="s">
        <v>97</v>
      </c>
      <c r="AR242" s="70" t="s">
        <v>349</v>
      </c>
      <c r="AS242" s="71" t="str">
        <f t="shared" si="430"/>
        <v>KPBS-1.019</v>
      </c>
      <c r="AT242" s="71" t="str">
        <f t="shared" si="430"/>
        <v>B09</v>
      </c>
      <c r="AU242" s="105"/>
      <c r="AV242" s="202">
        <v>0.71262019359999995</v>
      </c>
      <c r="AW242" s="202">
        <v>124.3238088443</v>
      </c>
      <c r="AX242" s="106" t="s">
        <v>98</v>
      </c>
      <c r="AY242" s="106" t="s">
        <v>94</v>
      </c>
      <c r="AZ242" s="106" t="s">
        <v>94</v>
      </c>
      <c r="BA242" s="73" t="s">
        <v>77</v>
      </c>
      <c r="BB242" s="106" t="s">
        <v>98</v>
      </c>
      <c r="BC242" s="106">
        <v>31</v>
      </c>
      <c r="BD242" s="106" t="s">
        <v>98</v>
      </c>
      <c r="BE242" s="211" t="str">
        <f t="shared" si="431"/>
        <v>136, POYOWA BESAR,</v>
      </c>
    </row>
    <row r="243" spans="1:57" s="211" customFormat="1" ht="15.75" customHeight="1">
      <c r="A243" s="218"/>
      <c r="B243" s="219"/>
      <c r="C243" s="219"/>
      <c r="D243" s="219"/>
      <c r="E243" s="219"/>
      <c r="F243" s="219"/>
      <c r="G243" s="220"/>
      <c r="H243" s="12">
        <v>6</v>
      </c>
      <c r="I243" s="64" t="str">
        <f t="shared" ref="I243:M243" si="433">I242</f>
        <v>MR.KPBS.P023</v>
      </c>
      <c r="J243" s="64">
        <f t="shared" si="433"/>
        <v>0.71232666950000001</v>
      </c>
      <c r="K243" s="64">
        <f t="shared" si="433"/>
        <v>124.3235379167</v>
      </c>
      <c r="L243" s="64" t="str">
        <f t="shared" si="433"/>
        <v>JL. RAYA POYOWA BESAR</v>
      </c>
      <c r="M243" s="64" t="str">
        <f t="shared" si="433"/>
        <v>SULAWESU UTARA</v>
      </c>
      <c r="N243" s="65" t="s">
        <v>105</v>
      </c>
      <c r="O243" s="66" t="s">
        <v>118</v>
      </c>
      <c r="P243" s="65" t="s">
        <v>119</v>
      </c>
      <c r="Q243" s="66">
        <v>95717</v>
      </c>
      <c r="R243" s="98"/>
      <c r="S243" s="99"/>
      <c r="T243" s="100"/>
      <c r="U243" s="99"/>
      <c r="V243" s="100"/>
      <c r="W243" s="97" t="s">
        <v>105</v>
      </c>
      <c r="X243" s="101"/>
      <c r="Y243" s="64" t="s">
        <v>106</v>
      </c>
      <c r="Z243" s="64" t="str">
        <f t="shared" si="381"/>
        <v>KELURAHAN POYOWA BESAR SATU KOTAMOBAGU</v>
      </c>
      <c r="AA243" s="102"/>
      <c r="AB243" s="102"/>
      <c r="AC243" s="102" t="s">
        <v>70</v>
      </c>
      <c r="AD243" s="64" t="str">
        <f t="shared" si="428"/>
        <v>POYOWA BESAR</v>
      </c>
      <c r="AE243" s="103"/>
      <c r="AF243" s="103"/>
      <c r="AG243" s="103"/>
      <c r="AH243" s="103"/>
      <c r="AI243" s="104"/>
      <c r="AJ243" s="11" t="s">
        <v>485</v>
      </c>
      <c r="AK243" s="102" t="s">
        <v>96</v>
      </c>
      <c r="AL243" s="106"/>
      <c r="AM243" s="192"/>
      <c r="AN243" s="192"/>
      <c r="AO243" s="192"/>
      <c r="AP243" s="192"/>
      <c r="AQ243" s="180" t="s">
        <v>97</v>
      </c>
      <c r="AR243" s="70" t="s">
        <v>349</v>
      </c>
      <c r="AS243" s="71" t="str">
        <f t="shared" si="430"/>
        <v>KPBS-1.019</v>
      </c>
      <c r="AT243" s="71" t="str">
        <f t="shared" si="430"/>
        <v>B09</v>
      </c>
      <c r="AU243" s="105"/>
      <c r="AV243" s="202">
        <v>0.71231831199999995</v>
      </c>
      <c r="AW243" s="202">
        <v>124.32388314009999</v>
      </c>
      <c r="AX243" s="106" t="s">
        <v>98</v>
      </c>
      <c r="AY243" s="106" t="s">
        <v>94</v>
      </c>
      <c r="AZ243" s="106" t="s">
        <v>94</v>
      </c>
      <c r="BA243" s="73" t="s">
        <v>77</v>
      </c>
      <c r="BB243" s="106" t="s">
        <v>98</v>
      </c>
      <c r="BC243" s="106">
        <v>31</v>
      </c>
      <c r="BD243" s="106" t="s">
        <v>98</v>
      </c>
      <c r="BE243" s="211" t="str">
        <f t="shared" si="431"/>
        <v>135, POYOWA BESAR,</v>
      </c>
    </row>
    <row r="244" spans="1:57" s="211" customFormat="1" ht="15.75" customHeight="1">
      <c r="A244" s="218"/>
      <c r="B244" s="219"/>
      <c r="C244" s="219"/>
      <c r="D244" s="219"/>
      <c r="E244" s="219"/>
      <c r="F244" s="219"/>
      <c r="G244" s="220"/>
      <c r="H244" s="12">
        <v>7</v>
      </c>
      <c r="I244" s="64" t="str">
        <f t="shared" ref="I244:M244" si="434">I243</f>
        <v>MR.KPBS.P023</v>
      </c>
      <c r="J244" s="64">
        <f t="shared" si="434"/>
        <v>0.71232666950000001</v>
      </c>
      <c r="K244" s="64">
        <f t="shared" si="434"/>
        <v>124.3235379167</v>
      </c>
      <c r="L244" s="64" t="str">
        <f t="shared" si="434"/>
        <v>JL. RAYA POYOWA BESAR</v>
      </c>
      <c r="M244" s="64" t="str">
        <f t="shared" si="434"/>
        <v>SULAWESU UTARA</v>
      </c>
      <c r="N244" s="65" t="s">
        <v>105</v>
      </c>
      <c r="O244" s="66" t="s">
        <v>118</v>
      </c>
      <c r="P244" s="65" t="s">
        <v>119</v>
      </c>
      <c r="Q244" s="66">
        <v>95717</v>
      </c>
      <c r="R244" s="98"/>
      <c r="S244" s="99"/>
      <c r="T244" s="100"/>
      <c r="U244" s="99"/>
      <c r="V244" s="100"/>
      <c r="W244" s="97" t="s">
        <v>105</v>
      </c>
      <c r="X244" s="101"/>
      <c r="Y244" s="64" t="s">
        <v>106</v>
      </c>
      <c r="Z244" s="64" t="str">
        <f t="shared" si="381"/>
        <v>KELURAHAN POYOWA BESAR SATU KOTAMOBAGU</v>
      </c>
      <c r="AA244" s="102"/>
      <c r="AB244" s="102"/>
      <c r="AC244" s="102" t="s">
        <v>70</v>
      </c>
      <c r="AD244" s="64" t="str">
        <f t="shared" si="428"/>
        <v>POYOWA BESAR</v>
      </c>
      <c r="AE244" s="103"/>
      <c r="AF244" s="103"/>
      <c r="AG244" s="103"/>
      <c r="AH244" s="103"/>
      <c r="AI244" s="104"/>
      <c r="AJ244" s="11" t="s">
        <v>486</v>
      </c>
      <c r="AK244" s="102" t="s">
        <v>96</v>
      </c>
      <c r="AL244" s="106"/>
      <c r="AM244" s="192"/>
      <c r="AN244" s="192"/>
      <c r="AO244" s="192"/>
      <c r="AP244" s="192"/>
      <c r="AQ244" s="180" t="s">
        <v>97</v>
      </c>
      <c r="AR244" s="70" t="s">
        <v>349</v>
      </c>
      <c r="AS244" s="71" t="str">
        <f t="shared" si="430"/>
        <v>KPBS-1.019</v>
      </c>
      <c r="AT244" s="71" t="str">
        <f t="shared" si="430"/>
        <v>B09</v>
      </c>
      <c r="AU244" s="105"/>
      <c r="AV244" s="202">
        <v>0.71256469069999895</v>
      </c>
      <c r="AW244" s="202">
        <v>124.3237304961</v>
      </c>
      <c r="AX244" s="106" t="s">
        <v>98</v>
      </c>
      <c r="AY244" s="106" t="s">
        <v>94</v>
      </c>
      <c r="AZ244" s="106" t="s">
        <v>94</v>
      </c>
      <c r="BA244" s="73" t="s">
        <v>77</v>
      </c>
      <c r="BB244" s="106" t="s">
        <v>98</v>
      </c>
      <c r="BC244" s="106">
        <v>31</v>
      </c>
      <c r="BD244" s="106" t="s">
        <v>98</v>
      </c>
      <c r="BE244" s="211" t="str">
        <f t="shared" si="431"/>
        <v>134, POYOWA BESAR,</v>
      </c>
    </row>
    <row r="245" spans="1:57" s="211" customFormat="1" ht="15.75" customHeight="1">
      <c r="A245" s="218"/>
      <c r="B245" s="219"/>
      <c r="C245" s="219"/>
      <c r="D245" s="219"/>
      <c r="E245" s="219"/>
      <c r="F245" s="219"/>
      <c r="G245" s="220"/>
      <c r="H245" s="12">
        <v>8</v>
      </c>
      <c r="I245" s="64" t="str">
        <f t="shared" ref="I245:M245" si="435">I244</f>
        <v>MR.KPBS.P023</v>
      </c>
      <c r="J245" s="64">
        <f t="shared" si="435"/>
        <v>0.71232666950000001</v>
      </c>
      <c r="K245" s="64">
        <f t="shared" si="435"/>
        <v>124.3235379167</v>
      </c>
      <c r="L245" s="64" t="str">
        <f t="shared" si="435"/>
        <v>JL. RAYA POYOWA BESAR</v>
      </c>
      <c r="M245" s="64" t="str">
        <f t="shared" si="435"/>
        <v>SULAWESU UTARA</v>
      </c>
      <c r="N245" s="65" t="s">
        <v>105</v>
      </c>
      <c r="O245" s="66" t="s">
        <v>118</v>
      </c>
      <c r="P245" s="65" t="s">
        <v>119</v>
      </c>
      <c r="Q245" s="66">
        <v>95717</v>
      </c>
      <c r="R245" s="98"/>
      <c r="S245" s="99"/>
      <c r="T245" s="100"/>
      <c r="U245" s="99"/>
      <c r="V245" s="100"/>
      <c r="W245" s="97" t="s">
        <v>105</v>
      </c>
      <c r="X245" s="101"/>
      <c r="Y245" s="64" t="s">
        <v>106</v>
      </c>
      <c r="Z245" s="64" t="str">
        <f t="shared" si="381"/>
        <v>KELURAHAN POYOWA BESAR SATU KOTAMOBAGU</v>
      </c>
      <c r="AA245" s="102"/>
      <c r="AB245" s="102"/>
      <c r="AC245" s="102" t="s">
        <v>70</v>
      </c>
      <c r="AD245" s="64" t="str">
        <f t="shared" si="428"/>
        <v>POYOWA BESAR</v>
      </c>
      <c r="AE245" s="103"/>
      <c r="AF245" s="103"/>
      <c r="AG245" s="103"/>
      <c r="AH245" s="103"/>
      <c r="AI245" s="104"/>
      <c r="AJ245" s="11" t="s">
        <v>487</v>
      </c>
      <c r="AK245" s="102" t="s">
        <v>96</v>
      </c>
      <c r="AL245" s="106"/>
      <c r="AM245" s="192"/>
      <c r="AN245" s="192"/>
      <c r="AO245" s="192"/>
      <c r="AP245" s="192"/>
      <c r="AQ245" s="180" t="s">
        <v>97</v>
      </c>
      <c r="AR245" s="70" t="s">
        <v>349</v>
      </c>
      <c r="AS245" s="71" t="str">
        <f t="shared" si="430"/>
        <v>KPBS-1.019</v>
      </c>
      <c r="AT245" s="71" t="str">
        <f t="shared" si="430"/>
        <v>B09</v>
      </c>
      <c r="AU245" s="105"/>
      <c r="AV245" s="202">
        <v>0.71253761609999899</v>
      </c>
      <c r="AW245" s="202">
        <v>124.3236278328</v>
      </c>
      <c r="AX245" s="106" t="s">
        <v>98</v>
      </c>
      <c r="AY245" s="106" t="s">
        <v>94</v>
      </c>
      <c r="AZ245" s="106" t="s">
        <v>94</v>
      </c>
      <c r="BA245" s="73" t="s">
        <v>77</v>
      </c>
      <c r="BB245" s="106" t="s">
        <v>98</v>
      </c>
      <c r="BC245" s="106">
        <v>31</v>
      </c>
      <c r="BD245" s="106" t="s">
        <v>98</v>
      </c>
      <c r="BE245" s="211" t="str">
        <f t="shared" si="431"/>
        <v>133, POYOWA BESAR,</v>
      </c>
    </row>
    <row r="246" spans="1:57" s="211" customFormat="1" ht="15.75" customHeight="1">
      <c r="A246" s="218"/>
      <c r="B246" s="219"/>
      <c r="C246" s="219"/>
      <c r="D246" s="219"/>
      <c r="E246" s="219"/>
      <c r="F246" s="219"/>
      <c r="G246" s="220"/>
      <c r="H246" s="12">
        <v>9</v>
      </c>
      <c r="I246" s="64" t="str">
        <f t="shared" ref="I246:M246" si="436">I245</f>
        <v>MR.KPBS.P023</v>
      </c>
      <c r="J246" s="64">
        <f t="shared" si="436"/>
        <v>0.71232666950000001</v>
      </c>
      <c r="K246" s="64">
        <f t="shared" si="436"/>
        <v>124.3235379167</v>
      </c>
      <c r="L246" s="64" t="str">
        <f t="shared" si="436"/>
        <v>JL. RAYA POYOWA BESAR</v>
      </c>
      <c r="M246" s="64" t="str">
        <f t="shared" si="436"/>
        <v>SULAWESU UTARA</v>
      </c>
      <c r="N246" s="65" t="s">
        <v>105</v>
      </c>
      <c r="O246" s="66" t="s">
        <v>118</v>
      </c>
      <c r="P246" s="65" t="s">
        <v>119</v>
      </c>
      <c r="Q246" s="66">
        <v>95717</v>
      </c>
      <c r="R246" s="98"/>
      <c r="S246" s="99"/>
      <c r="T246" s="100"/>
      <c r="U246" s="99"/>
      <c r="V246" s="100"/>
      <c r="W246" s="97" t="s">
        <v>105</v>
      </c>
      <c r="X246" s="101"/>
      <c r="Y246" s="64" t="s">
        <v>106</v>
      </c>
      <c r="Z246" s="64" t="str">
        <f t="shared" si="381"/>
        <v>KELURAHAN POYOWA BESAR SATU KOTAMOBAGU</v>
      </c>
      <c r="AA246" s="102"/>
      <c r="AB246" s="102"/>
      <c r="AC246" s="102" t="s">
        <v>70</v>
      </c>
      <c r="AD246" s="64" t="str">
        <f t="shared" si="428"/>
        <v>POYOWA BESAR</v>
      </c>
      <c r="AE246" s="103"/>
      <c r="AF246" s="103"/>
      <c r="AG246" s="103"/>
      <c r="AH246" s="103"/>
      <c r="AI246" s="104"/>
      <c r="AJ246" s="11" t="s">
        <v>488</v>
      </c>
      <c r="AK246" s="102" t="s">
        <v>96</v>
      </c>
      <c r="AL246" s="106"/>
      <c r="AM246" s="192"/>
      <c r="AN246" s="192"/>
      <c r="AO246" s="192"/>
      <c r="AP246" s="192"/>
      <c r="AQ246" s="180" t="s">
        <v>97</v>
      </c>
      <c r="AR246" s="70" t="s">
        <v>349</v>
      </c>
      <c r="AS246" s="71" t="str">
        <f t="shared" si="430"/>
        <v>KPBS-1.019</v>
      </c>
      <c r="AT246" s="71" t="str">
        <f t="shared" si="430"/>
        <v>B09</v>
      </c>
      <c r="AU246" s="105"/>
      <c r="AV246" s="202">
        <v>0.71219627070000002</v>
      </c>
      <c r="AW246" s="202">
        <v>124.32369793549999</v>
      </c>
      <c r="AX246" s="106" t="s">
        <v>98</v>
      </c>
      <c r="AY246" s="106" t="s">
        <v>94</v>
      </c>
      <c r="AZ246" s="106" t="s">
        <v>94</v>
      </c>
      <c r="BA246" s="73" t="s">
        <v>77</v>
      </c>
      <c r="BB246" s="106" t="s">
        <v>98</v>
      </c>
      <c r="BC246" s="106">
        <v>31</v>
      </c>
      <c r="BD246" s="106" t="s">
        <v>98</v>
      </c>
      <c r="BE246" s="211" t="str">
        <f t="shared" si="431"/>
        <v>131, POYOWA BESAR,</v>
      </c>
    </row>
    <row r="247" spans="1:57" s="211" customFormat="1" ht="15.75" customHeight="1">
      <c r="A247" s="218"/>
      <c r="B247" s="219"/>
      <c r="C247" s="219"/>
      <c r="D247" s="219"/>
      <c r="E247" s="219"/>
      <c r="F247" s="219"/>
      <c r="G247" s="220"/>
      <c r="H247" s="12">
        <v>10</v>
      </c>
      <c r="I247" s="64" t="str">
        <f>I240</f>
        <v>MR.KPBS.P023</v>
      </c>
      <c r="J247" s="64">
        <f>J240</f>
        <v>0.71232666950000001</v>
      </c>
      <c r="K247" s="64">
        <f>K240</f>
        <v>124.3235379167</v>
      </c>
      <c r="L247" s="64" t="str">
        <f>L240</f>
        <v>JL. RAYA POYOWA BESAR</v>
      </c>
      <c r="M247" s="64" t="str">
        <f t="shared" ref="M247" si="437">M246</f>
        <v>SULAWESU UTARA</v>
      </c>
      <c r="N247" s="65" t="s">
        <v>105</v>
      </c>
      <c r="O247" s="66" t="s">
        <v>118</v>
      </c>
      <c r="P247" s="65" t="s">
        <v>119</v>
      </c>
      <c r="Q247" s="66">
        <v>95717</v>
      </c>
      <c r="R247" s="98"/>
      <c r="S247" s="99"/>
      <c r="T247" s="100"/>
      <c r="U247" s="99"/>
      <c r="V247" s="100"/>
      <c r="W247" s="97" t="s">
        <v>105</v>
      </c>
      <c r="X247" s="101"/>
      <c r="Y247" s="64" t="s">
        <v>106</v>
      </c>
      <c r="Z247" s="64" t="str">
        <f t="shared" si="381"/>
        <v>KELURAHAN POYOWA BESAR SATU KOTAMOBAGU</v>
      </c>
      <c r="AA247" s="102"/>
      <c r="AB247" s="102"/>
      <c r="AC247" s="102" t="s">
        <v>70</v>
      </c>
      <c r="AD247" s="64" t="str">
        <f t="shared" ref="AD247" si="438">AD240</f>
        <v>POYOWA BESAR</v>
      </c>
      <c r="AE247" s="103"/>
      <c r="AF247" s="103"/>
      <c r="AG247" s="103"/>
      <c r="AH247" s="103"/>
      <c r="AI247" s="104"/>
      <c r="AJ247" s="11" t="s">
        <v>489</v>
      </c>
      <c r="AK247" s="102" t="s">
        <v>96</v>
      </c>
      <c r="AL247" s="106"/>
      <c r="AM247" s="192"/>
      <c r="AN247" s="192"/>
      <c r="AO247" s="192"/>
      <c r="AP247" s="192"/>
      <c r="AQ247" s="180" t="s">
        <v>97</v>
      </c>
      <c r="AR247" s="70" t="s">
        <v>349</v>
      </c>
      <c r="AS247" s="71" t="str">
        <f>AS240</f>
        <v>KPBS-1.019</v>
      </c>
      <c r="AT247" s="71" t="str">
        <f>AT240</f>
        <v>B09</v>
      </c>
      <c r="AU247" s="105"/>
      <c r="AV247" s="202">
        <v>0.71251168949999999</v>
      </c>
      <c r="AW247" s="202">
        <v>124.32354799309999</v>
      </c>
      <c r="AX247" s="106" t="s">
        <v>98</v>
      </c>
      <c r="AY247" s="106" t="s">
        <v>94</v>
      </c>
      <c r="AZ247" s="106" t="s">
        <v>94</v>
      </c>
      <c r="BA247" s="73" t="s">
        <v>77</v>
      </c>
      <c r="BB247" s="106" t="s">
        <v>98</v>
      </c>
      <c r="BC247" s="106">
        <v>31</v>
      </c>
      <c r="BD247" s="106" t="s">
        <v>98</v>
      </c>
      <c r="BE247" s="211" t="str">
        <f t="shared" si="404"/>
        <v>130, POYOWA BESAR,</v>
      </c>
    </row>
    <row r="248" spans="1:57" s="211" customFormat="1" ht="15.75" customHeight="1">
      <c r="A248" s="218"/>
      <c r="B248" s="219"/>
      <c r="C248" s="219"/>
      <c r="D248" s="219"/>
      <c r="E248" s="219"/>
      <c r="F248" s="219"/>
      <c r="G248" s="220"/>
      <c r="H248" s="12">
        <v>11</v>
      </c>
      <c r="I248" s="64" t="str">
        <f t="shared" si="425"/>
        <v>MR.KPBS.P023</v>
      </c>
      <c r="J248" s="64">
        <f t="shared" si="425"/>
        <v>0.71232666950000001</v>
      </c>
      <c r="K248" s="64">
        <f t="shared" si="425"/>
        <v>124.3235379167</v>
      </c>
      <c r="L248" s="64" t="str">
        <f t="shared" si="425"/>
        <v>JL. RAYA POYOWA BESAR</v>
      </c>
      <c r="M248" s="64" t="str">
        <f t="shared" si="425"/>
        <v>SULAWESU UTARA</v>
      </c>
      <c r="N248" s="65" t="s">
        <v>105</v>
      </c>
      <c r="O248" s="66" t="s">
        <v>118</v>
      </c>
      <c r="P248" s="65" t="s">
        <v>119</v>
      </c>
      <c r="Q248" s="66">
        <v>95717</v>
      </c>
      <c r="R248" s="98"/>
      <c r="S248" s="99"/>
      <c r="T248" s="100"/>
      <c r="U248" s="99"/>
      <c r="V248" s="100"/>
      <c r="W248" s="97" t="s">
        <v>105</v>
      </c>
      <c r="X248" s="101"/>
      <c r="Y248" s="64" t="s">
        <v>106</v>
      </c>
      <c r="Z248" s="64" t="str">
        <f t="shared" si="381"/>
        <v>KELURAHAN POYOWA BESAR SATU KOTAMOBAGU</v>
      </c>
      <c r="AA248" s="102"/>
      <c r="AB248" s="102"/>
      <c r="AC248" s="102" t="s">
        <v>70</v>
      </c>
      <c r="AD248" s="64" t="str">
        <f t="shared" ref="AD248" si="439">AD247</f>
        <v>POYOWA BESAR</v>
      </c>
      <c r="AE248" s="103"/>
      <c r="AF248" s="103"/>
      <c r="AG248" s="103"/>
      <c r="AH248" s="103"/>
      <c r="AI248" s="104"/>
      <c r="AJ248" s="11" t="s">
        <v>490</v>
      </c>
      <c r="AK248" s="102" t="s">
        <v>96</v>
      </c>
      <c r="AL248" s="106"/>
      <c r="AM248" s="192"/>
      <c r="AN248" s="192"/>
      <c r="AO248" s="192"/>
      <c r="AP248" s="192"/>
      <c r="AQ248" s="180" t="s">
        <v>97</v>
      </c>
      <c r="AR248" s="70" t="s">
        <v>349</v>
      </c>
      <c r="AS248" s="71" t="str">
        <f t="shared" si="427"/>
        <v>KPBS-1.019</v>
      </c>
      <c r="AT248" s="71" t="str">
        <f t="shared" si="427"/>
        <v>B09</v>
      </c>
      <c r="AU248" s="105"/>
      <c r="AV248" s="202">
        <v>0.71250252670000003</v>
      </c>
      <c r="AW248" s="202">
        <v>124.3234466041</v>
      </c>
      <c r="AX248" s="106" t="s">
        <v>98</v>
      </c>
      <c r="AY248" s="106" t="s">
        <v>94</v>
      </c>
      <c r="AZ248" s="106" t="s">
        <v>94</v>
      </c>
      <c r="BA248" s="73" t="s">
        <v>77</v>
      </c>
      <c r="BB248" s="106" t="s">
        <v>98</v>
      </c>
      <c r="BC248" s="106">
        <v>31</v>
      </c>
      <c r="BD248" s="106" t="s">
        <v>98</v>
      </c>
      <c r="BE248" s="211" t="str">
        <f t="shared" si="404"/>
        <v>127, POYOWA BESAR,</v>
      </c>
    </row>
    <row r="249" spans="1:57" s="211" customFormat="1" ht="15.75" customHeight="1">
      <c r="A249" s="218"/>
      <c r="B249" s="219"/>
      <c r="C249" s="219"/>
      <c r="D249" s="219"/>
      <c r="E249" s="219"/>
      <c r="F249" s="219"/>
      <c r="G249" s="220"/>
      <c r="H249" s="12">
        <v>12</v>
      </c>
      <c r="I249" s="64" t="str">
        <f t="shared" si="425"/>
        <v>MR.KPBS.P023</v>
      </c>
      <c r="J249" s="64">
        <f t="shared" si="425"/>
        <v>0.71232666950000001</v>
      </c>
      <c r="K249" s="64">
        <f t="shared" si="425"/>
        <v>124.3235379167</v>
      </c>
      <c r="L249" s="64" t="str">
        <f t="shared" si="425"/>
        <v>JL. RAYA POYOWA BESAR</v>
      </c>
      <c r="M249" s="64" t="str">
        <f t="shared" si="425"/>
        <v>SULAWESU UTARA</v>
      </c>
      <c r="N249" s="65" t="s">
        <v>105</v>
      </c>
      <c r="O249" s="66" t="s">
        <v>118</v>
      </c>
      <c r="P249" s="65" t="s">
        <v>119</v>
      </c>
      <c r="Q249" s="66">
        <v>95717</v>
      </c>
      <c r="R249" s="98"/>
      <c r="S249" s="99"/>
      <c r="T249" s="100"/>
      <c r="U249" s="99"/>
      <c r="V249" s="100"/>
      <c r="W249" s="97" t="s">
        <v>105</v>
      </c>
      <c r="X249" s="101"/>
      <c r="Y249" s="64" t="s">
        <v>106</v>
      </c>
      <c r="Z249" s="64" t="str">
        <f t="shared" si="381"/>
        <v>KELURAHAN POYOWA BESAR SATU KOTAMOBAGU</v>
      </c>
      <c r="AA249" s="102"/>
      <c r="AB249" s="102"/>
      <c r="AC249" s="102" t="s">
        <v>70</v>
      </c>
      <c r="AD249" s="64" t="str">
        <f t="shared" ref="AD249" si="440">AD248</f>
        <v>POYOWA BESAR</v>
      </c>
      <c r="AE249" s="103"/>
      <c r="AF249" s="103"/>
      <c r="AG249" s="103"/>
      <c r="AH249" s="103"/>
      <c r="AI249" s="104"/>
      <c r="AJ249" s="11" t="s">
        <v>491</v>
      </c>
      <c r="AK249" s="102" t="s">
        <v>96</v>
      </c>
      <c r="AL249" s="106"/>
      <c r="AM249" s="192"/>
      <c r="AN249" s="192"/>
      <c r="AO249" s="192"/>
      <c r="AP249" s="192"/>
      <c r="AQ249" s="193" t="s">
        <v>97</v>
      </c>
      <c r="AR249" s="70" t="s">
        <v>349</v>
      </c>
      <c r="AS249" s="71" t="str">
        <f t="shared" si="427"/>
        <v>KPBS-1.019</v>
      </c>
      <c r="AT249" s="71" t="str">
        <f t="shared" si="427"/>
        <v>B09</v>
      </c>
      <c r="AU249" s="105"/>
      <c r="AV249" s="202">
        <v>0.71218409329999999</v>
      </c>
      <c r="AW249" s="202">
        <v>124.3235290816</v>
      </c>
      <c r="AX249" s="106" t="s">
        <v>98</v>
      </c>
      <c r="AY249" s="106" t="s">
        <v>94</v>
      </c>
      <c r="AZ249" s="106" t="s">
        <v>94</v>
      </c>
      <c r="BA249" s="73" t="s">
        <v>77</v>
      </c>
      <c r="BB249" s="106" t="s">
        <v>98</v>
      </c>
      <c r="BC249" s="106">
        <v>31</v>
      </c>
      <c r="BD249" s="106" t="s">
        <v>98</v>
      </c>
      <c r="BE249" s="211" t="str">
        <f t="shared" si="404"/>
        <v>129, POYOWA BESAR,</v>
      </c>
    </row>
    <row r="250" spans="1:57" s="211" customFormat="1" ht="15.75" customHeight="1">
      <c r="A250" s="218"/>
      <c r="B250" s="219"/>
      <c r="C250" s="219"/>
      <c r="D250" s="219"/>
      <c r="E250" s="219"/>
      <c r="F250" s="219"/>
      <c r="G250" s="220"/>
      <c r="H250" s="12">
        <v>13</v>
      </c>
      <c r="I250" s="64" t="str">
        <f t="shared" si="425"/>
        <v>MR.KPBS.P023</v>
      </c>
      <c r="J250" s="64">
        <f t="shared" si="425"/>
        <v>0.71232666950000001</v>
      </c>
      <c r="K250" s="64">
        <f t="shared" si="425"/>
        <v>124.3235379167</v>
      </c>
      <c r="L250" s="64" t="str">
        <f t="shared" si="425"/>
        <v>JL. RAYA POYOWA BESAR</v>
      </c>
      <c r="M250" s="64" t="str">
        <f t="shared" si="425"/>
        <v>SULAWESU UTARA</v>
      </c>
      <c r="N250" s="65" t="s">
        <v>105</v>
      </c>
      <c r="O250" s="66" t="s">
        <v>118</v>
      </c>
      <c r="P250" s="65" t="s">
        <v>119</v>
      </c>
      <c r="Q250" s="66">
        <v>95717</v>
      </c>
      <c r="R250" s="98"/>
      <c r="S250" s="99"/>
      <c r="T250" s="100"/>
      <c r="U250" s="99"/>
      <c r="V250" s="100"/>
      <c r="W250" s="97" t="s">
        <v>105</v>
      </c>
      <c r="X250" s="101"/>
      <c r="Y250" s="64" t="s">
        <v>106</v>
      </c>
      <c r="Z250" s="64" t="str">
        <f t="shared" si="381"/>
        <v>KELURAHAN POYOWA BESAR SATU KOTAMOBAGU</v>
      </c>
      <c r="AA250" s="102"/>
      <c r="AB250" s="102"/>
      <c r="AC250" s="102" t="s">
        <v>70</v>
      </c>
      <c r="AD250" s="64" t="str">
        <f t="shared" ref="AD250" si="441">AD249</f>
        <v>POYOWA BESAR</v>
      </c>
      <c r="AE250" s="103"/>
      <c r="AF250" s="103"/>
      <c r="AG250" s="103"/>
      <c r="AH250" s="103"/>
      <c r="AI250" s="104"/>
      <c r="AJ250" s="11" t="s">
        <v>492</v>
      </c>
      <c r="AK250" s="102" t="s">
        <v>96</v>
      </c>
      <c r="AL250" s="106"/>
      <c r="AM250" s="106"/>
      <c r="AN250" s="106"/>
      <c r="AO250" s="106"/>
      <c r="AP250" s="106"/>
      <c r="AQ250" s="180" t="s">
        <v>97</v>
      </c>
      <c r="AR250" s="70" t="s">
        <v>349</v>
      </c>
      <c r="AS250" s="71" t="str">
        <f t="shared" si="427"/>
        <v>KPBS-1.019</v>
      </c>
      <c r="AT250" s="71" t="str">
        <f t="shared" si="427"/>
        <v>B09</v>
      </c>
      <c r="AU250" s="105"/>
      <c r="AV250" s="202">
        <v>0.71208391729999898</v>
      </c>
      <c r="AW250" s="202">
        <v>124.32341291</v>
      </c>
      <c r="AX250" s="106" t="s">
        <v>98</v>
      </c>
      <c r="AY250" s="106" t="s">
        <v>94</v>
      </c>
      <c r="AZ250" s="106" t="s">
        <v>94</v>
      </c>
      <c r="BA250" s="73" t="s">
        <v>77</v>
      </c>
      <c r="BB250" s="106" t="s">
        <v>98</v>
      </c>
      <c r="BC250" s="106">
        <v>31</v>
      </c>
      <c r="BD250" s="106" t="s">
        <v>98</v>
      </c>
      <c r="BE250" s="211" t="str">
        <f t="shared" si="404"/>
        <v>128, POYOWA BESAR,</v>
      </c>
    </row>
    <row r="251" spans="1:57" s="211" customFormat="1" ht="15.75" customHeight="1">
      <c r="A251" s="218"/>
      <c r="B251" s="219"/>
      <c r="C251" s="219"/>
      <c r="D251" s="219"/>
      <c r="E251" s="219"/>
      <c r="F251" s="219"/>
      <c r="G251" s="220"/>
      <c r="H251" s="12">
        <v>14</v>
      </c>
      <c r="I251" s="64" t="str">
        <f t="shared" si="425"/>
        <v>MR.KPBS.P023</v>
      </c>
      <c r="J251" s="64">
        <f t="shared" si="425"/>
        <v>0.71232666950000001</v>
      </c>
      <c r="K251" s="64">
        <f t="shared" si="425"/>
        <v>124.3235379167</v>
      </c>
      <c r="L251" s="64" t="str">
        <f t="shared" si="425"/>
        <v>JL. RAYA POYOWA BESAR</v>
      </c>
      <c r="M251" s="64" t="str">
        <f t="shared" si="425"/>
        <v>SULAWESU UTARA</v>
      </c>
      <c r="N251" s="65" t="s">
        <v>105</v>
      </c>
      <c r="O251" s="66" t="s">
        <v>118</v>
      </c>
      <c r="P251" s="65" t="s">
        <v>119</v>
      </c>
      <c r="Q251" s="66">
        <v>95717</v>
      </c>
      <c r="R251" s="98"/>
      <c r="S251" s="99"/>
      <c r="T251" s="100"/>
      <c r="U251" s="99"/>
      <c r="V251" s="100"/>
      <c r="W251" s="97" t="s">
        <v>105</v>
      </c>
      <c r="X251" s="101"/>
      <c r="Y251" s="64" t="s">
        <v>106</v>
      </c>
      <c r="Z251" s="64" t="str">
        <f t="shared" si="381"/>
        <v>KELURAHAN POYOWA BESAR SATU KOTAMOBAGU</v>
      </c>
      <c r="AA251" s="102"/>
      <c r="AB251" s="102"/>
      <c r="AC251" s="102" t="s">
        <v>70</v>
      </c>
      <c r="AD251" s="64" t="str">
        <f t="shared" ref="AD251" si="442">AD250</f>
        <v>POYOWA BESAR</v>
      </c>
      <c r="AE251" s="103"/>
      <c r="AF251" s="103"/>
      <c r="AG251" s="103"/>
      <c r="AH251" s="103"/>
      <c r="AI251" s="104"/>
      <c r="AJ251" s="11" t="s">
        <v>493</v>
      </c>
      <c r="AK251" s="102" t="s">
        <v>96</v>
      </c>
      <c r="AL251" s="106"/>
      <c r="AM251" s="106"/>
      <c r="AN251" s="106"/>
      <c r="AO251" s="106"/>
      <c r="AP251" s="106"/>
      <c r="AQ251" s="180" t="s">
        <v>97</v>
      </c>
      <c r="AR251" s="70" t="s">
        <v>349</v>
      </c>
      <c r="AS251" s="71" t="str">
        <f t="shared" si="427"/>
        <v>KPBS-1.019</v>
      </c>
      <c r="AT251" s="71" t="str">
        <f t="shared" si="427"/>
        <v>B09</v>
      </c>
      <c r="AU251" s="105"/>
      <c r="AV251" s="202">
        <v>0.71247123729999895</v>
      </c>
      <c r="AW251" s="202">
        <v>124.32335204589999</v>
      </c>
      <c r="AX251" s="106" t="s">
        <v>98</v>
      </c>
      <c r="AY251" s="106" t="s">
        <v>94</v>
      </c>
      <c r="AZ251" s="106" t="s">
        <v>94</v>
      </c>
      <c r="BA251" s="73" t="s">
        <v>77</v>
      </c>
      <c r="BB251" s="106" t="s">
        <v>98</v>
      </c>
      <c r="BC251" s="106">
        <v>31</v>
      </c>
      <c r="BD251" s="106" t="s">
        <v>98</v>
      </c>
      <c r="BE251" s="211" t="str">
        <f t="shared" si="404"/>
        <v>126, POYOWA BESAR,</v>
      </c>
    </row>
    <row r="252" spans="1:57" s="211" customFormat="1" ht="15.75" customHeight="1">
      <c r="A252" s="218"/>
      <c r="B252" s="219"/>
      <c r="C252" s="219"/>
      <c r="D252" s="219"/>
      <c r="E252" s="219"/>
      <c r="F252" s="219"/>
      <c r="G252" s="220"/>
      <c r="H252" s="12">
        <v>15</v>
      </c>
      <c r="I252" s="64" t="str">
        <f t="shared" si="425"/>
        <v>MR.KPBS.P023</v>
      </c>
      <c r="J252" s="64">
        <f t="shared" si="425"/>
        <v>0.71232666950000001</v>
      </c>
      <c r="K252" s="64">
        <f t="shared" si="425"/>
        <v>124.3235379167</v>
      </c>
      <c r="L252" s="64" t="str">
        <f t="shared" si="425"/>
        <v>JL. RAYA POYOWA BESAR</v>
      </c>
      <c r="M252" s="64" t="str">
        <f t="shared" si="425"/>
        <v>SULAWESU UTARA</v>
      </c>
      <c r="N252" s="65" t="s">
        <v>105</v>
      </c>
      <c r="O252" s="66" t="s">
        <v>118</v>
      </c>
      <c r="P252" s="65" t="s">
        <v>119</v>
      </c>
      <c r="Q252" s="66">
        <v>95717</v>
      </c>
      <c r="R252" s="98"/>
      <c r="S252" s="99"/>
      <c r="T252" s="100"/>
      <c r="U252" s="99"/>
      <c r="V252" s="100"/>
      <c r="W252" s="97" t="s">
        <v>105</v>
      </c>
      <c r="X252" s="101"/>
      <c r="Y252" s="64" t="s">
        <v>106</v>
      </c>
      <c r="Z252" s="64" t="str">
        <f t="shared" si="381"/>
        <v>KELURAHAN POYOWA BESAR SATU KOTAMOBAGU</v>
      </c>
      <c r="AA252" s="102"/>
      <c r="AB252" s="102"/>
      <c r="AC252" s="102" t="s">
        <v>70</v>
      </c>
      <c r="AD252" s="64" t="str">
        <f t="shared" ref="AD252" si="443">AD251</f>
        <v>POYOWA BESAR</v>
      </c>
      <c r="AE252" s="103"/>
      <c r="AF252" s="103"/>
      <c r="AG252" s="103"/>
      <c r="AH252" s="103"/>
      <c r="AI252" s="104"/>
      <c r="AJ252" s="11" t="s">
        <v>494</v>
      </c>
      <c r="AK252" s="102" t="s">
        <v>96</v>
      </c>
      <c r="AL252" s="106"/>
      <c r="AM252" s="106"/>
      <c r="AN252" s="106"/>
      <c r="AO252" s="106"/>
      <c r="AP252" s="106"/>
      <c r="AQ252" s="180" t="s">
        <v>97</v>
      </c>
      <c r="AR252" s="70" t="s">
        <v>349</v>
      </c>
      <c r="AS252" s="71" t="str">
        <f t="shared" si="427"/>
        <v>KPBS-1.019</v>
      </c>
      <c r="AT252" s="71" t="str">
        <f t="shared" si="427"/>
        <v>B09</v>
      </c>
      <c r="AU252" s="105"/>
      <c r="AV252" s="202">
        <v>0.71242791800000005</v>
      </c>
      <c r="AW252" s="202">
        <v>124.3232736977</v>
      </c>
      <c r="AX252" s="106" t="s">
        <v>98</v>
      </c>
      <c r="AY252" s="106" t="s">
        <v>94</v>
      </c>
      <c r="AZ252" s="106" t="s">
        <v>94</v>
      </c>
      <c r="BA252" s="73" t="s">
        <v>77</v>
      </c>
      <c r="BB252" s="106" t="s">
        <v>98</v>
      </c>
      <c r="BC252" s="106">
        <v>31</v>
      </c>
      <c r="BD252" s="106" t="s">
        <v>98</v>
      </c>
      <c r="BE252" s="211" t="str">
        <f t="shared" si="404"/>
        <v>125, POYOWA BESAR,</v>
      </c>
    </row>
    <row r="253" spans="1:57" s="211" customFormat="1" ht="15.75" customHeight="1">
      <c r="A253" s="218"/>
      <c r="B253" s="219"/>
      <c r="C253" s="219"/>
      <c r="D253" s="219"/>
      <c r="E253" s="219"/>
      <c r="F253" s="219"/>
      <c r="G253" s="220"/>
      <c r="H253" s="12">
        <v>16</v>
      </c>
      <c r="I253" s="64" t="str">
        <f t="shared" si="425"/>
        <v>MR.KPBS.P023</v>
      </c>
      <c r="J253" s="64">
        <f t="shared" si="425"/>
        <v>0.71232666950000001</v>
      </c>
      <c r="K253" s="64">
        <f t="shared" si="425"/>
        <v>124.3235379167</v>
      </c>
      <c r="L253" s="64" t="str">
        <f t="shared" si="425"/>
        <v>JL. RAYA POYOWA BESAR</v>
      </c>
      <c r="M253" s="64" t="str">
        <f t="shared" si="425"/>
        <v>SULAWESU UTARA</v>
      </c>
      <c r="N253" s="65" t="s">
        <v>105</v>
      </c>
      <c r="O253" s="66" t="s">
        <v>118</v>
      </c>
      <c r="P253" s="65" t="s">
        <v>119</v>
      </c>
      <c r="Q253" s="66">
        <v>95717</v>
      </c>
      <c r="R253" s="98"/>
      <c r="S253" s="99"/>
      <c r="T253" s="100"/>
      <c r="U253" s="99"/>
      <c r="V253" s="100"/>
      <c r="W253" s="97" t="s">
        <v>105</v>
      </c>
      <c r="X253" s="101"/>
      <c r="Y253" s="64" t="s">
        <v>106</v>
      </c>
      <c r="Z253" s="64" t="str">
        <f t="shared" si="381"/>
        <v>KELURAHAN POYOWA BESAR SATU KOTAMOBAGU</v>
      </c>
      <c r="AA253" s="102"/>
      <c r="AB253" s="102"/>
      <c r="AC253" s="102" t="s">
        <v>70</v>
      </c>
      <c r="AD253" s="64" t="str">
        <f t="shared" ref="AD253" si="444">AD252</f>
        <v>POYOWA BESAR</v>
      </c>
      <c r="AE253" s="103"/>
      <c r="AF253" s="103"/>
      <c r="AG253" s="103"/>
      <c r="AH253" s="103"/>
      <c r="AI253" s="104"/>
      <c r="AJ253" s="11" t="s">
        <v>495</v>
      </c>
      <c r="AK253" s="102" t="s">
        <v>96</v>
      </c>
      <c r="AL253" s="106"/>
      <c r="AM253" s="106"/>
      <c r="AN253" s="106"/>
      <c r="AO253" s="106"/>
      <c r="AP253" s="106"/>
      <c r="AQ253" s="180" t="s">
        <v>97</v>
      </c>
      <c r="AR253" s="70" t="s">
        <v>349</v>
      </c>
      <c r="AS253" s="71" t="str">
        <f t="shared" si="427"/>
        <v>KPBS-1.019</v>
      </c>
      <c r="AT253" s="71" t="str">
        <f t="shared" si="427"/>
        <v>B09</v>
      </c>
      <c r="AU253" s="105"/>
      <c r="AV253" s="202">
        <v>0.712384399599999</v>
      </c>
      <c r="AW253" s="202">
        <v>124.3231966167</v>
      </c>
      <c r="AX253" s="106" t="s">
        <v>98</v>
      </c>
      <c r="AY253" s="106" t="s">
        <v>94</v>
      </c>
      <c r="AZ253" s="106" t="s">
        <v>94</v>
      </c>
      <c r="BA253" s="73" t="s">
        <v>77</v>
      </c>
      <c r="BB253" s="106" t="s">
        <v>98</v>
      </c>
      <c r="BC253" s="106">
        <v>31</v>
      </c>
      <c r="BD253" s="106" t="s">
        <v>98</v>
      </c>
      <c r="BE253" s="211" t="str">
        <f t="shared" si="404"/>
        <v>124, POYOWA BESAR,</v>
      </c>
    </row>
    <row r="254" spans="1:57" s="211" customFormat="1" ht="15.75" customHeight="1">
      <c r="A254" s="41" t="s">
        <v>100</v>
      </c>
      <c r="B254" s="41">
        <f>B238+1</f>
        <v>18</v>
      </c>
      <c r="C254" s="32" t="s">
        <v>99</v>
      </c>
      <c r="D254" s="32" t="s">
        <v>101</v>
      </c>
      <c r="E254" s="32">
        <v>2</v>
      </c>
      <c r="F254" s="10">
        <v>21</v>
      </c>
      <c r="G254" s="213" t="s">
        <v>85</v>
      </c>
      <c r="H254" s="42">
        <v>1</v>
      </c>
      <c r="I254" s="82" t="s">
        <v>327</v>
      </c>
      <c r="J254" s="83">
        <v>0.71193877959999996</v>
      </c>
      <c r="K254" s="83">
        <v>124.3222913326</v>
      </c>
      <c r="L254" s="113" t="s">
        <v>116</v>
      </c>
      <c r="M254" s="119" t="str">
        <f t="shared" ref="M254" si="445">M253</f>
        <v>SULAWESU UTARA</v>
      </c>
      <c r="N254" s="14" t="s">
        <v>105</v>
      </c>
      <c r="O254" s="84" t="s">
        <v>118</v>
      </c>
      <c r="P254" s="14" t="s">
        <v>119</v>
      </c>
      <c r="Q254" s="84">
        <v>95717</v>
      </c>
      <c r="R254" s="86"/>
      <c r="S254" s="87"/>
      <c r="T254" s="88"/>
      <c r="U254" s="87"/>
      <c r="V254" s="88"/>
      <c r="W254" s="85" t="s">
        <v>105</v>
      </c>
      <c r="X254" s="83"/>
      <c r="Y254" s="119" t="s">
        <v>106</v>
      </c>
      <c r="Z254" s="119" t="str">
        <f t="shared" si="381"/>
        <v>KELURAHAN POYOWA BESAR SATU KOTAMOBAGU</v>
      </c>
      <c r="AA254" s="89"/>
      <c r="AB254" s="89"/>
      <c r="AC254" s="89" t="s">
        <v>70</v>
      </c>
      <c r="AD254" s="113" t="s">
        <v>119</v>
      </c>
      <c r="AE254" s="90"/>
      <c r="AF254" s="90"/>
      <c r="AG254" s="90"/>
      <c r="AH254" s="90"/>
      <c r="AI254" s="91"/>
      <c r="AJ254" s="115" t="s">
        <v>496</v>
      </c>
      <c r="AK254" s="89" t="s">
        <v>96</v>
      </c>
      <c r="AL254" s="95"/>
      <c r="AM254" s="187"/>
      <c r="AN254" s="187"/>
      <c r="AO254" s="187"/>
      <c r="AP254" s="187"/>
      <c r="AQ254" s="188" t="s">
        <v>97</v>
      </c>
      <c r="AR254" s="92" t="s">
        <v>349</v>
      </c>
      <c r="AS254" s="93" t="str">
        <f>AS238</f>
        <v>KPBS-1.019</v>
      </c>
      <c r="AT254" s="93" t="str">
        <f>G254</f>
        <v>B10</v>
      </c>
      <c r="AU254" s="94"/>
      <c r="AV254" s="203">
        <v>0.7121392245</v>
      </c>
      <c r="AW254" s="203">
        <v>124.3225073341</v>
      </c>
      <c r="AX254" s="95" t="s">
        <v>98</v>
      </c>
      <c r="AY254" s="95" t="s">
        <v>94</v>
      </c>
      <c r="AZ254" s="95" t="s">
        <v>94</v>
      </c>
      <c r="BA254" s="96" t="s">
        <v>77</v>
      </c>
      <c r="BB254" s="95" t="s">
        <v>98</v>
      </c>
      <c r="BC254" s="95">
        <v>31</v>
      </c>
      <c r="BD254" s="95" t="s">
        <v>98</v>
      </c>
      <c r="BE254" s="211" t="str">
        <f t="shared" ref="BE254:BE285" si="446">AJ254&amp;", "&amp;AD254&amp;","&amp;AI254</f>
        <v>117, POYOWA BESAR,</v>
      </c>
    </row>
    <row r="255" spans="1:57" s="211" customFormat="1" ht="15.75" customHeight="1">
      <c r="A255" s="21"/>
      <c r="B255" s="21"/>
      <c r="C255" s="22" t="s">
        <v>99</v>
      </c>
      <c r="D255" s="22" t="s">
        <v>101</v>
      </c>
      <c r="E255" s="32">
        <v>2</v>
      </c>
      <c r="F255" s="6">
        <f>F254+1</f>
        <v>22</v>
      </c>
      <c r="G255" s="213"/>
      <c r="H255" s="12">
        <v>2</v>
      </c>
      <c r="I255" s="64" t="str">
        <f t="shared" ref="I255:M269" si="447">I254</f>
        <v>MR.KPBS.P028</v>
      </c>
      <c r="J255" s="64">
        <f t="shared" si="447"/>
        <v>0.71193877959999996</v>
      </c>
      <c r="K255" s="64">
        <f t="shared" si="447"/>
        <v>124.3222913326</v>
      </c>
      <c r="L255" s="64" t="str">
        <f t="shared" si="447"/>
        <v>JL. RAYA POYOWA BESAR</v>
      </c>
      <c r="M255" s="64" t="str">
        <f t="shared" si="447"/>
        <v>SULAWESU UTARA</v>
      </c>
      <c r="N255" s="65" t="s">
        <v>105</v>
      </c>
      <c r="O255" s="66" t="s">
        <v>118</v>
      </c>
      <c r="P255" s="65" t="s">
        <v>119</v>
      </c>
      <c r="Q255" s="66">
        <v>95717</v>
      </c>
      <c r="R255" s="98"/>
      <c r="S255" s="99"/>
      <c r="T255" s="100"/>
      <c r="U255" s="99"/>
      <c r="V255" s="100"/>
      <c r="W255" s="97" t="s">
        <v>105</v>
      </c>
      <c r="X255" s="101"/>
      <c r="Y255" s="64" t="s">
        <v>106</v>
      </c>
      <c r="Z255" s="64" t="str">
        <f t="shared" si="381"/>
        <v>KELURAHAN POYOWA BESAR SATU KOTAMOBAGU</v>
      </c>
      <c r="AA255" s="102"/>
      <c r="AB255" s="102"/>
      <c r="AC255" s="102" t="s">
        <v>70</v>
      </c>
      <c r="AD255" s="64" t="str">
        <f t="shared" ref="AD255" si="448">AD254</f>
        <v>POYOWA BESAR</v>
      </c>
      <c r="AE255" s="103"/>
      <c r="AF255" s="103"/>
      <c r="AG255" s="103"/>
      <c r="AH255" s="103"/>
      <c r="AI255" s="104"/>
      <c r="AJ255" s="11" t="s">
        <v>497</v>
      </c>
      <c r="AK255" s="102" t="s">
        <v>96</v>
      </c>
      <c r="AL255" s="106"/>
      <c r="AM255" s="192"/>
      <c r="AN255" s="192"/>
      <c r="AO255" s="192"/>
      <c r="AP255" s="192"/>
      <c r="AQ255" s="180" t="s">
        <v>97</v>
      </c>
      <c r="AR255" s="70" t="s">
        <v>349</v>
      </c>
      <c r="AS255" s="71" t="str">
        <f t="shared" ref="AS255:AT269" si="449">AS254</f>
        <v>KPBS-1.019</v>
      </c>
      <c r="AT255" s="71" t="str">
        <f t="shared" si="449"/>
        <v>B10</v>
      </c>
      <c r="AU255" s="105"/>
      <c r="AV255" s="202">
        <v>0.71185739729999897</v>
      </c>
      <c r="AW255" s="202">
        <v>124.32289377950001</v>
      </c>
      <c r="AX255" s="106" t="s">
        <v>98</v>
      </c>
      <c r="AY255" s="106" t="s">
        <v>94</v>
      </c>
      <c r="AZ255" s="106" t="s">
        <v>94</v>
      </c>
      <c r="BA255" s="73" t="s">
        <v>77</v>
      </c>
      <c r="BB255" s="106" t="s">
        <v>98</v>
      </c>
      <c r="BC255" s="106">
        <v>31</v>
      </c>
      <c r="BD255" s="106" t="s">
        <v>98</v>
      </c>
      <c r="BE255" s="211" t="str">
        <f t="shared" si="446"/>
        <v>120, POYOWA BESAR,</v>
      </c>
    </row>
    <row r="256" spans="1:57" s="211" customFormat="1" ht="15.75" customHeight="1">
      <c r="A256" s="215"/>
      <c r="B256" s="216"/>
      <c r="C256" s="216"/>
      <c r="D256" s="216"/>
      <c r="E256" s="216"/>
      <c r="F256" s="216"/>
      <c r="G256" s="217"/>
      <c r="H256" s="12">
        <v>3</v>
      </c>
      <c r="I256" s="64" t="str">
        <f t="shared" si="447"/>
        <v>MR.KPBS.P028</v>
      </c>
      <c r="J256" s="64">
        <f t="shared" si="447"/>
        <v>0.71193877959999996</v>
      </c>
      <c r="K256" s="64">
        <f t="shared" si="447"/>
        <v>124.3222913326</v>
      </c>
      <c r="L256" s="64" t="str">
        <f t="shared" si="447"/>
        <v>JL. RAYA POYOWA BESAR</v>
      </c>
      <c r="M256" s="64" t="str">
        <f t="shared" si="447"/>
        <v>SULAWESU UTARA</v>
      </c>
      <c r="N256" s="65" t="s">
        <v>105</v>
      </c>
      <c r="O256" s="66" t="s">
        <v>118</v>
      </c>
      <c r="P256" s="65" t="s">
        <v>119</v>
      </c>
      <c r="Q256" s="66">
        <v>95717</v>
      </c>
      <c r="R256" s="98"/>
      <c r="S256" s="99"/>
      <c r="T256" s="100"/>
      <c r="U256" s="99"/>
      <c r="V256" s="100"/>
      <c r="W256" s="97" t="s">
        <v>105</v>
      </c>
      <c r="X256" s="101"/>
      <c r="Y256" s="64" t="s">
        <v>106</v>
      </c>
      <c r="Z256" s="64" t="str">
        <f t="shared" si="381"/>
        <v>KELURAHAN POYOWA BESAR SATU KOTAMOBAGU</v>
      </c>
      <c r="AA256" s="102"/>
      <c r="AB256" s="102"/>
      <c r="AC256" s="102" t="s">
        <v>70</v>
      </c>
      <c r="AD256" s="64" t="str">
        <f t="shared" ref="AD256:AD264" si="450">AD255</f>
        <v>POYOWA BESAR</v>
      </c>
      <c r="AE256" s="103"/>
      <c r="AF256" s="103"/>
      <c r="AG256" s="103"/>
      <c r="AH256" s="103"/>
      <c r="AI256" s="104"/>
      <c r="AJ256" s="11" t="s">
        <v>498</v>
      </c>
      <c r="AK256" s="102" t="s">
        <v>96</v>
      </c>
      <c r="AL256" s="106"/>
      <c r="AM256" s="192"/>
      <c r="AN256" s="192"/>
      <c r="AO256" s="192"/>
      <c r="AP256" s="192"/>
      <c r="AQ256" s="180" t="s">
        <v>97</v>
      </c>
      <c r="AR256" s="70" t="s">
        <v>349</v>
      </c>
      <c r="AS256" s="71" t="str">
        <f t="shared" si="449"/>
        <v>KPBS-1.019</v>
      </c>
      <c r="AT256" s="71" t="str">
        <f t="shared" si="449"/>
        <v>B10</v>
      </c>
      <c r="AU256" s="105"/>
      <c r="AV256" s="202">
        <v>0.71193059670000003</v>
      </c>
      <c r="AW256" s="202">
        <v>124.32279100869999</v>
      </c>
      <c r="AX256" s="106" t="s">
        <v>98</v>
      </c>
      <c r="AY256" s="106" t="s">
        <v>94</v>
      </c>
      <c r="AZ256" s="106" t="s">
        <v>94</v>
      </c>
      <c r="BA256" s="73" t="s">
        <v>77</v>
      </c>
      <c r="BB256" s="106" t="s">
        <v>98</v>
      </c>
      <c r="BC256" s="106">
        <v>31</v>
      </c>
      <c r="BD256" s="106" t="s">
        <v>98</v>
      </c>
      <c r="BE256" s="211" t="str">
        <f t="shared" si="446"/>
        <v>118, POYOWA BESAR,</v>
      </c>
    </row>
    <row r="257" spans="1:57" s="211" customFormat="1" ht="15.75" customHeight="1">
      <c r="A257" s="218"/>
      <c r="B257" s="219"/>
      <c r="C257" s="219"/>
      <c r="D257" s="219"/>
      <c r="E257" s="219"/>
      <c r="F257" s="219"/>
      <c r="G257" s="220"/>
      <c r="H257" s="12">
        <v>4</v>
      </c>
      <c r="I257" s="64" t="str">
        <f t="shared" ref="I257:M257" si="451">I256</f>
        <v>MR.KPBS.P028</v>
      </c>
      <c r="J257" s="64">
        <f t="shared" si="451"/>
        <v>0.71193877959999996</v>
      </c>
      <c r="K257" s="64">
        <f t="shared" si="451"/>
        <v>124.3222913326</v>
      </c>
      <c r="L257" s="64" t="str">
        <f t="shared" si="451"/>
        <v>JL. RAYA POYOWA BESAR</v>
      </c>
      <c r="M257" s="64" t="str">
        <f t="shared" si="451"/>
        <v>SULAWESU UTARA</v>
      </c>
      <c r="N257" s="65" t="s">
        <v>105</v>
      </c>
      <c r="O257" s="66" t="s">
        <v>118</v>
      </c>
      <c r="P257" s="65" t="s">
        <v>119</v>
      </c>
      <c r="Q257" s="66">
        <v>95717</v>
      </c>
      <c r="R257" s="98"/>
      <c r="S257" s="99"/>
      <c r="T257" s="100"/>
      <c r="U257" s="99"/>
      <c r="V257" s="100"/>
      <c r="W257" s="97" t="s">
        <v>105</v>
      </c>
      <c r="X257" s="101"/>
      <c r="Y257" s="64" t="s">
        <v>106</v>
      </c>
      <c r="Z257" s="64" t="str">
        <f t="shared" si="381"/>
        <v>KELURAHAN POYOWA BESAR SATU KOTAMOBAGU</v>
      </c>
      <c r="AA257" s="102"/>
      <c r="AB257" s="102"/>
      <c r="AC257" s="102" t="s">
        <v>70</v>
      </c>
      <c r="AD257" s="64" t="str">
        <f t="shared" si="450"/>
        <v>POYOWA BESAR</v>
      </c>
      <c r="AE257" s="103"/>
      <c r="AF257" s="103"/>
      <c r="AG257" s="103"/>
      <c r="AH257" s="103"/>
      <c r="AI257" s="104"/>
      <c r="AJ257" s="11" t="s">
        <v>499</v>
      </c>
      <c r="AK257" s="102" t="s">
        <v>96</v>
      </c>
      <c r="AL257" s="106"/>
      <c r="AM257" s="192"/>
      <c r="AN257" s="192"/>
      <c r="AO257" s="192"/>
      <c r="AP257" s="192"/>
      <c r="AQ257" s="180" t="s">
        <v>97</v>
      </c>
      <c r="AR257" s="70" t="s">
        <v>349</v>
      </c>
      <c r="AS257" s="71" t="str">
        <f t="shared" ref="AS257:AT264" si="452">AS256</f>
        <v>KPBS-1.019</v>
      </c>
      <c r="AT257" s="71" t="str">
        <f t="shared" si="452"/>
        <v>B10</v>
      </c>
      <c r="AU257" s="105"/>
      <c r="AV257" s="202">
        <v>0.71219868720000001</v>
      </c>
      <c r="AW257" s="202">
        <v>124.3226748835</v>
      </c>
      <c r="AX257" s="106" t="s">
        <v>98</v>
      </c>
      <c r="AY257" s="106" t="s">
        <v>94</v>
      </c>
      <c r="AZ257" s="106" t="s">
        <v>94</v>
      </c>
      <c r="BA257" s="73" t="s">
        <v>77</v>
      </c>
      <c r="BB257" s="106" t="s">
        <v>98</v>
      </c>
      <c r="BC257" s="106">
        <v>31</v>
      </c>
      <c r="BD257" s="106" t="s">
        <v>98</v>
      </c>
      <c r="BE257" s="211" t="str">
        <f t="shared" ref="BE257:BE264" si="453">AJ257&amp;", "&amp;AD257&amp;","&amp;AI257</f>
        <v>119, POYOWA BESAR,</v>
      </c>
    </row>
    <row r="258" spans="1:57" s="211" customFormat="1" ht="15.75" customHeight="1">
      <c r="A258" s="218"/>
      <c r="B258" s="219"/>
      <c r="C258" s="219"/>
      <c r="D258" s="219"/>
      <c r="E258" s="219"/>
      <c r="F258" s="219"/>
      <c r="G258" s="220"/>
      <c r="H258" s="12">
        <v>5</v>
      </c>
      <c r="I258" s="64" t="str">
        <f t="shared" ref="I258:M258" si="454">I257</f>
        <v>MR.KPBS.P028</v>
      </c>
      <c r="J258" s="64">
        <f t="shared" si="454"/>
        <v>0.71193877959999996</v>
      </c>
      <c r="K258" s="64">
        <f t="shared" si="454"/>
        <v>124.3222913326</v>
      </c>
      <c r="L258" s="64" t="str">
        <f t="shared" si="454"/>
        <v>JL. RAYA POYOWA BESAR</v>
      </c>
      <c r="M258" s="64" t="str">
        <f t="shared" si="454"/>
        <v>SULAWESU UTARA</v>
      </c>
      <c r="N258" s="65" t="s">
        <v>105</v>
      </c>
      <c r="O258" s="66" t="s">
        <v>118</v>
      </c>
      <c r="P258" s="65" t="s">
        <v>119</v>
      </c>
      <c r="Q258" s="66">
        <v>95717</v>
      </c>
      <c r="R258" s="98"/>
      <c r="S258" s="99"/>
      <c r="T258" s="100"/>
      <c r="U258" s="99"/>
      <c r="V258" s="100"/>
      <c r="W258" s="97" t="s">
        <v>105</v>
      </c>
      <c r="X258" s="101"/>
      <c r="Y258" s="64" t="s">
        <v>106</v>
      </c>
      <c r="Z258" s="64" t="str">
        <f t="shared" si="381"/>
        <v>KELURAHAN POYOWA BESAR SATU KOTAMOBAGU</v>
      </c>
      <c r="AA258" s="102"/>
      <c r="AB258" s="102"/>
      <c r="AC258" s="102" t="s">
        <v>70</v>
      </c>
      <c r="AD258" s="64" t="str">
        <f t="shared" si="450"/>
        <v>POYOWA BESAR</v>
      </c>
      <c r="AE258" s="103"/>
      <c r="AF258" s="103"/>
      <c r="AG258" s="103"/>
      <c r="AH258" s="103"/>
      <c r="AI258" s="104"/>
      <c r="AJ258" s="11" t="s">
        <v>500</v>
      </c>
      <c r="AK258" s="102" t="s">
        <v>96</v>
      </c>
      <c r="AL258" s="106"/>
      <c r="AM258" s="192"/>
      <c r="AN258" s="192"/>
      <c r="AO258" s="192"/>
      <c r="AP258" s="192"/>
      <c r="AQ258" s="180" t="s">
        <v>97</v>
      </c>
      <c r="AR258" s="70" t="s">
        <v>349</v>
      </c>
      <c r="AS258" s="71" t="str">
        <f t="shared" si="452"/>
        <v>KPBS-1.019</v>
      </c>
      <c r="AT258" s="71" t="str">
        <f t="shared" si="452"/>
        <v>B10</v>
      </c>
      <c r="AU258" s="105"/>
      <c r="AV258" s="202">
        <v>0.71192106499999996</v>
      </c>
      <c r="AW258" s="202">
        <v>124.322686925</v>
      </c>
      <c r="AX258" s="106" t="s">
        <v>98</v>
      </c>
      <c r="AY258" s="106" t="s">
        <v>94</v>
      </c>
      <c r="AZ258" s="106" t="s">
        <v>94</v>
      </c>
      <c r="BA258" s="73" t="s">
        <v>77</v>
      </c>
      <c r="BB258" s="106" t="s">
        <v>98</v>
      </c>
      <c r="BC258" s="106">
        <v>31</v>
      </c>
      <c r="BD258" s="106" t="s">
        <v>98</v>
      </c>
      <c r="BE258" s="211" t="str">
        <f t="shared" si="453"/>
        <v>116, POYOWA BESAR,</v>
      </c>
    </row>
    <row r="259" spans="1:57" s="211" customFormat="1" ht="15.75" customHeight="1">
      <c r="A259" s="218"/>
      <c r="B259" s="219"/>
      <c r="C259" s="219"/>
      <c r="D259" s="219"/>
      <c r="E259" s="219"/>
      <c r="F259" s="219"/>
      <c r="G259" s="220"/>
      <c r="H259" s="12">
        <v>6</v>
      </c>
      <c r="I259" s="64" t="str">
        <f t="shared" ref="I259:M259" si="455">I258</f>
        <v>MR.KPBS.P028</v>
      </c>
      <c r="J259" s="64">
        <f t="shared" si="455"/>
        <v>0.71193877959999996</v>
      </c>
      <c r="K259" s="64">
        <f t="shared" si="455"/>
        <v>124.3222913326</v>
      </c>
      <c r="L259" s="64" t="str">
        <f t="shared" si="455"/>
        <v>JL. RAYA POYOWA BESAR</v>
      </c>
      <c r="M259" s="64" t="str">
        <f t="shared" si="455"/>
        <v>SULAWESU UTARA</v>
      </c>
      <c r="N259" s="65" t="s">
        <v>105</v>
      </c>
      <c r="O259" s="66" t="s">
        <v>118</v>
      </c>
      <c r="P259" s="65" t="s">
        <v>119</v>
      </c>
      <c r="Q259" s="66">
        <v>95717</v>
      </c>
      <c r="R259" s="98"/>
      <c r="S259" s="99"/>
      <c r="T259" s="100"/>
      <c r="U259" s="99"/>
      <c r="V259" s="100"/>
      <c r="W259" s="97" t="s">
        <v>105</v>
      </c>
      <c r="X259" s="101"/>
      <c r="Y259" s="64" t="s">
        <v>106</v>
      </c>
      <c r="Z259" s="64" t="str">
        <f t="shared" si="381"/>
        <v>KELURAHAN POYOWA BESAR SATU KOTAMOBAGU</v>
      </c>
      <c r="AA259" s="102"/>
      <c r="AB259" s="102"/>
      <c r="AC259" s="102" t="s">
        <v>70</v>
      </c>
      <c r="AD259" s="64" t="str">
        <f t="shared" si="450"/>
        <v>POYOWA BESAR</v>
      </c>
      <c r="AE259" s="103"/>
      <c r="AF259" s="103"/>
      <c r="AG259" s="103"/>
      <c r="AH259" s="103"/>
      <c r="AI259" s="104"/>
      <c r="AJ259" s="11" t="s">
        <v>501</v>
      </c>
      <c r="AK259" s="102" t="s">
        <v>96</v>
      </c>
      <c r="AL259" s="106"/>
      <c r="AM259" s="192"/>
      <c r="AN259" s="192"/>
      <c r="AO259" s="192"/>
      <c r="AP259" s="192"/>
      <c r="AQ259" s="180" t="s">
        <v>97</v>
      </c>
      <c r="AR259" s="70" t="s">
        <v>349</v>
      </c>
      <c r="AS259" s="71" t="str">
        <f t="shared" si="452"/>
        <v>KPBS-1.019</v>
      </c>
      <c r="AT259" s="71" t="str">
        <f t="shared" si="452"/>
        <v>B10</v>
      </c>
      <c r="AU259" s="105"/>
      <c r="AV259" s="202">
        <v>0.71186826960000005</v>
      </c>
      <c r="AW259" s="202">
        <v>124.3225707536</v>
      </c>
      <c r="AX259" s="106" t="s">
        <v>98</v>
      </c>
      <c r="AY259" s="106" t="s">
        <v>94</v>
      </c>
      <c r="AZ259" s="106" t="s">
        <v>94</v>
      </c>
      <c r="BA259" s="73" t="s">
        <v>77</v>
      </c>
      <c r="BB259" s="106" t="s">
        <v>98</v>
      </c>
      <c r="BC259" s="106">
        <v>31</v>
      </c>
      <c r="BD259" s="106" t="s">
        <v>98</v>
      </c>
      <c r="BE259" s="211" t="str">
        <f t="shared" si="453"/>
        <v>115, POYOWA BESAR,</v>
      </c>
    </row>
    <row r="260" spans="1:57" s="211" customFormat="1" ht="15.75" customHeight="1">
      <c r="A260" s="218"/>
      <c r="B260" s="219"/>
      <c r="C260" s="219"/>
      <c r="D260" s="219"/>
      <c r="E260" s="219"/>
      <c r="F260" s="219"/>
      <c r="G260" s="220"/>
      <c r="H260" s="12">
        <v>7</v>
      </c>
      <c r="I260" s="64" t="str">
        <f t="shared" ref="I260:M260" si="456">I259</f>
        <v>MR.KPBS.P028</v>
      </c>
      <c r="J260" s="64">
        <f t="shared" si="456"/>
        <v>0.71193877959999996</v>
      </c>
      <c r="K260" s="64">
        <f t="shared" si="456"/>
        <v>124.3222913326</v>
      </c>
      <c r="L260" s="64" t="str">
        <f t="shared" si="456"/>
        <v>JL. RAYA POYOWA BESAR</v>
      </c>
      <c r="M260" s="64" t="str">
        <f t="shared" si="456"/>
        <v>SULAWESU UTARA</v>
      </c>
      <c r="N260" s="65" t="s">
        <v>105</v>
      </c>
      <c r="O260" s="66" t="s">
        <v>118</v>
      </c>
      <c r="P260" s="65" t="s">
        <v>119</v>
      </c>
      <c r="Q260" s="66">
        <v>95717</v>
      </c>
      <c r="R260" s="98"/>
      <c r="S260" s="99"/>
      <c r="T260" s="100"/>
      <c r="U260" s="99"/>
      <c r="V260" s="100"/>
      <c r="W260" s="97" t="s">
        <v>105</v>
      </c>
      <c r="X260" s="101"/>
      <c r="Y260" s="64" t="s">
        <v>106</v>
      </c>
      <c r="Z260" s="64" t="str">
        <f t="shared" si="381"/>
        <v>KELURAHAN POYOWA BESAR SATU KOTAMOBAGU</v>
      </c>
      <c r="AA260" s="102"/>
      <c r="AB260" s="102"/>
      <c r="AC260" s="102" t="s">
        <v>70</v>
      </c>
      <c r="AD260" s="64" t="str">
        <f t="shared" si="450"/>
        <v>POYOWA BESAR</v>
      </c>
      <c r="AE260" s="103"/>
      <c r="AF260" s="103"/>
      <c r="AG260" s="103"/>
      <c r="AH260" s="103"/>
      <c r="AI260" s="104"/>
      <c r="AJ260" s="11" t="s">
        <v>502</v>
      </c>
      <c r="AK260" s="102" t="s">
        <v>96</v>
      </c>
      <c r="AL260" s="106"/>
      <c r="AM260" s="192"/>
      <c r="AN260" s="192"/>
      <c r="AO260" s="192"/>
      <c r="AP260" s="192"/>
      <c r="AQ260" s="180" t="s">
        <v>97</v>
      </c>
      <c r="AR260" s="70" t="s">
        <v>349</v>
      </c>
      <c r="AS260" s="71" t="str">
        <f t="shared" si="452"/>
        <v>KPBS-1.019</v>
      </c>
      <c r="AT260" s="71" t="str">
        <f t="shared" si="452"/>
        <v>B10</v>
      </c>
      <c r="AU260" s="105"/>
      <c r="AV260" s="202">
        <v>0.71185477009999998</v>
      </c>
      <c r="AW260" s="202">
        <v>124.3224841406</v>
      </c>
      <c r="AX260" s="106" t="s">
        <v>98</v>
      </c>
      <c r="AY260" s="106" t="s">
        <v>94</v>
      </c>
      <c r="AZ260" s="106" t="s">
        <v>94</v>
      </c>
      <c r="BA260" s="73" t="s">
        <v>77</v>
      </c>
      <c r="BB260" s="106" t="s">
        <v>98</v>
      </c>
      <c r="BC260" s="106">
        <v>31</v>
      </c>
      <c r="BD260" s="106" t="s">
        <v>98</v>
      </c>
      <c r="BE260" s="211" t="str">
        <f t="shared" si="453"/>
        <v>114, POYOWA BESAR,</v>
      </c>
    </row>
    <row r="261" spans="1:57" s="211" customFormat="1" ht="15.75" customHeight="1">
      <c r="A261" s="218"/>
      <c r="B261" s="219"/>
      <c r="C261" s="219"/>
      <c r="D261" s="219"/>
      <c r="E261" s="219"/>
      <c r="F261" s="219"/>
      <c r="G261" s="220"/>
      <c r="H261" s="12">
        <v>8</v>
      </c>
      <c r="I261" s="64" t="str">
        <f t="shared" ref="I261:M261" si="457">I260</f>
        <v>MR.KPBS.P028</v>
      </c>
      <c r="J261" s="64">
        <f t="shared" si="457"/>
        <v>0.71193877959999996</v>
      </c>
      <c r="K261" s="64">
        <f t="shared" si="457"/>
        <v>124.3222913326</v>
      </c>
      <c r="L261" s="64" t="str">
        <f t="shared" si="457"/>
        <v>JL. RAYA POYOWA BESAR</v>
      </c>
      <c r="M261" s="64" t="str">
        <f t="shared" si="457"/>
        <v>SULAWESU UTARA</v>
      </c>
      <c r="N261" s="65" t="s">
        <v>105</v>
      </c>
      <c r="O261" s="66" t="s">
        <v>118</v>
      </c>
      <c r="P261" s="65" t="s">
        <v>119</v>
      </c>
      <c r="Q261" s="66">
        <v>95717</v>
      </c>
      <c r="R261" s="98"/>
      <c r="S261" s="99"/>
      <c r="T261" s="100"/>
      <c r="U261" s="99"/>
      <c r="V261" s="100"/>
      <c r="W261" s="97" t="s">
        <v>105</v>
      </c>
      <c r="X261" s="101"/>
      <c r="Y261" s="64" t="s">
        <v>106</v>
      </c>
      <c r="Z261" s="64" t="str">
        <f t="shared" si="381"/>
        <v>KELURAHAN POYOWA BESAR SATU KOTAMOBAGU</v>
      </c>
      <c r="AA261" s="102"/>
      <c r="AB261" s="102"/>
      <c r="AC261" s="102" t="s">
        <v>70</v>
      </c>
      <c r="AD261" s="64" t="str">
        <f t="shared" si="450"/>
        <v>POYOWA BESAR</v>
      </c>
      <c r="AE261" s="103"/>
      <c r="AF261" s="103"/>
      <c r="AG261" s="103"/>
      <c r="AH261" s="103"/>
      <c r="AI261" s="104"/>
      <c r="AJ261" s="11" t="s">
        <v>503</v>
      </c>
      <c r="AK261" s="102" t="s">
        <v>96</v>
      </c>
      <c r="AL261" s="106"/>
      <c r="AM261" s="192"/>
      <c r="AN261" s="192"/>
      <c r="AO261" s="192"/>
      <c r="AP261" s="192"/>
      <c r="AQ261" s="180" t="s">
        <v>97</v>
      </c>
      <c r="AR261" s="70" t="s">
        <v>349</v>
      </c>
      <c r="AS261" s="71" t="str">
        <f t="shared" si="452"/>
        <v>KPBS-1.019</v>
      </c>
      <c r="AT261" s="71" t="str">
        <f t="shared" si="452"/>
        <v>B10</v>
      </c>
      <c r="AU261" s="105"/>
      <c r="AV261" s="202">
        <v>0.7120645981</v>
      </c>
      <c r="AW261" s="202">
        <v>124.3222747618</v>
      </c>
      <c r="AX261" s="106" t="s">
        <v>98</v>
      </c>
      <c r="AY261" s="106" t="s">
        <v>94</v>
      </c>
      <c r="AZ261" s="106" t="s">
        <v>94</v>
      </c>
      <c r="BA261" s="73" t="s">
        <v>77</v>
      </c>
      <c r="BB261" s="106" t="s">
        <v>98</v>
      </c>
      <c r="BC261" s="106">
        <v>31</v>
      </c>
      <c r="BD261" s="106" t="s">
        <v>98</v>
      </c>
      <c r="BE261" s="211" t="str">
        <f t="shared" si="453"/>
        <v>112, POYOWA BESAR,</v>
      </c>
    </row>
    <row r="262" spans="1:57" s="211" customFormat="1" ht="15.75" customHeight="1">
      <c r="A262" s="218"/>
      <c r="B262" s="219"/>
      <c r="C262" s="219"/>
      <c r="D262" s="219"/>
      <c r="E262" s="219"/>
      <c r="F262" s="219"/>
      <c r="G262" s="220"/>
      <c r="H262" s="12">
        <v>9</v>
      </c>
      <c r="I262" s="64" t="str">
        <f t="shared" ref="I262:M262" si="458">I261</f>
        <v>MR.KPBS.P028</v>
      </c>
      <c r="J262" s="64">
        <f t="shared" si="458"/>
        <v>0.71193877959999996</v>
      </c>
      <c r="K262" s="64">
        <f t="shared" si="458"/>
        <v>124.3222913326</v>
      </c>
      <c r="L262" s="64" t="str">
        <f t="shared" si="458"/>
        <v>JL. RAYA POYOWA BESAR</v>
      </c>
      <c r="M262" s="64" t="str">
        <f t="shared" si="458"/>
        <v>SULAWESU UTARA</v>
      </c>
      <c r="N262" s="65" t="s">
        <v>105</v>
      </c>
      <c r="O262" s="66" t="s">
        <v>118</v>
      </c>
      <c r="P262" s="65" t="s">
        <v>119</v>
      </c>
      <c r="Q262" s="66">
        <v>95717</v>
      </c>
      <c r="R262" s="98"/>
      <c r="S262" s="99"/>
      <c r="T262" s="100"/>
      <c r="U262" s="99"/>
      <c r="V262" s="100"/>
      <c r="W262" s="97" t="s">
        <v>105</v>
      </c>
      <c r="X262" s="101"/>
      <c r="Y262" s="64" t="s">
        <v>106</v>
      </c>
      <c r="Z262" s="64" t="str">
        <f t="shared" si="381"/>
        <v>KELURAHAN POYOWA BESAR SATU KOTAMOBAGU</v>
      </c>
      <c r="AA262" s="102"/>
      <c r="AB262" s="102"/>
      <c r="AC262" s="102" t="s">
        <v>70</v>
      </c>
      <c r="AD262" s="64" t="str">
        <f t="shared" si="450"/>
        <v>POYOWA BESAR</v>
      </c>
      <c r="AE262" s="103"/>
      <c r="AF262" s="103"/>
      <c r="AG262" s="103"/>
      <c r="AH262" s="103"/>
      <c r="AI262" s="104"/>
      <c r="AJ262" s="11" t="s">
        <v>504</v>
      </c>
      <c r="AK262" s="102" t="s">
        <v>96</v>
      </c>
      <c r="AL262" s="106"/>
      <c r="AM262" s="192"/>
      <c r="AN262" s="192"/>
      <c r="AO262" s="192"/>
      <c r="AP262" s="192"/>
      <c r="AQ262" s="180" t="s">
        <v>97</v>
      </c>
      <c r="AR262" s="70" t="s">
        <v>349</v>
      </c>
      <c r="AS262" s="71" t="str">
        <f t="shared" si="452"/>
        <v>KPBS-1.019</v>
      </c>
      <c r="AT262" s="71" t="str">
        <f t="shared" si="452"/>
        <v>B10</v>
      </c>
      <c r="AU262" s="105"/>
      <c r="AV262" s="202">
        <v>0.71181129089999895</v>
      </c>
      <c r="AW262" s="202">
        <v>124.3223679692</v>
      </c>
      <c r="AX262" s="106" t="s">
        <v>98</v>
      </c>
      <c r="AY262" s="106" t="s">
        <v>94</v>
      </c>
      <c r="AZ262" s="106" t="s">
        <v>94</v>
      </c>
      <c r="BA262" s="73" t="s">
        <v>77</v>
      </c>
      <c r="BB262" s="106" t="s">
        <v>98</v>
      </c>
      <c r="BC262" s="106">
        <v>31</v>
      </c>
      <c r="BD262" s="106" t="s">
        <v>98</v>
      </c>
      <c r="BE262" s="211" t="str">
        <f t="shared" si="453"/>
        <v>113, POYOWA BESAR,</v>
      </c>
    </row>
    <row r="263" spans="1:57" s="211" customFormat="1" ht="15.75" customHeight="1">
      <c r="A263" s="218"/>
      <c r="B263" s="219"/>
      <c r="C263" s="219"/>
      <c r="D263" s="219"/>
      <c r="E263" s="219"/>
      <c r="F263" s="219"/>
      <c r="G263" s="220"/>
      <c r="H263" s="12">
        <v>10</v>
      </c>
      <c r="I263" s="64" t="str">
        <f t="shared" ref="I263:M263" si="459">I262</f>
        <v>MR.KPBS.P028</v>
      </c>
      <c r="J263" s="64">
        <f t="shared" si="459"/>
        <v>0.71193877959999996</v>
      </c>
      <c r="K263" s="64">
        <f t="shared" si="459"/>
        <v>124.3222913326</v>
      </c>
      <c r="L263" s="64" t="str">
        <f t="shared" si="459"/>
        <v>JL. RAYA POYOWA BESAR</v>
      </c>
      <c r="M263" s="64" t="str">
        <f t="shared" si="459"/>
        <v>SULAWESU UTARA</v>
      </c>
      <c r="N263" s="65" t="s">
        <v>105</v>
      </c>
      <c r="O263" s="66" t="s">
        <v>118</v>
      </c>
      <c r="P263" s="65" t="s">
        <v>119</v>
      </c>
      <c r="Q263" s="66">
        <v>95717</v>
      </c>
      <c r="R263" s="98"/>
      <c r="S263" s="99"/>
      <c r="T263" s="100"/>
      <c r="U263" s="99"/>
      <c r="V263" s="100"/>
      <c r="W263" s="97" t="s">
        <v>105</v>
      </c>
      <c r="X263" s="101"/>
      <c r="Y263" s="64" t="s">
        <v>106</v>
      </c>
      <c r="Z263" s="64" t="str">
        <f t="shared" si="381"/>
        <v>KELURAHAN POYOWA BESAR SATU KOTAMOBAGU</v>
      </c>
      <c r="AA263" s="102"/>
      <c r="AB263" s="102"/>
      <c r="AC263" s="102" t="s">
        <v>70</v>
      </c>
      <c r="AD263" s="64" t="str">
        <f t="shared" si="450"/>
        <v>POYOWA BESAR</v>
      </c>
      <c r="AE263" s="103"/>
      <c r="AF263" s="103"/>
      <c r="AG263" s="103"/>
      <c r="AH263" s="103"/>
      <c r="AI263" s="104"/>
      <c r="AJ263" s="11" t="s">
        <v>505</v>
      </c>
      <c r="AK263" s="102" t="s">
        <v>96</v>
      </c>
      <c r="AL263" s="106"/>
      <c r="AM263" s="192"/>
      <c r="AN263" s="192"/>
      <c r="AO263" s="192"/>
      <c r="AP263" s="192"/>
      <c r="AQ263" s="180" t="s">
        <v>97</v>
      </c>
      <c r="AR263" s="70" t="s">
        <v>349</v>
      </c>
      <c r="AS263" s="71" t="str">
        <f t="shared" si="452"/>
        <v>KPBS-1.019</v>
      </c>
      <c r="AT263" s="71" t="str">
        <f t="shared" si="452"/>
        <v>B10</v>
      </c>
      <c r="AU263" s="105"/>
      <c r="AV263" s="202">
        <v>0.71179385220000002</v>
      </c>
      <c r="AW263" s="202">
        <v>124.3223031294</v>
      </c>
      <c r="AX263" s="106" t="s">
        <v>98</v>
      </c>
      <c r="AY263" s="106" t="s">
        <v>94</v>
      </c>
      <c r="AZ263" s="106" t="s">
        <v>94</v>
      </c>
      <c r="BA263" s="73" t="s">
        <v>77</v>
      </c>
      <c r="BB263" s="106" t="s">
        <v>98</v>
      </c>
      <c r="BC263" s="106">
        <v>31</v>
      </c>
      <c r="BD263" s="106" t="s">
        <v>98</v>
      </c>
      <c r="BE263" s="211" t="str">
        <f t="shared" si="453"/>
        <v>111, POYOWA BESAR,</v>
      </c>
    </row>
    <row r="264" spans="1:57" s="211" customFormat="1" ht="15.75" customHeight="1">
      <c r="A264" s="218"/>
      <c r="B264" s="219"/>
      <c r="C264" s="219"/>
      <c r="D264" s="219"/>
      <c r="E264" s="219"/>
      <c r="F264" s="219"/>
      <c r="G264" s="220"/>
      <c r="H264" s="12">
        <v>11</v>
      </c>
      <c r="I264" s="64" t="str">
        <f t="shared" ref="I264:M264" si="460">I263</f>
        <v>MR.KPBS.P028</v>
      </c>
      <c r="J264" s="64">
        <f t="shared" si="460"/>
        <v>0.71193877959999996</v>
      </c>
      <c r="K264" s="64">
        <f t="shared" si="460"/>
        <v>124.3222913326</v>
      </c>
      <c r="L264" s="64" t="str">
        <f t="shared" si="460"/>
        <v>JL. RAYA POYOWA BESAR</v>
      </c>
      <c r="M264" s="64" t="str">
        <f t="shared" si="460"/>
        <v>SULAWESU UTARA</v>
      </c>
      <c r="N264" s="65" t="s">
        <v>105</v>
      </c>
      <c r="O264" s="66" t="s">
        <v>118</v>
      </c>
      <c r="P264" s="65" t="s">
        <v>119</v>
      </c>
      <c r="Q264" s="66">
        <v>95717</v>
      </c>
      <c r="R264" s="98"/>
      <c r="S264" s="99"/>
      <c r="T264" s="100"/>
      <c r="U264" s="99"/>
      <c r="V264" s="100"/>
      <c r="W264" s="97" t="s">
        <v>105</v>
      </c>
      <c r="X264" s="101"/>
      <c r="Y264" s="64" t="s">
        <v>106</v>
      </c>
      <c r="Z264" s="64" t="str">
        <f t="shared" si="381"/>
        <v>KELURAHAN POYOWA BESAR SATU KOTAMOBAGU</v>
      </c>
      <c r="AA264" s="102"/>
      <c r="AB264" s="102"/>
      <c r="AC264" s="102" t="s">
        <v>70</v>
      </c>
      <c r="AD264" s="64" t="str">
        <f t="shared" si="450"/>
        <v>POYOWA BESAR</v>
      </c>
      <c r="AE264" s="103"/>
      <c r="AF264" s="103"/>
      <c r="AG264" s="103"/>
      <c r="AH264" s="103"/>
      <c r="AI264" s="104"/>
      <c r="AJ264" s="11" t="s">
        <v>506</v>
      </c>
      <c r="AK264" s="102" t="s">
        <v>96</v>
      </c>
      <c r="AL264" s="106"/>
      <c r="AM264" s="192"/>
      <c r="AN264" s="192"/>
      <c r="AO264" s="192"/>
      <c r="AP264" s="192"/>
      <c r="AQ264" s="180" t="s">
        <v>97</v>
      </c>
      <c r="AR264" s="70" t="s">
        <v>349</v>
      </c>
      <c r="AS264" s="71" t="str">
        <f t="shared" si="452"/>
        <v>KPBS-1.019</v>
      </c>
      <c r="AT264" s="71" t="str">
        <f t="shared" si="452"/>
        <v>B10</v>
      </c>
      <c r="AU264" s="105"/>
      <c r="AV264" s="202">
        <v>0.71200894150000005</v>
      </c>
      <c r="AW264" s="202">
        <v>124.322120767</v>
      </c>
      <c r="AX264" s="106" t="s">
        <v>98</v>
      </c>
      <c r="AY264" s="106" t="s">
        <v>94</v>
      </c>
      <c r="AZ264" s="106" t="s">
        <v>94</v>
      </c>
      <c r="BA264" s="73" t="s">
        <v>77</v>
      </c>
      <c r="BB264" s="106" t="s">
        <v>98</v>
      </c>
      <c r="BC264" s="106">
        <v>31</v>
      </c>
      <c r="BD264" s="106" t="s">
        <v>98</v>
      </c>
      <c r="BE264" s="211" t="str">
        <f t="shared" si="453"/>
        <v>109, POYOWA BESAR,</v>
      </c>
    </row>
    <row r="265" spans="1:57" s="211" customFormat="1" ht="15.75" customHeight="1">
      <c r="A265" s="218"/>
      <c r="B265" s="219"/>
      <c r="C265" s="219"/>
      <c r="D265" s="219"/>
      <c r="E265" s="219"/>
      <c r="F265" s="219"/>
      <c r="G265" s="220"/>
      <c r="H265" s="12">
        <v>12</v>
      </c>
      <c r="I265" s="64" t="str">
        <f>I256</f>
        <v>MR.KPBS.P028</v>
      </c>
      <c r="J265" s="64">
        <f>J256</f>
        <v>0.71193877959999996</v>
      </c>
      <c r="K265" s="64">
        <f>K256</f>
        <v>124.3222913326</v>
      </c>
      <c r="L265" s="64" t="str">
        <f>L256</f>
        <v>JL. RAYA POYOWA BESAR</v>
      </c>
      <c r="M265" s="64" t="str">
        <f t="shared" ref="M265" si="461">M264</f>
        <v>SULAWESU UTARA</v>
      </c>
      <c r="N265" s="65" t="s">
        <v>105</v>
      </c>
      <c r="O265" s="66" t="s">
        <v>118</v>
      </c>
      <c r="P265" s="65" t="s">
        <v>119</v>
      </c>
      <c r="Q265" s="66">
        <v>95717</v>
      </c>
      <c r="R265" s="98"/>
      <c r="S265" s="99"/>
      <c r="T265" s="100"/>
      <c r="U265" s="99"/>
      <c r="V265" s="100"/>
      <c r="W265" s="97" t="s">
        <v>105</v>
      </c>
      <c r="X265" s="101"/>
      <c r="Y265" s="64" t="s">
        <v>106</v>
      </c>
      <c r="Z265" s="64" t="str">
        <f t="shared" si="381"/>
        <v>KELURAHAN POYOWA BESAR SATU KOTAMOBAGU</v>
      </c>
      <c r="AA265" s="102"/>
      <c r="AB265" s="102"/>
      <c r="AC265" s="102" t="s">
        <v>70</v>
      </c>
      <c r="AD265" s="64" t="str">
        <f t="shared" ref="AD265" si="462">AD256</f>
        <v>POYOWA BESAR</v>
      </c>
      <c r="AE265" s="103"/>
      <c r="AF265" s="103"/>
      <c r="AG265" s="103"/>
      <c r="AH265" s="103"/>
      <c r="AI265" s="104"/>
      <c r="AJ265" s="11" t="s">
        <v>507</v>
      </c>
      <c r="AK265" s="102" t="s">
        <v>96</v>
      </c>
      <c r="AL265" s="106"/>
      <c r="AM265" s="192"/>
      <c r="AN265" s="192"/>
      <c r="AO265" s="192"/>
      <c r="AP265" s="192"/>
      <c r="AQ265" s="180" t="s">
        <v>97</v>
      </c>
      <c r="AR265" s="70" t="s">
        <v>349</v>
      </c>
      <c r="AS265" s="71" t="str">
        <f>AS256</f>
        <v>KPBS-1.019</v>
      </c>
      <c r="AT265" s="71" t="str">
        <f>AT256</f>
        <v>B10</v>
      </c>
      <c r="AU265" s="105"/>
      <c r="AV265" s="202">
        <v>0.71178151499999998</v>
      </c>
      <c r="AW265" s="202">
        <v>124.3222274828</v>
      </c>
      <c r="AX265" s="106" t="s">
        <v>98</v>
      </c>
      <c r="AY265" s="106" t="s">
        <v>94</v>
      </c>
      <c r="AZ265" s="106" t="s">
        <v>94</v>
      </c>
      <c r="BA265" s="73" t="s">
        <v>77</v>
      </c>
      <c r="BB265" s="106" t="s">
        <v>98</v>
      </c>
      <c r="BC265" s="106">
        <v>31</v>
      </c>
      <c r="BD265" s="106" t="s">
        <v>98</v>
      </c>
      <c r="BE265" s="211" t="str">
        <f t="shared" si="446"/>
        <v>110, POYOWA BESAR,</v>
      </c>
    </row>
    <row r="266" spans="1:57" s="211" customFormat="1" ht="15.75" customHeight="1">
      <c r="A266" s="218"/>
      <c r="B266" s="219"/>
      <c r="C266" s="219"/>
      <c r="D266" s="219"/>
      <c r="E266" s="219"/>
      <c r="F266" s="219"/>
      <c r="G266" s="220"/>
      <c r="H266" s="12">
        <v>13</v>
      </c>
      <c r="I266" s="64" t="str">
        <f t="shared" si="447"/>
        <v>MR.KPBS.P028</v>
      </c>
      <c r="J266" s="64">
        <f t="shared" si="447"/>
        <v>0.71193877959999996</v>
      </c>
      <c r="K266" s="64">
        <f t="shared" si="447"/>
        <v>124.3222913326</v>
      </c>
      <c r="L266" s="64" t="str">
        <f t="shared" si="447"/>
        <v>JL. RAYA POYOWA BESAR</v>
      </c>
      <c r="M266" s="64" t="str">
        <f t="shared" si="447"/>
        <v>SULAWESU UTARA</v>
      </c>
      <c r="N266" s="65" t="s">
        <v>105</v>
      </c>
      <c r="O266" s="66" t="s">
        <v>118</v>
      </c>
      <c r="P266" s="65" t="s">
        <v>119</v>
      </c>
      <c r="Q266" s="66">
        <v>95717</v>
      </c>
      <c r="R266" s="98"/>
      <c r="S266" s="99"/>
      <c r="T266" s="100"/>
      <c r="U266" s="99"/>
      <c r="V266" s="100"/>
      <c r="W266" s="97" t="s">
        <v>105</v>
      </c>
      <c r="X266" s="101"/>
      <c r="Y266" s="64" t="s">
        <v>106</v>
      </c>
      <c r="Z266" s="64" t="str">
        <f t="shared" ref="Z266:Z329" si="463">Z265</f>
        <v>KELURAHAN POYOWA BESAR SATU KOTAMOBAGU</v>
      </c>
      <c r="AA266" s="102"/>
      <c r="AB266" s="102"/>
      <c r="AC266" s="102" t="s">
        <v>70</v>
      </c>
      <c r="AD266" s="64" t="str">
        <f t="shared" ref="AD266" si="464">AD265</f>
        <v>POYOWA BESAR</v>
      </c>
      <c r="AE266" s="103"/>
      <c r="AF266" s="103"/>
      <c r="AG266" s="103"/>
      <c r="AH266" s="103"/>
      <c r="AI266" s="104"/>
      <c r="AJ266" s="11" t="s">
        <v>508</v>
      </c>
      <c r="AK266" s="102" t="s">
        <v>96</v>
      </c>
      <c r="AL266" s="106"/>
      <c r="AM266" s="192"/>
      <c r="AN266" s="192"/>
      <c r="AO266" s="192"/>
      <c r="AP266" s="192"/>
      <c r="AQ266" s="180" t="s">
        <v>97</v>
      </c>
      <c r="AR266" s="70" t="s">
        <v>349</v>
      </c>
      <c r="AS266" s="71" t="str">
        <f t="shared" si="449"/>
        <v>KPBS-1.019</v>
      </c>
      <c r="AT266" s="71" t="str">
        <f t="shared" si="449"/>
        <v>B10</v>
      </c>
      <c r="AU266" s="105"/>
      <c r="AV266" s="202">
        <v>0.71175444040000002</v>
      </c>
      <c r="AW266" s="202">
        <v>124.3221261705</v>
      </c>
      <c r="AX266" s="106" t="s">
        <v>98</v>
      </c>
      <c r="AY266" s="106" t="s">
        <v>94</v>
      </c>
      <c r="AZ266" s="106" t="s">
        <v>94</v>
      </c>
      <c r="BA266" s="73" t="s">
        <v>77</v>
      </c>
      <c r="BB266" s="106" t="s">
        <v>98</v>
      </c>
      <c r="BC266" s="106">
        <v>31</v>
      </c>
      <c r="BD266" s="106" t="s">
        <v>98</v>
      </c>
      <c r="BE266" s="211" t="str">
        <f t="shared" si="446"/>
        <v>108, POYOWA BESAR,</v>
      </c>
    </row>
    <row r="267" spans="1:57" s="211" customFormat="1" ht="15.75" customHeight="1">
      <c r="A267" s="218"/>
      <c r="B267" s="219"/>
      <c r="C267" s="219"/>
      <c r="D267" s="219"/>
      <c r="E267" s="219"/>
      <c r="F267" s="219"/>
      <c r="G267" s="220"/>
      <c r="H267" s="12">
        <v>14</v>
      </c>
      <c r="I267" s="64" t="str">
        <f t="shared" si="447"/>
        <v>MR.KPBS.P028</v>
      </c>
      <c r="J267" s="64">
        <f t="shared" si="447"/>
        <v>0.71193877959999996</v>
      </c>
      <c r="K267" s="64">
        <f t="shared" si="447"/>
        <v>124.3222913326</v>
      </c>
      <c r="L267" s="64" t="str">
        <f t="shared" si="447"/>
        <v>JL. RAYA POYOWA BESAR</v>
      </c>
      <c r="M267" s="64" t="str">
        <f t="shared" si="447"/>
        <v>SULAWESU UTARA</v>
      </c>
      <c r="N267" s="65" t="s">
        <v>105</v>
      </c>
      <c r="O267" s="66" t="s">
        <v>118</v>
      </c>
      <c r="P267" s="65" t="s">
        <v>119</v>
      </c>
      <c r="Q267" s="66">
        <v>95717</v>
      </c>
      <c r="R267" s="98"/>
      <c r="S267" s="99"/>
      <c r="T267" s="100"/>
      <c r="U267" s="99"/>
      <c r="V267" s="100"/>
      <c r="W267" s="97" t="s">
        <v>105</v>
      </c>
      <c r="X267" s="101"/>
      <c r="Y267" s="64" t="s">
        <v>106</v>
      </c>
      <c r="Z267" s="64" t="str">
        <f t="shared" si="463"/>
        <v>KELURAHAN POYOWA BESAR SATU KOTAMOBAGU</v>
      </c>
      <c r="AA267" s="102"/>
      <c r="AB267" s="102"/>
      <c r="AC267" s="102" t="s">
        <v>70</v>
      </c>
      <c r="AD267" s="64" t="str">
        <f t="shared" ref="AD267" si="465">AD266</f>
        <v>POYOWA BESAR</v>
      </c>
      <c r="AE267" s="103"/>
      <c r="AF267" s="103"/>
      <c r="AG267" s="103"/>
      <c r="AH267" s="103"/>
      <c r="AI267" s="104"/>
      <c r="AJ267" s="11" t="s">
        <v>509</v>
      </c>
      <c r="AK267" s="102" t="s">
        <v>96</v>
      </c>
      <c r="AL267" s="106"/>
      <c r="AM267" s="192"/>
      <c r="AN267" s="192"/>
      <c r="AO267" s="192"/>
      <c r="AP267" s="192"/>
      <c r="AQ267" s="180" t="s">
        <v>97</v>
      </c>
      <c r="AR267" s="70" t="s">
        <v>349</v>
      </c>
      <c r="AS267" s="71" t="str">
        <f t="shared" si="449"/>
        <v>KPBS-1.019</v>
      </c>
      <c r="AT267" s="71" t="str">
        <f t="shared" si="449"/>
        <v>B10</v>
      </c>
      <c r="AU267" s="105"/>
      <c r="AV267" s="202">
        <v>0.71173954939999895</v>
      </c>
      <c r="AW267" s="202">
        <v>124.32201405150001</v>
      </c>
      <c r="AX267" s="106" t="s">
        <v>98</v>
      </c>
      <c r="AY267" s="106" t="s">
        <v>94</v>
      </c>
      <c r="AZ267" s="106" t="s">
        <v>94</v>
      </c>
      <c r="BA267" s="73" t="s">
        <v>77</v>
      </c>
      <c r="BB267" s="106" t="s">
        <v>98</v>
      </c>
      <c r="BC267" s="106">
        <v>31</v>
      </c>
      <c r="BD267" s="106" t="s">
        <v>98</v>
      </c>
      <c r="BE267" s="211" t="str">
        <f t="shared" si="446"/>
        <v>106, POYOWA BESAR,</v>
      </c>
    </row>
    <row r="268" spans="1:57" s="211" customFormat="1" ht="15.75" customHeight="1">
      <c r="A268" s="218"/>
      <c r="B268" s="219"/>
      <c r="C268" s="219"/>
      <c r="D268" s="219"/>
      <c r="E268" s="219"/>
      <c r="F268" s="219"/>
      <c r="G268" s="220"/>
      <c r="H268" s="12">
        <v>15</v>
      </c>
      <c r="I268" s="64" t="str">
        <f t="shared" si="447"/>
        <v>MR.KPBS.P028</v>
      </c>
      <c r="J268" s="64">
        <f t="shared" si="447"/>
        <v>0.71193877959999996</v>
      </c>
      <c r="K268" s="64">
        <f t="shared" si="447"/>
        <v>124.3222913326</v>
      </c>
      <c r="L268" s="64" t="str">
        <f t="shared" si="447"/>
        <v>JL. RAYA POYOWA BESAR</v>
      </c>
      <c r="M268" s="64" t="str">
        <f t="shared" si="447"/>
        <v>SULAWESU UTARA</v>
      </c>
      <c r="N268" s="65" t="s">
        <v>105</v>
      </c>
      <c r="O268" s="66" t="s">
        <v>118</v>
      </c>
      <c r="P268" s="65" t="s">
        <v>119</v>
      </c>
      <c r="Q268" s="66">
        <v>95717</v>
      </c>
      <c r="R268" s="98"/>
      <c r="S268" s="99"/>
      <c r="T268" s="100"/>
      <c r="U268" s="99"/>
      <c r="V268" s="100"/>
      <c r="W268" s="97" t="s">
        <v>105</v>
      </c>
      <c r="X268" s="101"/>
      <c r="Y268" s="64" t="s">
        <v>106</v>
      </c>
      <c r="Z268" s="64" t="str">
        <f t="shared" si="463"/>
        <v>KELURAHAN POYOWA BESAR SATU KOTAMOBAGU</v>
      </c>
      <c r="AA268" s="102"/>
      <c r="AB268" s="102"/>
      <c r="AC268" s="102" t="s">
        <v>70</v>
      </c>
      <c r="AD268" s="64" t="str">
        <f t="shared" ref="AD268" si="466">AD267</f>
        <v>POYOWA BESAR</v>
      </c>
      <c r="AE268" s="103"/>
      <c r="AF268" s="103"/>
      <c r="AG268" s="103"/>
      <c r="AH268" s="103"/>
      <c r="AI268" s="104"/>
      <c r="AJ268" s="11" t="s">
        <v>510</v>
      </c>
      <c r="AK268" s="102" t="s">
        <v>96</v>
      </c>
      <c r="AL268" s="106"/>
      <c r="AM268" s="192"/>
      <c r="AN268" s="192"/>
      <c r="AO268" s="192"/>
      <c r="AP268" s="192"/>
      <c r="AQ268" s="180" t="s">
        <v>97</v>
      </c>
      <c r="AR268" s="70" t="s">
        <v>349</v>
      </c>
      <c r="AS268" s="71" t="str">
        <f t="shared" si="449"/>
        <v>KPBS-1.019</v>
      </c>
      <c r="AT268" s="71" t="str">
        <f t="shared" si="449"/>
        <v>B10</v>
      </c>
      <c r="AU268" s="105"/>
      <c r="AV268" s="202">
        <v>0.71175985539999997</v>
      </c>
      <c r="AW268" s="202">
        <v>124.3219248966</v>
      </c>
      <c r="AX268" s="106" t="s">
        <v>98</v>
      </c>
      <c r="AY268" s="106" t="s">
        <v>94</v>
      </c>
      <c r="AZ268" s="106" t="s">
        <v>94</v>
      </c>
      <c r="BA268" s="73" t="s">
        <v>77</v>
      </c>
      <c r="BB268" s="106" t="s">
        <v>98</v>
      </c>
      <c r="BC268" s="106">
        <v>31</v>
      </c>
      <c r="BD268" s="106" t="s">
        <v>98</v>
      </c>
      <c r="BE268" s="211" t="str">
        <f t="shared" si="446"/>
        <v>105, POYOWA BESAR,</v>
      </c>
    </row>
    <row r="269" spans="1:57" s="211" customFormat="1" ht="15.75" customHeight="1">
      <c r="A269" s="218"/>
      <c r="B269" s="219"/>
      <c r="C269" s="219"/>
      <c r="D269" s="219"/>
      <c r="E269" s="219"/>
      <c r="F269" s="219"/>
      <c r="G269" s="220"/>
      <c r="H269" s="12">
        <v>16</v>
      </c>
      <c r="I269" s="64" t="str">
        <f t="shared" si="447"/>
        <v>MR.KPBS.P028</v>
      </c>
      <c r="J269" s="64">
        <f t="shared" si="447"/>
        <v>0.71193877959999996</v>
      </c>
      <c r="K269" s="64">
        <f t="shared" si="447"/>
        <v>124.3222913326</v>
      </c>
      <c r="L269" s="64" t="str">
        <f t="shared" si="447"/>
        <v>JL. RAYA POYOWA BESAR</v>
      </c>
      <c r="M269" s="64" t="str">
        <f t="shared" si="447"/>
        <v>SULAWESU UTARA</v>
      </c>
      <c r="N269" s="65" t="s">
        <v>105</v>
      </c>
      <c r="O269" s="66" t="s">
        <v>118</v>
      </c>
      <c r="P269" s="65" t="s">
        <v>119</v>
      </c>
      <c r="Q269" s="66">
        <v>95717</v>
      </c>
      <c r="R269" s="98"/>
      <c r="S269" s="99"/>
      <c r="T269" s="100"/>
      <c r="U269" s="99"/>
      <c r="V269" s="100"/>
      <c r="W269" s="97" t="s">
        <v>105</v>
      </c>
      <c r="X269" s="101"/>
      <c r="Y269" s="64" t="s">
        <v>106</v>
      </c>
      <c r="Z269" s="64" t="str">
        <f t="shared" si="463"/>
        <v>KELURAHAN POYOWA BESAR SATU KOTAMOBAGU</v>
      </c>
      <c r="AA269" s="102"/>
      <c r="AB269" s="102"/>
      <c r="AC269" s="102" t="s">
        <v>70</v>
      </c>
      <c r="AD269" s="64" t="str">
        <f t="shared" ref="AD269" si="467">AD268</f>
        <v>POYOWA BESAR</v>
      </c>
      <c r="AE269" s="103"/>
      <c r="AF269" s="103"/>
      <c r="AG269" s="103"/>
      <c r="AH269" s="103"/>
      <c r="AI269" s="104"/>
      <c r="AJ269" s="11" t="s">
        <v>511</v>
      </c>
      <c r="AK269" s="102" t="s">
        <v>96</v>
      </c>
      <c r="AL269" s="106"/>
      <c r="AM269" s="192"/>
      <c r="AN269" s="192"/>
      <c r="AO269" s="192"/>
      <c r="AP269" s="192"/>
      <c r="AQ269" s="193" t="s">
        <v>97</v>
      </c>
      <c r="AR269" s="70" t="s">
        <v>349</v>
      </c>
      <c r="AS269" s="71" t="str">
        <f t="shared" si="449"/>
        <v>KPBS-1.019</v>
      </c>
      <c r="AT269" s="71" t="str">
        <f t="shared" si="449"/>
        <v>B10</v>
      </c>
      <c r="AU269" s="105"/>
      <c r="AV269" s="202">
        <v>0.71172871959999995</v>
      </c>
      <c r="AW269" s="202">
        <v>124.321801971</v>
      </c>
      <c r="AX269" s="106" t="s">
        <v>98</v>
      </c>
      <c r="AY269" s="106" t="s">
        <v>94</v>
      </c>
      <c r="AZ269" s="106" t="s">
        <v>94</v>
      </c>
      <c r="BA269" s="73" t="s">
        <v>77</v>
      </c>
      <c r="BB269" s="106" t="s">
        <v>98</v>
      </c>
      <c r="BC269" s="106">
        <v>31</v>
      </c>
      <c r="BD269" s="106" t="s">
        <v>98</v>
      </c>
      <c r="BE269" s="211" t="str">
        <f t="shared" si="446"/>
        <v>104, POYOWA BESAR,</v>
      </c>
    </row>
    <row r="270" spans="1:57" s="211" customFormat="1" ht="15.75" customHeight="1">
      <c r="A270" s="121" t="s">
        <v>100</v>
      </c>
      <c r="B270" s="121">
        <f>B254+1</f>
        <v>19</v>
      </c>
      <c r="C270" s="122" t="s">
        <v>99</v>
      </c>
      <c r="D270" s="122" t="s">
        <v>101</v>
      </c>
      <c r="E270" s="122">
        <v>3</v>
      </c>
      <c r="F270" s="2">
        <v>25</v>
      </c>
      <c r="G270" s="213" t="s">
        <v>91</v>
      </c>
      <c r="H270" s="123">
        <v>1</v>
      </c>
      <c r="I270" s="124" t="s">
        <v>328</v>
      </c>
      <c r="J270" s="125">
        <v>0.71198447460000003</v>
      </c>
      <c r="K270" s="125">
        <v>124.3232000571</v>
      </c>
      <c r="L270" s="16" t="s">
        <v>116</v>
      </c>
      <c r="M270" s="140" t="str">
        <f t="shared" ref="M270" si="468">M269</f>
        <v>SULAWESU UTARA</v>
      </c>
      <c r="N270" s="13" t="s">
        <v>105</v>
      </c>
      <c r="O270" s="127" t="s">
        <v>118</v>
      </c>
      <c r="P270" s="13" t="s">
        <v>119</v>
      </c>
      <c r="Q270" s="127">
        <v>95717</v>
      </c>
      <c r="R270" s="128"/>
      <c r="S270" s="129"/>
      <c r="T270" s="130"/>
      <c r="U270" s="129"/>
      <c r="V270" s="130"/>
      <c r="W270" s="126" t="s">
        <v>105</v>
      </c>
      <c r="X270" s="125"/>
      <c r="Y270" s="140" t="s">
        <v>106</v>
      </c>
      <c r="Z270" s="140" t="str">
        <f t="shared" si="463"/>
        <v>KELURAHAN POYOWA BESAR SATU KOTAMOBAGU</v>
      </c>
      <c r="AA270" s="131"/>
      <c r="AB270" s="131"/>
      <c r="AC270" s="131" t="s">
        <v>70</v>
      </c>
      <c r="AD270" s="16" t="s">
        <v>119</v>
      </c>
      <c r="AE270" s="15"/>
      <c r="AF270" s="15"/>
      <c r="AG270" s="15"/>
      <c r="AH270" s="15"/>
      <c r="AI270" s="132"/>
      <c r="AJ270" s="133" t="s">
        <v>512</v>
      </c>
      <c r="AK270" s="131" t="s">
        <v>96</v>
      </c>
      <c r="AL270" s="137"/>
      <c r="AM270" s="194"/>
      <c r="AN270" s="194"/>
      <c r="AO270" s="194"/>
      <c r="AP270" s="194"/>
      <c r="AQ270" s="195" t="s">
        <v>97</v>
      </c>
      <c r="AR270" s="134" t="s">
        <v>349</v>
      </c>
      <c r="AS270" s="135" t="str">
        <f>AS254</f>
        <v>KPBS-1.019</v>
      </c>
      <c r="AT270" s="135" t="str">
        <f>G270</f>
        <v>B11</v>
      </c>
      <c r="AU270" s="136"/>
      <c r="AV270" s="205">
        <v>0.71186473910000003</v>
      </c>
      <c r="AW270" s="205">
        <v>124.32331925290001</v>
      </c>
      <c r="AX270" s="137" t="s">
        <v>98</v>
      </c>
      <c r="AY270" s="137" t="s">
        <v>94</v>
      </c>
      <c r="AZ270" s="137" t="s">
        <v>94</v>
      </c>
      <c r="BA270" s="138" t="s">
        <v>77</v>
      </c>
      <c r="BB270" s="137" t="s">
        <v>98</v>
      </c>
      <c r="BC270" s="137">
        <v>31</v>
      </c>
      <c r="BD270" s="137" t="s">
        <v>98</v>
      </c>
      <c r="BE270" s="211" t="str">
        <f t="shared" si="446"/>
        <v>308, POYOWA BESAR,</v>
      </c>
    </row>
    <row r="271" spans="1:57" s="211" customFormat="1" ht="15.75" customHeight="1">
      <c r="A271" s="21"/>
      <c r="B271" s="21"/>
      <c r="C271" s="22" t="s">
        <v>99</v>
      </c>
      <c r="D271" s="22" t="s">
        <v>101</v>
      </c>
      <c r="E271" s="122">
        <v>3</v>
      </c>
      <c r="F271" s="6">
        <f>F270+1</f>
        <v>26</v>
      </c>
      <c r="G271" s="213"/>
      <c r="H271" s="12">
        <v>2</v>
      </c>
      <c r="I271" s="64" t="str">
        <f t="shared" ref="I271:M285" si="469">I270</f>
        <v>MR.KPBS.P030</v>
      </c>
      <c r="J271" s="64">
        <f t="shared" si="469"/>
        <v>0.71198447460000003</v>
      </c>
      <c r="K271" s="64">
        <f t="shared" si="469"/>
        <v>124.3232000571</v>
      </c>
      <c r="L271" s="64" t="str">
        <f t="shared" si="469"/>
        <v>JL. RAYA POYOWA BESAR</v>
      </c>
      <c r="M271" s="64" t="str">
        <f t="shared" si="469"/>
        <v>SULAWESU UTARA</v>
      </c>
      <c r="N271" s="65" t="s">
        <v>105</v>
      </c>
      <c r="O271" s="66" t="s">
        <v>118</v>
      </c>
      <c r="P271" s="65" t="s">
        <v>119</v>
      </c>
      <c r="Q271" s="66">
        <v>95717</v>
      </c>
      <c r="R271" s="98"/>
      <c r="S271" s="99"/>
      <c r="T271" s="100"/>
      <c r="U271" s="99"/>
      <c r="V271" s="100"/>
      <c r="W271" s="97" t="s">
        <v>105</v>
      </c>
      <c r="X271" s="101"/>
      <c r="Y271" s="64" t="s">
        <v>106</v>
      </c>
      <c r="Z271" s="64" t="str">
        <f t="shared" si="463"/>
        <v>KELURAHAN POYOWA BESAR SATU KOTAMOBAGU</v>
      </c>
      <c r="AA271" s="102"/>
      <c r="AB271" s="102"/>
      <c r="AC271" s="102" t="s">
        <v>70</v>
      </c>
      <c r="AD271" s="64" t="str">
        <f t="shared" ref="AD271" si="470">AD270</f>
        <v>POYOWA BESAR</v>
      </c>
      <c r="AE271" s="103"/>
      <c r="AF271" s="103"/>
      <c r="AG271" s="103"/>
      <c r="AH271" s="103"/>
      <c r="AI271" s="104"/>
      <c r="AJ271" s="11" t="s">
        <v>513</v>
      </c>
      <c r="AK271" s="102" t="s">
        <v>96</v>
      </c>
      <c r="AL271" s="106"/>
      <c r="AM271" s="192"/>
      <c r="AN271" s="192"/>
      <c r="AO271" s="192"/>
      <c r="AP271" s="192"/>
      <c r="AQ271" s="180" t="s">
        <v>97</v>
      </c>
      <c r="AR271" s="70" t="s">
        <v>349</v>
      </c>
      <c r="AS271" s="71" t="str">
        <f t="shared" ref="AS271:AT285" si="471">AS270</f>
        <v>KPBS-1.019</v>
      </c>
      <c r="AT271" s="71" t="str">
        <f t="shared" si="471"/>
        <v>B11</v>
      </c>
      <c r="AU271" s="105"/>
      <c r="AV271" s="202">
        <v>0.71217570199999902</v>
      </c>
      <c r="AW271" s="202">
        <v>124.3232425373</v>
      </c>
      <c r="AX271" s="106" t="s">
        <v>98</v>
      </c>
      <c r="AY271" s="106" t="s">
        <v>94</v>
      </c>
      <c r="AZ271" s="106" t="s">
        <v>94</v>
      </c>
      <c r="BA271" s="73" t="s">
        <v>77</v>
      </c>
      <c r="BB271" s="106" t="s">
        <v>98</v>
      </c>
      <c r="BC271" s="106">
        <v>31</v>
      </c>
      <c r="BD271" s="106" t="s">
        <v>98</v>
      </c>
      <c r="BE271" s="211" t="str">
        <f t="shared" si="446"/>
        <v>123, POYOWA BESAR,</v>
      </c>
    </row>
    <row r="272" spans="1:57" s="211" customFormat="1" ht="15.75" customHeight="1">
      <c r="A272" s="215"/>
      <c r="B272" s="216"/>
      <c r="C272" s="216"/>
      <c r="D272" s="216"/>
      <c r="E272" s="216"/>
      <c r="F272" s="216"/>
      <c r="G272" s="217"/>
      <c r="H272" s="12">
        <v>3</v>
      </c>
      <c r="I272" s="64" t="str">
        <f t="shared" si="469"/>
        <v>MR.KPBS.P030</v>
      </c>
      <c r="J272" s="64">
        <f t="shared" si="469"/>
        <v>0.71198447460000003</v>
      </c>
      <c r="K272" s="64">
        <f t="shared" si="469"/>
        <v>124.3232000571</v>
      </c>
      <c r="L272" s="64" t="str">
        <f t="shared" si="469"/>
        <v>JL. RAYA POYOWA BESAR</v>
      </c>
      <c r="M272" s="64" t="str">
        <f t="shared" si="469"/>
        <v>SULAWESU UTARA</v>
      </c>
      <c r="N272" s="65" t="s">
        <v>105</v>
      </c>
      <c r="O272" s="66" t="s">
        <v>118</v>
      </c>
      <c r="P272" s="65" t="s">
        <v>119</v>
      </c>
      <c r="Q272" s="66">
        <v>95717</v>
      </c>
      <c r="R272" s="98"/>
      <c r="S272" s="99"/>
      <c r="T272" s="100"/>
      <c r="U272" s="99"/>
      <c r="V272" s="100"/>
      <c r="W272" s="97" t="s">
        <v>105</v>
      </c>
      <c r="X272" s="101"/>
      <c r="Y272" s="64" t="s">
        <v>106</v>
      </c>
      <c r="Z272" s="64" t="str">
        <f t="shared" si="463"/>
        <v>KELURAHAN POYOWA BESAR SATU KOTAMOBAGU</v>
      </c>
      <c r="AA272" s="102"/>
      <c r="AB272" s="102"/>
      <c r="AC272" s="102" t="s">
        <v>70</v>
      </c>
      <c r="AD272" s="64" t="str">
        <f t="shared" ref="AD272" si="472">AD271</f>
        <v>POYOWA BESAR</v>
      </c>
      <c r="AE272" s="103"/>
      <c r="AF272" s="103"/>
      <c r="AG272" s="103"/>
      <c r="AH272" s="103"/>
      <c r="AI272" s="104"/>
      <c r="AJ272" s="11" t="s">
        <v>514</v>
      </c>
      <c r="AK272" s="102" t="s">
        <v>96</v>
      </c>
      <c r="AL272" s="106"/>
      <c r="AM272" s="192"/>
      <c r="AN272" s="192"/>
      <c r="AO272" s="192"/>
      <c r="AP272" s="192"/>
      <c r="AQ272" s="180" t="s">
        <v>97</v>
      </c>
      <c r="AR272" s="70" t="s">
        <v>349</v>
      </c>
      <c r="AS272" s="71" t="str">
        <f t="shared" si="471"/>
        <v>KPBS-1.019</v>
      </c>
      <c r="AT272" s="71" t="str">
        <f t="shared" si="471"/>
        <v>B11</v>
      </c>
      <c r="AU272" s="105"/>
      <c r="AV272" s="202">
        <v>0.71201994940000002</v>
      </c>
      <c r="AW272" s="202">
        <v>124.32307349840001</v>
      </c>
      <c r="AX272" s="106" t="s">
        <v>98</v>
      </c>
      <c r="AY272" s="106" t="s">
        <v>94</v>
      </c>
      <c r="AZ272" s="106" t="s">
        <v>94</v>
      </c>
      <c r="BA272" s="73" t="s">
        <v>77</v>
      </c>
      <c r="BB272" s="106" t="s">
        <v>98</v>
      </c>
      <c r="BC272" s="106">
        <v>31</v>
      </c>
      <c r="BD272" s="106" t="s">
        <v>98</v>
      </c>
      <c r="BE272" s="211" t="str">
        <f t="shared" si="446"/>
        <v>122, POYOWA BESAR,</v>
      </c>
    </row>
    <row r="273" spans="1:57" s="211" customFormat="1" ht="15.75" customHeight="1">
      <c r="A273" s="218"/>
      <c r="B273" s="219"/>
      <c r="C273" s="219"/>
      <c r="D273" s="219"/>
      <c r="E273" s="219"/>
      <c r="F273" s="219"/>
      <c r="G273" s="220"/>
      <c r="H273" s="12">
        <v>4</v>
      </c>
      <c r="I273" s="64" t="str">
        <f t="shared" si="469"/>
        <v>MR.KPBS.P030</v>
      </c>
      <c r="J273" s="64">
        <f t="shared" si="469"/>
        <v>0.71198447460000003</v>
      </c>
      <c r="K273" s="64">
        <f t="shared" si="469"/>
        <v>124.3232000571</v>
      </c>
      <c r="L273" s="64" t="str">
        <f t="shared" si="469"/>
        <v>JL. RAYA POYOWA BESAR</v>
      </c>
      <c r="M273" s="64" t="str">
        <f t="shared" si="469"/>
        <v>SULAWESU UTARA</v>
      </c>
      <c r="N273" s="65" t="s">
        <v>105</v>
      </c>
      <c r="O273" s="66" t="s">
        <v>118</v>
      </c>
      <c r="P273" s="65" t="s">
        <v>119</v>
      </c>
      <c r="Q273" s="66">
        <v>95717</v>
      </c>
      <c r="R273" s="98"/>
      <c r="S273" s="99"/>
      <c r="T273" s="100"/>
      <c r="U273" s="99"/>
      <c r="V273" s="100"/>
      <c r="W273" s="97" t="s">
        <v>105</v>
      </c>
      <c r="X273" s="101"/>
      <c r="Y273" s="64" t="s">
        <v>106</v>
      </c>
      <c r="Z273" s="64" t="str">
        <f t="shared" si="463"/>
        <v>KELURAHAN POYOWA BESAR SATU KOTAMOBAGU</v>
      </c>
      <c r="AA273" s="102"/>
      <c r="AB273" s="102"/>
      <c r="AC273" s="102" t="s">
        <v>70</v>
      </c>
      <c r="AD273" s="64" t="str">
        <f t="shared" ref="AD273" si="473">AD272</f>
        <v>POYOWA BESAR</v>
      </c>
      <c r="AE273" s="103"/>
      <c r="AF273" s="103"/>
      <c r="AG273" s="103"/>
      <c r="AH273" s="103"/>
      <c r="AI273" s="104"/>
      <c r="AJ273" s="11" t="s">
        <v>515</v>
      </c>
      <c r="AK273" s="102" t="s">
        <v>96</v>
      </c>
      <c r="AL273" s="106"/>
      <c r="AM273" s="192"/>
      <c r="AN273" s="192"/>
      <c r="AO273" s="192"/>
      <c r="AP273" s="192"/>
      <c r="AQ273" s="180" t="s">
        <v>97</v>
      </c>
      <c r="AR273" s="70" t="s">
        <v>349</v>
      </c>
      <c r="AS273" s="71" t="str">
        <f t="shared" si="471"/>
        <v>KPBS-1.019</v>
      </c>
      <c r="AT273" s="71" t="str">
        <f t="shared" si="471"/>
        <v>B11</v>
      </c>
      <c r="AU273" s="105"/>
      <c r="AV273" s="202">
        <v>0.71199292380000001</v>
      </c>
      <c r="AW273" s="202">
        <v>124.3229613211</v>
      </c>
      <c r="AX273" s="106" t="s">
        <v>98</v>
      </c>
      <c r="AY273" s="106" t="s">
        <v>94</v>
      </c>
      <c r="AZ273" s="106" t="s">
        <v>94</v>
      </c>
      <c r="BA273" s="73" t="s">
        <v>77</v>
      </c>
      <c r="BB273" s="106" t="s">
        <v>98</v>
      </c>
      <c r="BC273" s="106">
        <v>31</v>
      </c>
      <c r="BD273" s="106" t="s">
        <v>98</v>
      </c>
      <c r="BE273" s="211" t="str">
        <f t="shared" si="446"/>
        <v>121, POYOWA BESAR,</v>
      </c>
    </row>
    <row r="274" spans="1:57" s="211" customFormat="1" ht="15.75" customHeight="1">
      <c r="A274" s="218"/>
      <c r="B274" s="219"/>
      <c r="C274" s="219"/>
      <c r="D274" s="219"/>
      <c r="E274" s="219"/>
      <c r="F274" s="219"/>
      <c r="G274" s="220"/>
      <c r="H274" s="12">
        <v>5</v>
      </c>
      <c r="I274" s="64" t="str">
        <f t="shared" si="469"/>
        <v>MR.KPBS.P030</v>
      </c>
      <c r="J274" s="64">
        <f t="shared" si="469"/>
        <v>0.71198447460000003</v>
      </c>
      <c r="K274" s="64">
        <f t="shared" si="469"/>
        <v>124.3232000571</v>
      </c>
      <c r="L274" s="64" t="str">
        <f t="shared" si="469"/>
        <v>JL. RAYA POYOWA BESAR</v>
      </c>
      <c r="M274" s="64" t="str">
        <f t="shared" si="469"/>
        <v>SULAWESU UTARA</v>
      </c>
      <c r="N274" s="65" t="s">
        <v>105</v>
      </c>
      <c r="O274" s="66" t="s">
        <v>118</v>
      </c>
      <c r="P274" s="65" t="s">
        <v>119</v>
      </c>
      <c r="Q274" s="66">
        <v>95717</v>
      </c>
      <c r="R274" s="98"/>
      <c r="S274" s="99"/>
      <c r="T274" s="100"/>
      <c r="U274" s="99"/>
      <c r="V274" s="100"/>
      <c r="W274" s="97" t="s">
        <v>105</v>
      </c>
      <c r="X274" s="101"/>
      <c r="Y274" s="64" t="s">
        <v>106</v>
      </c>
      <c r="Z274" s="64" t="str">
        <f t="shared" si="463"/>
        <v>KELURAHAN POYOWA BESAR SATU KOTAMOBAGU</v>
      </c>
      <c r="AA274" s="102"/>
      <c r="AB274" s="102"/>
      <c r="AC274" s="102" t="s">
        <v>70</v>
      </c>
      <c r="AD274" s="64" t="str">
        <f t="shared" ref="AD274" si="474">AD273</f>
        <v>POYOWA BESAR</v>
      </c>
      <c r="AE274" s="103"/>
      <c r="AF274" s="103"/>
      <c r="AG274" s="103"/>
      <c r="AH274" s="103"/>
      <c r="AI274" s="104"/>
      <c r="AJ274" s="11" t="s">
        <v>516</v>
      </c>
      <c r="AK274" s="102" t="s">
        <v>96</v>
      </c>
      <c r="AL274" s="106"/>
      <c r="AM274" s="192"/>
      <c r="AN274" s="192"/>
      <c r="AO274" s="192"/>
      <c r="AP274" s="192"/>
      <c r="AQ274" s="180" t="s">
        <v>97</v>
      </c>
      <c r="AR274" s="70" t="s">
        <v>349</v>
      </c>
      <c r="AS274" s="71" t="str">
        <f t="shared" si="471"/>
        <v>KPBS-1.019</v>
      </c>
      <c r="AT274" s="71" t="str">
        <f t="shared" si="471"/>
        <v>B11</v>
      </c>
      <c r="AU274" s="105"/>
      <c r="AV274" s="202">
        <v>0.71209648299999895</v>
      </c>
      <c r="AW274" s="202">
        <v>124.3232802472</v>
      </c>
      <c r="AX274" s="106" t="s">
        <v>98</v>
      </c>
      <c r="AY274" s="106" t="s">
        <v>94</v>
      </c>
      <c r="AZ274" s="106" t="s">
        <v>94</v>
      </c>
      <c r="BA274" s="73" t="s">
        <v>77</v>
      </c>
      <c r="BB274" s="106" t="s">
        <v>98</v>
      </c>
      <c r="BC274" s="106">
        <v>31</v>
      </c>
      <c r="BD274" s="106" t="s">
        <v>98</v>
      </c>
      <c r="BE274" s="211" t="str">
        <f t="shared" si="446"/>
        <v>304, POYOWA BESAR,</v>
      </c>
    </row>
    <row r="275" spans="1:57" s="211" customFormat="1" ht="15.75" customHeight="1">
      <c r="A275" s="218"/>
      <c r="B275" s="219"/>
      <c r="C275" s="219"/>
      <c r="D275" s="219"/>
      <c r="E275" s="219"/>
      <c r="F275" s="219"/>
      <c r="G275" s="220"/>
      <c r="H275" s="12">
        <v>6</v>
      </c>
      <c r="I275" s="64" t="str">
        <f t="shared" si="469"/>
        <v>MR.KPBS.P030</v>
      </c>
      <c r="J275" s="64">
        <f t="shared" si="469"/>
        <v>0.71198447460000003</v>
      </c>
      <c r="K275" s="64">
        <f t="shared" si="469"/>
        <v>124.3232000571</v>
      </c>
      <c r="L275" s="64" t="str">
        <f t="shared" si="469"/>
        <v>JL. RAYA POYOWA BESAR</v>
      </c>
      <c r="M275" s="64" t="str">
        <f t="shared" si="469"/>
        <v>SULAWESU UTARA</v>
      </c>
      <c r="N275" s="65" t="s">
        <v>105</v>
      </c>
      <c r="O275" s="66" t="s">
        <v>118</v>
      </c>
      <c r="P275" s="65" t="s">
        <v>119</v>
      </c>
      <c r="Q275" s="66">
        <v>95717</v>
      </c>
      <c r="R275" s="98"/>
      <c r="S275" s="99"/>
      <c r="T275" s="100"/>
      <c r="U275" s="99"/>
      <c r="V275" s="100"/>
      <c r="W275" s="97" t="s">
        <v>105</v>
      </c>
      <c r="X275" s="101"/>
      <c r="Y275" s="64" t="s">
        <v>106</v>
      </c>
      <c r="Z275" s="64" t="str">
        <f t="shared" si="463"/>
        <v>KELURAHAN POYOWA BESAR SATU KOTAMOBAGU</v>
      </c>
      <c r="AA275" s="102"/>
      <c r="AB275" s="102"/>
      <c r="AC275" s="102" t="s">
        <v>70</v>
      </c>
      <c r="AD275" s="64" t="str">
        <f t="shared" ref="AD275" si="475">AD274</f>
        <v>POYOWA BESAR</v>
      </c>
      <c r="AE275" s="103"/>
      <c r="AF275" s="103"/>
      <c r="AG275" s="103"/>
      <c r="AH275" s="103"/>
      <c r="AI275" s="104"/>
      <c r="AJ275" s="11" t="s">
        <v>517</v>
      </c>
      <c r="AK275" s="102" t="s">
        <v>96</v>
      </c>
      <c r="AL275" s="106"/>
      <c r="AM275" s="192"/>
      <c r="AN275" s="192"/>
      <c r="AO275" s="192"/>
      <c r="AP275" s="192"/>
      <c r="AQ275" s="180" t="s">
        <v>97</v>
      </c>
      <c r="AR275" s="70" t="s">
        <v>349</v>
      </c>
      <c r="AS275" s="71" t="str">
        <f t="shared" si="471"/>
        <v>KPBS-1.019</v>
      </c>
      <c r="AT275" s="71" t="str">
        <f t="shared" si="471"/>
        <v>B11</v>
      </c>
      <c r="AU275" s="105"/>
      <c r="AV275" s="202">
        <v>0.71203366079999897</v>
      </c>
      <c r="AW275" s="202">
        <v>124.32329696390001</v>
      </c>
      <c r="AX275" s="106" t="s">
        <v>98</v>
      </c>
      <c r="AY275" s="106" t="s">
        <v>94</v>
      </c>
      <c r="AZ275" s="106" t="s">
        <v>94</v>
      </c>
      <c r="BA275" s="73" t="s">
        <v>77</v>
      </c>
      <c r="BB275" s="106" t="s">
        <v>98</v>
      </c>
      <c r="BC275" s="106">
        <v>31</v>
      </c>
      <c r="BD275" s="106" t="s">
        <v>98</v>
      </c>
      <c r="BE275" s="211" t="str">
        <f t="shared" si="446"/>
        <v>305, POYOWA BESAR,</v>
      </c>
    </row>
    <row r="276" spans="1:57" s="211" customFormat="1" ht="15.75" customHeight="1">
      <c r="A276" s="218"/>
      <c r="B276" s="219"/>
      <c r="C276" s="219"/>
      <c r="D276" s="219"/>
      <c r="E276" s="219"/>
      <c r="F276" s="219"/>
      <c r="G276" s="220"/>
      <c r="H276" s="12">
        <v>7</v>
      </c>
      <c r="I276" s="64" t="str">
        <f t="shared" si="469"/>
        <v>MR.KPBS.P030</v>
      </c>
      <c r="J276" s="64">
        <f t="shared" si="469"/>
        <v>0.71198447460000003</v>
      </c>
      <c r="K276" s="64">
        <f t="shared" si="469"/>
        <v>124.3232000571</v>
      </c>
      <c r="L276" s="64" t="str">
        <f t="shared" si="469"/>
        <v>JL. RAYA POYOWA BESAR</v>
      </c>
      <c r="M276" s="64" t="str">
        <f t="shared" si="469"/>
        <v>SULAWESU UTARA</v>
      </c>
      <c r="N276" s="65" t="s">
        <v>105</v>
      </c>
      <c r="O276" s="66" t="s">
        <v>118</v>
      </c>
      <c r="P276" s="65" t="s">
        <v>119</v>
      </c>
      <c r="Q276" s="66">
        <v>95717</v>
      </c>
      <c r="R276" s="98"/>
      <c r="S276" s="99"/>
      <c r="T276" s="100"/>
      <c r="U276" s="99"/>
      <c r="V276" s="100"/>
      <c r="W276" s="97" t="s">
        <v>105</v>
      </c>
      <c r="X276" s="101"/>
      <c r="Y276" s="64" t="s">
        <v>106</v>
      </c>
      <c r="Z276" s="64" t="str">
        <f t="shared" si="463"/>
        <v>KELURAHAN POYOWA BESAR SATU KOTAMOBAGU</v>
      </c>
      <c r="AA276" s="102"/>
      <c r="AB276" s="102"/>
      <c r="AC276" s="102" t="s">
        <v>70</v>
      </c>
      <c r="AD276" s="64" t="str">
        <f t="shared" ref="AD276" si="476">AD275</f>
        <v>POYOWA BESAR</v>
      </c>
      <c r="AE276" s="103"/>
      <c r="AF276" s="103"/>
      <c r="AG276" s="103"/>
      <c r="AH276" s="103"/>
      <c r="AI276" s="104"/>
      <c r="AJ276" s="11" t="s">
        <v>518</v>
      </c>
      <c r="AK276" s="102" t="s">
        <v>96</v>
      </c>
      <c r="AL276" s="106"/>
      <c r="AM276" s="192"/>
      <c r="AN276" s="192"/>
      <c r="AO276" s="192"/>
      <c r="AP276" s="192"/>
      <c r="AQ276" s="180" t="s">
        <v>97</v>
      </c>
      <c r="AR276" s="70" t="s">
        <v>349</v>
      </c>
      <c r="AS276" s="71" t="str">
        <f t="shared" si="471"/>
        <v>KPBS-1.019</v>
      </c>
      <c r="AT276" s="71" t="str">
        <f t="shared" si="471"/>
        <v>B11</v>
      </c>
      <c r="AU276" s="105"/>
      <c r="AV276" s="202">
        <v>0.71196246239999905</v>
      </c>
      <c r="AW276" s="202">
        <v>124.3232913917</v>
      </c>
      <c r="AX276" s="106" t="s">
        <v>98</v>
      </c>
      <c r="AY276" s="106" t="s">
        <v>94</v>
      </c>
      <c r="AZ276" s="106" t="s">
        <v>94</v>
      </c>
      <c r="BA276" s="73" t="s">
        <v>77</v>
      </c>
      <c r="BB276" s="106" t="s">
        <v>98</v>
      </c>
      <c r="BC276" s="106">
        <v>31</v>
      </c>
      <c r="BD276" s="106" t="s">
        <v>98</v>
      </c>
      <c r="BE276" s="211" t="str">
        <f t="shared" si="446"/>
        <v>306, POYOWA BESAR,</v>
      </c>
    </row>
    <row r="277" spans="1:57" s="211" customFormat="1" ht="15.75" customHeight="1">
      <c r="A277" s="218"/>
      <c r="B277" s="219"/>
      <c r="C277" s="219"/>
      <c r="D277" s="219"/>
      <c r="E277" s="219"/>
      <c r="F277" s="219"/>
      <c r="G277" s="220"/>
      <c r="H277" s="12">
        <v>8</v>
      </c>
      <c r="I277" s="64" t="str">
        <f t="shared" si="469"/>
        <v>MR.KPBS.P030</v>
      </c>
      <c r="J277" s="64">
        <f t="shared" si="469"/>
        <v>0.71198447460000003</v>
      </c>
      <c r="K277" s="64">
        <f t="shared" si="469"/>
        <v>124.3232000571</v>
      </c>
      <c r="L277" s="64" t="str">
        <f t="shared" si="469"/>
        <v>JL. RAYA POYOWA BESAR</v>
      </c>
      <c r="M277" s="64" t="str">
        <f t="shared" si="469"/>
        <v>SULAWESU UTARA</v>
      </c>
      <c r="N277" s="65" t="s">
        <v>105</v>
      </c>
      <c r="O277" s="66" t="s">
        <v>118</v>
      </c>
      <c r="P277" s="65" t="s">
        <v>119</v>
      </c>
      <c r="Q277" s="66">
        <v>95717</v>
      </c>
      <c r="R277" s="98"/>
      <c r="S277" s="99"/>
      <c r="T277" s="100"/>
      <c r="U277" s="99"/>
      <c r="V277" s="100"/>
      <c r="W277" s="97" t="s">
        <v>105</v>
      </c>
      <c r="X277" s="101"/>
      <c r="Y277" s="64" t="s">
        <v>106</v>
      </c>
      <c r="Z277" s="64" t="str">
        <f t="shared" si="463"/>
        <v>KELURAHAN POYOWA BESAR SATU KOTAMOBAGU</v>
      </c>
      <c r="AA277" s="102"/>
      <c r="AB277" s="102"/>
      <c r="AC277" s="102" t="s">
        <v>70</v>
      </c>
      <c r="AD277" s="64" t="str">
        <f t="shared" ref="AD277" si="477">AD276</f>
        <v>POYOWA BESAR</v>
      </c>
      <c r="AE277" s="103"/>
      <c r="AF277" s="103"/>
      <c r="AG277" s="103"/>
      <c r="AH277" s="103"/>
      <c r="AI277" s="104"/>
      <c r="AJ277" s="11" t="s">
        <v>519</v>
      </c>
      <c r="AK277" s="102" t="s">
        <v>96</v>
      </c>
      <c r="AL277" s="106"/>
      <c r="AM277" s="192"/>
      <c r="AN277" s="192"/>
      <c r="AO277" s="192"/>
      <c r="AP277" s="192"/>
      <c r="AQ277" s="193" t="s">
        <v>97</v>
      </c>
      <c r="AR277" s="70" t="s">
        <v>349</v>
      </c>
      <c r="AS277" s="71" t="str">
        <f t="shared" si="471"/>
        <v>KPBS-1.019</v>
      </c>
      <c r="AT277" s="71" t="str">
        <f t="shared" si="471"/>
        <v>B11</v>
      </c>
      <c r="AU277" s="105"/>
      <c r="AV277" s="202">
        <v>0.71186194700000005</v>
      </c>
      <c r="AW277" s="202">
        <v>124.32306989529999</v>
      </c>
      <c r="AX277" s="106" t="s">
        <v>98</v>
      </c>
      <c r="AY277" s="106" t="s">
        <v>94</v>
      </c>
      <c r="AZ277" s="106" t="s">
        <v>94</v>
      </c>
      <c r="BA277" s="73" t="s">
        <v>77</v>
      </c>
      <c r="BB277" s="106" t="s">
        <v>98</v>
      </c>
      <c r="BC277" s="106">
        <v>31</v>
      </c>
      <c r="BD277" s="106" t="s">
        <v>98</v>
      </c>
      <c r="BE277" s="211" t="str">
        <f t="shared" si="446"/>
        <v>307, POYOWA BESAR,</v>
      </c>
    </row>
    <row r="278" spans="1:57" s="211" customFormat="1" ht="15.75" customHeight="1">
      <c r="A278" s="218"/>
      <c r="B278" s="219"/>
      <c r="C278" s="219"/>
      <c r="D278" s="219"/>
      <c r="E278" s="219"/>
      <c r="F278" s="219"/>
      <c r="G278" s="220"/>
      <c r="H278" s="12">
        <v>9</v>
      </c>
      <c r="I278" s="64" t="str">
        <f t="shared" si="469"/>
        <v>MR.KPBS.P030</v>
      </c>
      <c r="J278" s="64">
        <f t="shared" si="469"/>
        <v>0.71198447460000003</v>
      </c>
      <c r="K278" s="64">
        <f t="shared" si="469"/>
        <v>124.3232000571</v>
      </c>
      <c r="L278" s="64" t="str">
        <f t="shared" si="469"/>
        <v>JL. RAYA POYOWA BESAR</v>
      </c>
      <c r="M278" s="64" t="str">
        <f t="shared" si="469"/>
        <v>SULAWESU UTARA</v>
      </c>
      <c r="N278" s="65" t="s">
        <v>105</v>
      </c>
      <c r="O278" s="66" t="s">
        <v>118</v>
      </c>
      <c r="P278" s="65" t="s">
        <v>119</v>
      </c>
      <c r="Q278" s="66">
        <v>95717</v>
      </c>
      <c r="R278" s="98"/>
      <c r="S278" s="99"/>
      <c r="T278" s="100"/>
      <c r="U278" s="99"/>
      <c r="V278" s="100"/>
      <c r="W278" s="97" t="s">
        <v>105</v>
      </c>
      <c r="X278" s="101"/>
      <c r="Y278" s="64" t="s">
        <v>106</v>
      </c>
      <c r="Z278" s="64" t="str">
        <f t="shared" si="463"/>
        <v>KELURAHAN POYOWA BESAR SATU KOTAMOBAGU</v>
      </c>
      <c r="AA278" s="102"/>
      <c r="AB278" s="102"/>
      <c r="AC278" s="102" t="s">
        <v>70</v>
      </c>
      <c r="AD278" s="64" t="str">
        <f t="shared" ref="AD278" si="478">AD277</f>
        <v>POYOWA BESAR</v>
      </c>
      <c r="AE278" s="103"/>
      <c r="AF278" s="103"/>
      <c r="AG278" s="103"/>
      <c r="AH278" s="103"/>
      <c r="AI278" s="104"/>
      <c r="AJ278" s="11" t="s">
        <v>520</v>
      </c>
      <c r="AK278" s="102" t="s">
        <v>96</v>
      </c>
      <c r="AL278" s="106"/>
      <c r="AM278" s="106"/>
      <c r="AN278" s="106"/>
      <c r="AO278" s="106"/>
      <c r="AP278" s="106"/>
      <c r="AQ278" s="180" t="s">
        <v>97</v>
      </c>
      <c r="AR278" s="70" t="s">
        <v>349</v>
      </c>
      <c r="AS278" s="71" t="str">
        <f t="shared" si="471"/>
        <v>KPBS-1.019</v>
      </c>
      <c r="AT278" s="71" t="str">
        <f t="shared" si="471"/>
        <v>B11</v>
      </c>
      <c r="AU278" s="105"/>
      <c r="AV278" s="202">
        <v>0.7117600355</v>
      </c>
      <c r="AW278" s="202">
        <v>124.3233150737</v>
      </c>
      <c r="AX278" s="106" t="s">
        <v>98</v>
      </c>
      <c r="AY278" s="106" t="s">
        <v>94</v>
      </c>
      <c r="AZ278" s="106" t="s">
        <v>94</v>
      </c>
      <c r="BA278" s="73" t="s">
        <v>77</v>
      </c>
      <c r="BB278" s="106" t="s">
        <v>98</v>
      </c>
      <c r="BC278" s="106">
        <v>31</v>
      </c>
      <c r="BD278" s="106" t="s">
        <v>98</v>
      </c>
      <c r="BE278" s="211" t="str">
        <f t="shared" si="446"/>
        <v>310, POYOWA BESAR,</v>
      </c>
    </row>
    <row r="279" spans="1:57" s="211" customFormat="1" ht="15.75" customHeight="1">
      <c r="A279" s="218"/>
      <c r="B279" s="219"/>
      <c r="C279" s="219"/>
      <c r="D279" s="219"/>
      <c r="E279" s="219"/>
      <c r="F279" s="219"/>
      <c r="G279" s="220"/>
      <c r="H279" s="12">
        <v>10</v>
      </c>
      <c r="I279" s="64" t="str">
        <f t="shared" si="469"/>
        <v>MR.KPBS.P030</v>
      </c>
      <c r="J279" s="64">
        <f t="shared" si="469"/>
        <v>0.71198447460000003</v>
      </c>
      <c r="K279" s="64">
        <f t="shared" si="469"/>
        <v>124.3232000571</v>
      </c>
      <c r="L279" s="64" t="str">
        <f t="shared" si="469"/>
        <v>JL. RAYA POYOWA BESAR</v>
      </c>
      <c r="M279" s="64" t="str">
        <f t="shared" si="469"/>
        <v>SULAWESU UTARA</v>
      </c>
      <c r="N279" s="65" t="s">
        <v>105</v>
      </c>
      <c r="O279" s="66" t="s">
        <v>118</v>
      </c>
      <c r="P279" s="65" t="s">
        <v>119</v>
      </c>
      <c r="Q279" s="66">
        <v>95717</v>
      </c>
      <c r="R279" s="98"/>
      <c r="S279" s="99"/>
      <c r="T279" s="100"/>
      <c r="U279" s="99"/>
      <c r="V279" s="100"/>
      <c r="W279" s="97" t="s">
        <v>105</v>
      </c>
      <c r="X279" s="101"/>
      <c r="Y279" s="64" t="s">
        <v>106</v>
      </c>
      <c r="Z279" s="64" t="str">
        <f t="shared" si="463"/>
        <v>KELURAHAN POYOWA BESAR SATU KOTAMOBAGU</v>
      </c>
      <c r="AA279" s="102"/>
      <c r="AB279" s="102"/>
      <c r="AC279" s="102" t="s">
        <v>70</v>
      </c>
      <c r="AD279" s="64" t="str">
        <f t="shared" ref="AD279" si="479">AD278</f>
        <v>POYOWA BESAR</v>
      </c>
      <c r="AE279" s="103"/>
      <c r="AF279" s="103"/>
      <c r="AG279" s="103"/>
      <c r="AH279" s="103"/>
      <c r="AI279" s="104"/>
      <c r="AJ279" s="11" t="s">
        <v>521</v>
      </c>
      <c r="AK279" s="102" t="s">
        <v>96</v>
      </c>
      <c r="AL279" s="106"/>
      <c r="AM279" s="106"/>
      <c r="AN279" s="106"/>
      <c r="AO279" s="106"/>
      <c r="AP279" s="106"/>
      <c r="AQ279" s="180" t="s">
        <v>97</v>
      </c>
      <c r="AR279" s="70" t="s">
        <v>349</v>
      </c>
      <c r="AS279" s="71" t="str">
        <f t="shared" si="471"/>
        <v>KPBS-1.019</v>
      </c>
      <c r="AT279" s="71" t="str">
        <f t="shared" si="471"/>
        <v>B11</v>
      </c>
      <c r="AU279" s="105"/>
      <c r="AV279" s="202">
        <v>0.7117698079</v>
      </c>
      <c r="AW279" s="202">
        <v>124.32310472179999</v>
      </c>
      <c r="AX279" s="106" t="s">
        <v>98</v>
      </c>
      <c r="AY279" s="106" t="s">
        <v>94</v>
      </c>
      <c r="AZ279" s="106" t="s">
        <v>94</v>
      </c>
      <c r="BA279" s="73" t="s">
        <v>77</v>
      </c>
      <c r="BB279" s="106" t="s">
        <v>98</v>
      </c>
      <c r="BC279" s="106">
        <v>31</v>
      </c>
      <c r="BD279" s="106" t="s">
        <v>98</v>
      </c>
      <c r="BE279" s="211" t="str">
        <f t="shared" si="446"/>
        <v>309, POYOWA BESAR,</v>
      </c>
    </row>
    <row r="280" spans="1:57" s="211" customFormat="1" ht="15.75" customHeight="1">
      <c r="A280" s="218"/>
      <c r="B280" s="219"/>
      <c r="C280" s="219"/>
      <c r="D280" s="219"/>
      <c r="E280" s="219"/>
      <c r="F280" s="219"/>
      <c r="G280" s="220"/>
      <c r="H280" s="12">
        <v>11</v>
      </c>
      <c r="I280" s="64" t="str">
        <f t="shared" si="469"/>
        <v>MR.KPBS.P030</v>
      </c>
      <c r="J280" s="64">
        <f t="shared" si="469"/>
        <v>0.71198447460000003</v>
      </c>
      <c r="K280" s="64">
        <f t="shared" si="469"/>
        <v>124.3232000571</v>
      </c>
      <c r="L280" s="64" t="str">
        <f t="shared" si="469"/>
        <v>JL. RAYA POYOWA BESAR</v>
      </c>
      <c r="M280" s="64" t="str">
        <f t="shared" si="469"/>
        <v>SULAWESU UTARA</v>
      </c>
      <c r="N280" s="65" t="s">
        <v>105</v>
      </c>
      <c r="O280" s="66" t="s">
        <v>118</v>
      </c>
      <c r="P280" s="65" t="s">
        <v>119</v>
      </c>
      <c r="Q280" s="66">
        <v>95717</v>
      </c>
      <c r="R280" s="98"/>
      <c r="S280" s="99"/>
      <c r="T280" s="100"/>
      <c r="U280" s="99"/>
      <c r="V280" s="100"/>
      <c r="W280" s="97" t="s">
        <v>105</v>
      </c>
      <c r="X280" s="101"/>
      <c r="Y280" s="64" t="s">
        <v>106</v>
      </c>
      <c r="Z280" s="64" t="str">
        <f t="shared" si="463"/>
        <v>KELURAHAN POYOWA BESAR SATU KOTAMOBAGU</v>
      </c>
      <c r="AA280" s="102"/>
      <c r="AB280" s="102"/>
      <c r="AC280" s="102" t="s">
        <v>70</v>
      </c>
      <c r="AD280" s="64" t="str">
        <f t="shared" ref="AD280" si="480">AD279</f>
        <v>POYOWA BESAR</v>
      </c>
      <c r="AE280" s="103"/>
      <c r="AF280" s="103"/>
      <c r="AG280" s="103"/>
      <c r="AH280" s="103"/>
      <c r="AI280" s="104"/>
      <c r="AJ280" s="11" t="s">
        <v>522</v>
      </c>
      <c r="AK280" s="102" t="s">
        <v>96</v>
      </c>
      <c r="AL280" s="106"/>
      <c r="AM280" s="106"/>
      <c r="AN280" s="106"/>
      <c r="AO280" s="106"/>
      <c r="AP280" s="106"/>
      <c r="AQ280" s="180" t="s">
        <v>97</v>
      </c>
      <c r="AR280" s="70" t="s">
        <v>349</v>
      </c>
      <c r="AS280" s="71" t="str">
        <f t="shared" si="471"/>
        <v>KPBS-1.019</v>
      </c>
      <c r="AT280" s="71" t="str">
        <f t="shared" si="471"/>
        <v>B11</v>
      </c>
      <c r="AU280" s="105"/>
      <c r="AV280" s="202">
        <v>0.71168185689999997</v>
      </c>
      <c r="AW280" s="202">
        <v>124.323082433</v>
      </c>
      <c r="AX280" s="106" t="s">
        <v>98</v>
      </c>
      <c r="AY280" s="106" t="s">
        <v>94</v>
      </c>
      <c r="AZ280" s="106" t="s">
        <v>94</v>
      </c>
      <c r="BA280" s="73" t="s">
        <v>77</v>
      </c>
      <c r="BB280" s="106" t="s">
        <v>98</v>
      </c>
      <c r="BC280" s="106">
        <v>31</v>
      </c>
      <c r="BD280" s="106" t="s">
        <v>98</v>
      </c>
      <c r="BE280" s="211" t="str">
        <f t="shared" si="446"/>
        <v>311, POYOWA BESAR,</v>
      </c>
    </row>
    <row r="281" spans="1:57" s="211" customFormat="1" ht="15.75" customHeight="1">
      <c r="A281" s="218"/>
      <c r="B281" s="219"/>
      <c r="C281" s="219"/>
      <c r="D281" s="219"/>
      <c r="E281" s="219"/>
      <c r="F281" s="219"/>
      <c r="G281" s="220"/>
      <c r="H281" s="12">
        <v>12</v>
      </c>
      <c r="I281" s="64" t="str">
        <f t="shared" si="469"/>
        <v>MR.KPBS.P030</v>
      </c>
      <c r="J281" s="64">
        <f t="shared" si="469"/>
        <v>0.71198447460000003</v>
      </c>
      <c r="K281" s="64">
        <f t="shared" si="469"/>
        <v>124.3232000571</v>
      </c>
      <c r="L281" s="64" t="str">
        <f t="shared" si="469"/>
        <v>JL. RAYA POYOWA BESAR</v>
      </c>
      <c r="M281" s="64" t="str">
        <f t="shared" si="469"/>
        <v>SULAWESU UTARA</v>
      </c>
      <c r="N281" s="65" t="s">
        <v>105</v>
      </c>
      <c r="O281" s="66" t="s">
        <v>118</v>
      </c>
      <c r="P281" s="65" t="s">
        <v>119</v>
      </c>
      <c r="Q281" s="66">
        <v>95717</v>
      </c>
      <c r="R281" s="98"/>
      <c r="S281" s="99"/>
      <c r="T281" s="100"/>
      <c r="U281" s="99"/>
      <c r="V281" s="100"/>
      <c r="W281" s="97" t="s">
        <v>105</v>
      </c>
      <c r="X281" s="101"/>
      <c r="Y281" s="64" t="s">
        <v>106</v>
      </c>
      <c r="Z281" s="64" t="str">
        <f t="shared" si="463"/>
        <v>KELURAHAN POYOWA BESAR SATU KOTAMOBAGU</v>
      </c>
      <c r="AA281" s="102"/>
      <c r="AB281" s="102"/>
      <c r="AC281" s="102" t="s">
        <v>70</v>
      </c>
      <c r="AD281" s="64" t="str">
        <f t="shared" ref="AD281" si="481">AD280</f>
        <v>POYOWA BESAR</v>
      </c>
      <c r="AE281" s="103"/>
      <c r="AF281" s="103"/>
      <c r="AG281" s="103"/>
      <c r="AH281" s="103"/>
      <c r="AI281" s="104"/>
      <c r="AJ281" s="11" t="s">
        <v>523</v>
      </c>
      <c r="AK281" s="102" t="s">
        <v>96</v>
      </c>
      <c r="AL281" s="106"/>
      <c r="AM281" s="106"/>
      <c r="AN281" s="106"/>
      <c r="AO281" s="106"/>
      <c r="AP281" s="106"/>
      <c r="AQ281" s="180" t="s">
        <v>97</v>
      </c>
      <c r="AR281" s="70" t="s">
        <v>349</v>
      </c>
      <c r="AS281" s="71" t="str">
        <f t="shared" si="471"/>
        <v>KPBS-1.019</v>
      </c>
      <c r="AT281" s="71" t="str">
        <f t="shared" si="471"/>
        <v>B11</v>
      </c>
      <c r="AU281" s="105"/>
      <c r="AV281" s="202">
        <v>0.71166510429999996</v>
      </c>
      <c r="AW281" s="202">
        <v>124.3233345765</v>
      </c>
      <c r="AX281" s="106" t="s">
        <v>98</v>
      </c>
      <c r="AY281" s="106" t="s">
        <v>94</v>
      </c>
      <c r="AZ281" s="106" t="s">
        <v>94</v>
      </c>
      <c r="BA281" s="73" t="s">
        <v>77</v>
      </c>
      <c r="BB281" s="106" t="s">
        <v>98</v>
      </c>
      <c r="BC281" s="106">
        <v>31</v>
      </c>
      <c r="BD281" s="106" t="s">
        <v>98</v>
      </c>
      <c r="BE281" s="211" t="str">
        <f t="shared" si="446"/>
        <v>312, POYOWA BESAR,</v>
      </c>
    </row>
    <row r="282" spans="1:57" s="211" customFormat="1" ht="15.75" customHeight="1">
      <c r="A282" s="218"/>
      <c r="B282" s="219"/>
      <c r="C282" s="219"/>
      <c r="D282" s="219"/>
      <c r="E282" s="219"/>
      <c r="F282" s="219"/>
      <c r="G282" s="220"/>
      <c r="H282" s="12">
        <v>13</v>
      </c>
      <c r="I282" s="64" t="str">
        <f t="shared" si="469"/>
        <v>MR.KPBS.P030</v>
      </c>
      <c r="J282" s="64">
        <f t="shared" si="469"/>
        <v>0.71198447460000003</v>
      </c>
      <c r="K282" s="64">
        <f t="shared" si="469"/>
        <v>124.3232000571</v>
      </c>
      <c r="L282" s="64" t="str">
        <f t="shared" si="469"/>
        <v>JL. RAYA POYOWA BESAR</v>
      </c>
      <c r="M282" s="64" t="str">
        <f t="shared" si="469"/>
        <v>SULAWESU UTARA</v>
      </c>
      <c r="N282" s="65" t="s">
        <v>105</v>
      </c>
      <c r="O282" s="66" t="s">
        <v>118</v>
      </c>
      <c r="P282" s="65" t="s">
        <v>119</v>
      </c>
      <c r="Q282" s="66">
        <v>95717</v>
      </c>
      <c r="R282" s="98"/>
      <c r="S282" s="99"/>
      <c r="T282" s="100"/>
      <c r="U282" s="99"/>
      <c r="V282" s="100"/>
      <c r="W282" s="97" t="s">
        <v>105</v>
      </c>
      <c r="X282" s="101"/>
      <c r="Y282" s="64" t="s">
        <v>106</v>
      </c>
      <c r="Z282" s="64" t="str">
        <f t="shared" si="463"/>
        <v>KELURAHAN POYOWA BESAR SATU KOTAMOBAGU</v>
      </c>
      <c r="AA282" s="102"/>
      <c r="AB282" s="102"/>
      <c r="AC282" s="102" t="s">
        <v>70</v>
      </c>
      <c r="AD282" s="64" t="str">
        <f t="shared" ref="AD282" si="482">AD281</f>
        <v>POYOWA BESAR</v>
      </c>
      <c r="AE282" s="103"/>
      <c r="AF282" s="103"/>
      <c r="AG282" s="103"/>
      <c r="AH282" s="103"/>
      <c r="AI282" s="104"/>
      <c r="AJ282" s="11" t="s">
        <v>524</v>
      </c>
      <c r="AK282" s="181" t="s">
        <v>96</v>
      </c>
      <c r="AL282" s="181"/>
      <c r="AM282" s="181"/>
      <c r="AN282" s="181"/>
      <c r="AO282" s="181"/>
      <c r="AP282" s="181"/>
      <c r="AQ282" s="182" t="s">
        <v>97</v>
      </c>
      <c r="AR282" s="70" t="s">
        <v>349</v>
      </c>
      <c r="AS282" s="71" t="str">
        <f t="shared" si="471"/>
        <v>KPBS-1.019</v>
      </c>
      <c r="AT282" s="71" t="str">
        <f t="shared" si="471"/>
        <v>B11</v>
      </c>
      <c r="AU282" s="105"/>
      <c r="AV282" s="202">
        <v>0.71162043080000004</v>
      </c>
      <c r="AW282" s="202">
        <v>124.32313954839999</v>
      </c>
      <c r="AX282" s="106" t="s">
        <v>98</v>
      </c>
      <c r="AY282" s="106" t="s">
        <v>94</v>
      </c>
      <c r="AZ282" s="106" t="s">
        <v>94</v>
      </c>
      <c r="BA282" s="73" t="s">
        <v>77</v>
      </c>
      <c r="BB282" s="106" t="s">
        <v>98</v>
      </c>
      <c r="BC282" s="106">
        <v>31</v>
      </c>
      <c r="BD282" s="106" t="s">
        <v>98</v>
      </c>
      <c r="BE282" s="211" t="str">
        <f t="shared" si="446"/>
        <v>313, POYOWA BESAR,</v>
      </c>
    </row>
    <row r="283" spans="1:57" s="211" customFormat="1" ht="15.75" customHeight="1">
      <c r="A283" s="218"/>
      <c r="B283" s="219"/>
      <c r="C283" s="219"/>
      <c r="D283" s="219"/>
      <c r="E283" s="219"/>
      <c r="F283" s="219"/>
      <c r="G283" s="220"/>
      <c r="H283" s="12">
        <v>14</v>
      </c>
      <c r="I283" s="64" t="str">
        <f t="shared" si="469"/>
        <v>MR.KPBS.P030</v>
      </c>
      <c r="J283" s="64">
        <f t="shared" si="469"/>
        <v>0.71198447460000003</v>
      </c>
      <c r="K283" s="64">
        <f t="shared" si="469"/>
        <v>124.3232000571</v>
      </c>
      <c r="L283" s="64" t="str">
        <f t="shared" si="469"/>
        <v>JL. RAYA POYOWA BESAR</v>
      </c>
      <c r="M283" s="64" t="str">
        <f t="shared" si="469"/>
        <v>SULAWESU UTARA</v>
      </c>
      <c r="N283" s="65" t="s">
        <v>105</v>
      </c>
      <c r="O283" s="66" t="s">
        <v>118</v>
      </c>
      <c r="P283" s="65" t="s">
        <v>119</v>
      </c>
      <c r="Q283" s="66">
        <v>95717</v>
      </c>
      <c r="R283" s="98"/>
      <c r="S283" s="99"/>
      <c r="T283" s="100"/>
      <c r="U283" s="99"/>
      <c r="V283" s="100"/>
      <c r="W283" s="97" t="s">
        <v>105</v>
      </c>
      <c r="X283" s="101"/>
      <c r="Y283" s="64" t="s">
        <v>106</v>
      </c>
      <c r="Z283" s="64" t="str">
        <f t="shared" si="463"/>
        <v>KELURAHAN POYOWA BESAR SATU KOTAMOBAGU</v>
      </c>
      <c r="AA283" s="102"/>
      <c r="AB283" s="102"/>
      <c r="AC283" s="102" t="s">
        <v>70</v>
      </c>
      <c r="AD283" s="64" t="str">
        <f t="shared" ref="AD283" si="483">AD282</f>
        <v>POYOWA BESAR</v>
      </c>
      <c r="AE283" s="103"/>
      <c r="AF283" s="103"/>
      <c r="AG283" s="103"/>
      <c r="AH283" s="103"/>
      <c r="AI283" s="104"/>
      <c r="AJ283" s="11" t="s">
        <v>525</v>
      </c>
      <c r="AK283" s="181" t="s">
        <v>96</v>
      </c>
      <c r="AL283" s="181"/>
      <c r="AM283" s="181"/>
      <c r="AN283" s="181"/>
      <c r="AO283" s="181"/>
      <c r="AP283" s="181"/>
      <c r="AQ283" s="182" t="s">
        <v>97</v>
      </c>
      <c r="AR283" s="70" t="s">
        <v>349</v>
      </c>
      <c r="AS283" s="71" t="str">
        <f t="shared" si="471"/>
        <v>KPBS-1.019</v>
      </c>
      <c r="AT283" s="71" t="str">
        <f t="shared" si="471"/>
        <v>B11</v>
      </c>
      <c r="AU283" s="105"/>
      <c r="AV283" s="202">
        <v>0.71156989020000005</v>
      </c>
      <c r="AW283" s="202">
        <v>124.3233290174</v>
      </c>
      <c r="AX283" s="106" t="s">
        <v>98</v>
      </c>
      <c r="AY283" s="106" t="s">
        <v>94</v>
      </c>
      <c r="AZ283" s="106" t="s">
        <v>94</v>
      </c>
      <c r="BA283" s="73" t="s">
        <v>77</v>
      </c>
      <c r="BB283" s="106" t="s">
        <v>98</v>
      </c>
      <c r="BC283" s="106">
        <v>31</v>
      </c>
      <c r="BD283" s="106" t="s">
        <v>98</v>
      </c>
      <c r="BE283" s="211" t="str">
        <f t="shared" si="446"/>
        <v>314, POYOWA BESAR,</v>
      </c>
    </row>
    <row r="284" spans="1:57" s="211" customFormat="1" ht="15.75" customHeight="1">
      <c r="A284" s="218"/>
      <c r="B284" s="219"/>
      <c r="C284" s="219"/>
      <c r="D284" s="219"/>
      <c r="E284" s="219"/>
      <c r="F284" s="219"/>
      <c r="G284" s="220"/>
      <c r="H284" s="12">
        <v>15</v>
      </c>
      <c r="I284" s="64" t="str">
        <f t="shared" si="469"/>
        <v>MR.KPBS.P030</v>
      </c>
      <c r="J284" s="64">
        <f t="shared" si="469"/>
        <v>0.71198447460000003</v>
      </c>
      <c r="K284" s="64">
        <f t="shared" si="469"/>
        <v>124.3232000571</v>
      </c>
      <c r="L284" s="64" t="str">
        <f t="shared" si="469"/>
        <v>JL. RAYA POYOWA BESAR</v>
      </c>
      <c r="M284" s="64" t="str">
        <f t="shared" si="469"/>
        <v>SULAWESU UTARA</v>
      </c>
      <c r="N284" s="65" t="s">
        <v>105</v>
      </c>
      <c r="O284" s="66" t="s">
        <v>118</v>
      </c>
      <c r="P284" s="65" t="s">
        <v>119</v>
      </c>
      <c r="Q284" s="66">
        <v>95717</v>
      </c>
      <c r="R284" s="98"/>
      <c r="S284" s="99"/>
      <c r="T284" s="100"/>
      <c r="U284" s="99"/>
      <c r="V284" s="100"/>
      <c r="W284" s="97" t="s">
        <v>105</v>
      </c>
      <c r="X284" s="101"/>
      <c r="Y284" s="64" t="s">
        <v>106</v>
      </c>
      <c r="Z284" s="64" t="str">
        <f t="shared" si="463"/>
        <v>KELURAHAN POYOWA BESAR SATU KOTAMOBAGU</v>
      </c>
      <c r="AA284" s="102"/>
      <c r="AB284" s="102"/>
      <c r="AC284" s="102" t="s">
        <v>70</v>
      </c>
      <c r="AD284" s="64" t="str">
        <f t="shared" ref="AD284" si="484">AD283</f>
        <v>POYOWA BESAR</v>
      </c>
      <c r="AE284" s="103"/>
      <c r="AF284" s="103"/>
      <c r="AG284" s="103"/>
      <c r="AH284" s="103"/>
      <c r="AI284" s="104"/>
      <c r="AJ284" s="11" t="s">
        <v>526</v>
      </c>
      <c r="AK284" s="181" t="s">
        <v>96</v>
      </c>
      <c r="AL284" s="181"/>
      <c r="AM284" s="181"/>
      <c r="AN284" s="181"/>
      <c r="AO284" s="181"/>
      <c r="AP284" s="181"/>
      <c r="AQ284" s="182" t="s">
        <v>97</v>
      </c>
      <c r="AR284" s="70" t="s">
        <v>349</v>
      </c>
      <c r="AS284" s="71" t="str">
        <f t="shared" si="471"/>
        <v>KPBS-1.019</v>
      </c>
      <c r="AT284" s="71" t="str">
        <f t="shared" si="471"/>
        <v>B11</v>
      </c>
      <c r="AU284" s="105"/>
      <c r="AV284" s="202">
        <v>0.71155034549999996</v>
      </c>
      <c r="AW284" s="202">
        <v>124.323157671</v>
      </c>
      <c r="AX284" s="106" t="s">
        <v>98</v>
      </c>
      <c r="AY284" s="106" t="s">
        <v>94</v>
      </c>
      <c r="AZ284" s="106" t="s">
        <v>94</v>
      </c>
      <c r="BA284" s="73" t="s">
        <v>77</v>
      </c>
      <c r="BB284" s="106" t="s">
        <v>98</v>
      </c>
      <c r="BC284" s="106">
        <v>31</v>
      </c>
      <c r="BD284" s="106" t="s">
        <v>98</v>
      </c>
      <c r="BE284" s="211" t="str">
        <f t="shared" si="446"/>
        <v>315, POYOWA BESAR,</v>
      </c>
    </row>
    <row r="285" spans="1:57" s="211" customFormat="1" ht="15.75" customHeight="1">
      <c r="A285" s="245"/>
      <c r="B285" s="246"/>
      <c r="C285" s="246"/>
      <c r="D285" s="246"/>
      <c r="E285" s="246"/>
      <c r="F285" s="246"/>
      <c r="G285" s="247"/>
      <c r="H285" s="12">
        <v>16</v>
      </c>
      <c r="I285" s="64" t="str">
        <f t="shared" si="469"/>
        <v>MR.KPBS.P030</v>
      </c>
      <c r="J285" s="64">
        <f t="shared" si="469"/>
        <v>0.71198447460000003</v>
      </c>
      <c r="K285" s="64">
        <f t="shared" si="469"/>
        <v>124.3232000571</v>
      </c>
      <c r="L285" s="64" t="str">
        <f t="shared" si="469"/>
        <v>JL. RAYA POYOWA BESAR</v>
      </c>
      <c r="M285" s="64" t="str">
        <f t="shared" si="469"/>
        <v>SULAWESU UTARA</v>
      </c>
      <c r="N285" s="65" t="s">
        <v>105</v>
      </c>
      <c r="O285" s="66" t="s">
        <v>118</v>
      </c>
      <c r="P285" s="65" t="s">
        <v>119</v>
      </c>
      <c r="Q285" s="66">
        <v>95717</v>
      </c>
      <c r="R285" s="98"/>
      <c r="S285" s="99"/>
      <c r="T285" s="100"/>
      <c r="U285" s="99"/>
      <c r="V285" s="100"/>
      <c r="W285" s="97" t="s">
        <v>105</v>
      </c>
      <c r="X285" s="101"/>
      <c r="Y285" s="64" t="s">
        <v>106</v>
      </c>
      <c r="Z285" s="64" t="str">
        <f t="shared" si="463"/>
        <v>KELURAHAN POYOWA BESAR SATU KOTAMOBAGU</v>
      </c>
      <c r="AA285" s="102"/>
      <c r="AB285" s="102"/>
      <c r="AC285" s="102" t="s">
        <v>70</v>
      </c>
      <c r="AD285" s="64" t="str">
        <f t="shared" ref="AD285" si="485">AD284</f>
        <v>POYOWA BESAR</v>
      </c>
      <c r="AE285" s="103"/>
      <c r="AF285" s="103"/>
      <c r="AG285" s="103"/>
      <c r="AH285" s="103"/>
      <c r="AI285" s="104"/>
      <c r="AJ285" s="11" t="s">
        <v>527</v>
      </c>
      <c r="AK285" s="178" t="s">
        <v>96</v>
      </c>
      <c r="AL285" s="178"/>
      <c r="AM285" s="178"/>
      <c r="AN285" s="178"/>
      <c r="AO285" s="178"/>
      <c r="AP285" s="178"/>
      <c r="AQ285" s="179" t="s">
        <v>97</v>
      </c>
      <c r="AR285" s="70" t="s">
        <v>349</v>
      </c>
      <c r="AS285" s="71" t="str">
        <f t="shared" si="471"/>
        <v>KPBS-1.019</v>
      </c>
      <c r="AT285" s="71" t="str">
        <f t="shared" si="471"/>
        <v>B11</v>
      </c>
      <c r="AU285" s="72"/>
      <c r="AV285" s="202">
        <v>0.7114777511</v>
      </c>
      <c r="AW285" s="202">
        <v>124.32317438779999</v>
      </c>
      <c r="AX285" s="106" t="s">
        <v>98</v>
      </c>
      <c r="AY285" s="106" t="s">
        <v>94</v>
      </c>
      <c r="AZ285" s="106" t="s">
        <v>94</v>
      </c>
      <c r="BA285" s="73" t="s">
        <v>77</v>
      </c>
      <c r="BB285" s="106" t="s">
        <v>98</v>
      </c>
      <c r="BC285" s="106">
        <v>31</v>
      </c>
      <c r="BD285" s="106" t="s">
        <v>98</v>
      </c>
      <c r="BE285" s="211" t="str">
        <f t="shared" si="446"/>
        <v>316, POYOWA BESAR,</v>
      </c>
    </row>
    <row r="286" spans="1:57" s="211" customFormat="1" ht="15.75" customHeight="1">
      <c r="A286" s="121" t="s">
        <v>100</v>
      </c>
      <c r="B286" s="121">
        <f>B270+1</f>
        <v>20</v>
      </c>
      <c r="C286" s="122" t="s">
        <v>99</v>
      </c>
      <c r="D286" s="122" t="s">
        <v>101</v>
      </c>
      <c r="E286" s="122">
        <v>3</v>
      </c>
      <c r="F286" s="2">
        <f>F271+1</f>
        <v>27</v>
      </c>
      <c r="G286" s="213" t="s">
        <v>92</v>
      </c>
      <c r="H286" s="123">
        <v>1</v>
      </c>
      <c r="I286" s="124" t="s">
        <v>329</v>
      </c>
      <c r="J286" s="125">
        <v>0.71135297539999998</v>
      </c>
      <c r="K286" s="125">
        <v>124.32328855199999</v>
      </c>
      <c r="L286" s="16" t="s">
        <v>116</v>
      </c>
      <c r="M286" s="140" t="str">
        <f t="shared" ref="M286" si="486">M285</f>
        <v>SULAWESU UTARA</v>
      </c>
      <c r="N286" s="13" t="s">
        <v>105</v>
      </c>
      <c r="O286" s="127" t="s">
        <v>118</v>
      </c>
      <c r="P286" s="13" t="s">
        <v>119</v>
      </c>
      <c r="Q286" s="127">
        <v>95717</v>
      </c>
      <c r="R286" s="128"/>
      <c r="S286" s="129"/>
      <c r="T286" s="130"/>
      <c r="U286" s="129"/>
      <c r="V286" s="130"/>
      <c r="W286" s="126" t="s">
        <v>105</v>
      </c>
      <c r="X286" s="125"/>
      <c r="Y286" s="140" t="s">
        <v>106</v>
      </c>
      <c r="Z286" s="140" t="str">
        <f t="shared" si="463"/>
        <v>KELURAHAN POYOWA BESAR SATU KOTAMOBAGU</v>
      </c>
      <c r="AA286" s="131"/>
      <c r="AB286" s="131"/>
      <c r="AC286" s="131" t="s">
        <v>70</v>
      </c>
      <c r="AD286" s="16" t="s">
        <v>119</v>
      </c>
      <c r="AE286" s="15"/>
      <c r="AF286" s="15"/>
      <c r="AG286" s="15"/>
      <c r="AH286" s="15"/>
      <c r="AI286" s="132"/>
      <c r="AJ286" s="133" t="s">
        <v>528</v>
      </c>
      <c r="AK286" s="131" t="s">
        <v>96</v>
      </c>
      <c r="AL286" s="137"/>
      <c r="AM286" s="194"/>
      <c r="AN286" s="194"/>
      <c r="AO286" s="194"/>
      <c r="AP286" s="194"/>
      <c r="AQ286" s="195" t="s">
        <v>97</v>
      </c>
      <c r="AR286" s="134" t="s">
        <v>349</v>
      </c>
      <c r="AS286" s="135" t="str">
        <f>AS270</f>
        <v>KPBS-1.019</v>
      </c>
      <c r="AT286" s="135" t="str">
        <f>G286</f>
        <v>B12</v>
      </c>
      <c r="AU286" s="136"/>
      <c r="AV286" s="205">
        <v>0.71145820640000002</v>
      </c>
      <c r="AW286" s="205">
        <v>124.32336663</v>
      </c>
      <c r="AX286" s="137" t="s">
        <v>98</v>
      </c>
      <c r="AY286" s="137" t="s">
        <v>94</v>
      </c>
      <c r="AZ286" s="137" t="s">
        <v>94</v>
      </c>
      <c r="BA286" s="138" t="s">
        <v>77</v>
      </c>
      <c r="BB286" s="137" t="s">
        <v>98</v>
      </c>
      <c r="BC286" s="137">
        <v>31</v>
      </c>
      <c r="BD286" s="137" t="s">
        <v>98</v>
      </c>
      <c r="BE286" s="211" t="str">
        <f t="shared" ref="BE286:BE317" si="487">AJ286&amp;", "&amp;AD286&amp;","&amp;AI286</f>
        <v>317, POYOWA BESAR,</v>
      </c>
    </row>
    <row r="287" spans="1:57" s="211" customFormat="1" ht="15.75" customHeight="1">
      <c r="A287" s="21"/>
      <c r="B287" s="21"/>
      <c r="C287" s="22" t="s">
        <v>99</v>
      </c>
      <c r="D287" s="22" t="s">
        <v>101</v>
      </c>
      <c r="E287" s="122">
        <v>3</v>
      </c>
      <c r="F287" s="6">
        <f>F286+1</f>
        <v>28</v>
      </c>
      <c r="G287" s="213"/>
      <c r="H287" s="12">
        <v>2</v>
      </c>
      <c r="I287" s="64" t="str">
        <f t="shared" ref="I287:M287" si="488">I286</f>
        <v>MR.KPBS.P032</v>
      </c>
      <c r="J287" s="64">
        <f t="shared" si="488"/>
        <v>0.71135297539999998</v>
      </c>
      <c r="K287" s="64">
        <f t="shared" si="488"/>
        <v>124.32328855199999</v>
      </c>
      <c r="L287" s="64" t="str">
        <f t="shared" si="488"/>
        <v>JL. RAYA POYOWA BESAR</v>
      </c>
      <c r="M287" s="64" t="str">
        <f t="shared" si="488"/>
        <v>SULAWESU UTARA</v>
      </c>
      <c r="N287" s="65" t="s">
        <v>105</v>
      </c>
      <c r="O287" s="66" t="s">
        <v>118</v>
      </c>
      <c r="P287" s="65" t="s">
        <v>119</v>
      </c>
      <c r="Q287" s="66">
        <v>95717</v>
      </c>
      <c r="R287" s="98"/>
      <c r="S287" s="99"/>
      <c r="T287" s="100"/>
      <c r="U287" s="99"/>
      <c r="V287" s="100"/>
      <c r="W287" s="97" t="s">
        <v>105</v>
      </c>
      <c r="X287" s="101"/>
      <c r="Y287" s="64" t="s">
        <v>106</v>
      </c>
      <c r="Z287" s="64" t="str">
        <f t="shared" si="463"/>
        <v>KELURAHAN POYOWA BESAR SATU KOTAMOBAGU</v>
      </c>
      <c r="AA287" s="102"/>
      <c r="AB287" s="102"/>
      <c r="AC287" s="102" t="s">
        <v>70</v>
      </c>
      <c r="AD287" s="64" t="str">
        <f t="shared" ref="AD287" si="489">AD286</f>
        <v>POYOWA BESAR</v>
      </c>
      <c r="AE287" s="103"/>
      <c r="AF287" s="103"/>
      <c r="AG287" s="103"/>
      <c r="AH287" s="103"/>
      <c r="AI287" s="104"/>
      <c r="AJ287" s="11" t="s">
        <v>529</v>
      </c>
      <c r="AK287" s="102" t="s">
        <v>96</v>
      </c>
      <c r="AL287" s="106"/>
      <c r="AM287" s="192"/>
      <c r="AN287" s="192"/>
      <c r="AO287" s="192"/>
      <c r="AP287" s="192"/>
      <c r="AQ287" s="180" t="s">
        <v>97</v>
      </c>
      <c r="AR287" s="70" t="s">
        <v>349</v>
      </c>
      <c r="AS287" s="71" t="str">
        <f t="shared" ref="AS287:AT287" si="490">AS286</f>
        <v>KPBS-1.019</v>
      </c>
      <c r="AT287" s="71" t="str">
        <f t="shared" si="490"/>
        <v>B12</v>
      </c>
      <c r="AU287" s="105"/>
      <c r="AV287" s="202">
        <v>0.71139542089999996</v>
      </c>
      <c r="AW287" s="202">
        <v>124.3231775208</v>
      </c>
      <c r="AX287" s="106" t="s">
        <v>98</v>
      </c>
      <c r="AY287" s="106" t="s">
        <v>94</v>
      </c>
      <c r="AZ287" s="106" t="s">
        <v>94</v>
      </c>
      <c r="BA287" s="73" t="s">
        <v>77</v>
      </c>
      <c r="BB287" s="106" t="s">
        <v>98</v>
      </c>
      <c r="BC287" s="106">
        <v>31</v>
      </c>
      <c r="BD287" s="106" t="s">
        <v>98</v>
      </c>
      <c r="BE287" s="211" t="str">
        <f t="shared" si="487"/>
        <v>319, POYOWA BESAR,</v>
      </c>
    </row>
    <row r="288" spans="1:57" s="211" customFormat="1" ht="15.75" customHeight="1">
      <c r="A288" s="215"/>
      <c r="B288" s="216"/>
      <c r="C288" s="216"/>
      <c r="D288" s="216"/>
      <c r="E288" s="216"/>
      <c r="F288" s="216"/>
      <c r="G288" s="217"/>
      <c r="H288" s="12">
        <v>3</v>
      </c>
      <c r="I288" s="64" t="str">
        <f t="shared" ref="I288:M288" si="491">I287</f>
        <v>MR.KPBS.P032</v>
      </c>
      <c r="J288" s="64">
        <f t="shared" si="491"/>
        <v>0.71135297539999998</v>
      </c>
      <c r="K288" s="64">
        <f t="shared" si="491"/>
        <v>124.32328855199999</v>
      </c>
      <c r="L288" s="64" t="str">
        <f t="shared" si="491"/>
        <v>JL. RAYA POYOWA BESAR</v>
      </c>
      <c r="M288" s="64" t="str">
        <f t="shared" si="491"/>
        <v>SULAWESU UTARA</v>
      </c>
      <c r="N288" s="65" t="s">
        <v>105</v>
      </c>
      <c r="O288" s="66" t="s">
        <v>118</v>
      </c>
      <c r="P288" s="65" t="s">
        <v>119</v>
      </c>
      <c r="Q288" s="66">
        <v>95717</v>
      </c>
      <c r="R288" s="98"/>
      <c r="S288" s="99"/>
      <c r="T288" s="100"/>
      <c r="U288" s="99"/>
      <c r="V288" s="100"/>
      <c r="W288" s="97" t="s">
        <v>105</v>
      </c>
      <c r="X288" s="101"/>
      <c r="Y288" s="64" t="s">
        <v>106</v>
      </c>
      <c r="Z288" s="64" t="str">
        <f t="shared" si="463"/>
        <v>KELURAHAN POYOWA BESAR SATU KOTAMOBAGU</v>
      </c>
      <c r="AA288" s="102"/>
      <c r="AB288" s="102"/>
      <c r="AC288" s="102" t="s">
        <v>70</v>
      </c>
      <c r="AD288" s="64" t="str">
        <f t="shared" ref="AD288" si="492">AD287</f>
        <v>POYOWA BESAR</v>
      </c>
      <c r="AE288" s="103"/>
      <c r="AF288" s="103"/>
      <c r="AG288" s="103"/>
      <c r="AH288" s="103"/>
      <c r="AI288" s="104"/>
      <c r="AJ288" s="11" t="s">
        <v>530</v>
      </c>
      <c r="AK288" s="102" t="s">
        <v>96</v>
      </c>
      <c r="AL288" s="106"/>
      <c r="AM288" s="192"/>
      <c r="AN288" s="192"/>
      <c r="AO288" s="192"/>
      <c r="AP288" s="192"/>
      <c r="AQ288" s="180" t="s">
        <v>97</v>
      </c>
      <c r="AR288" s="70" t="s">
        <v>349</v>
      </c>
      <c r="AS288" s="71" t="str">
        <f t="shared" ref="AS288:AT288" si="493">AS287</f>
        <v>KPBS-1.019</v>
      </c>
      <c r="AT288" s="71" t="str">
        <f t="shared" si="493"/>
        <v>B12</v>
      </c>
      <c r="AU288" s="105"/>
      <c r="AV288" s="202">
        <v>0.71136053349999895</v>
      </c>
      <c r="AW288" s="202">
        <v>124.323446374</v>
      </c>
      <c r="AX288" s="106" t="s">
        <v>98</v>
      </c>
      <c r="AY288" s="106" t="s">
        <v>94</v>
      </c>
      <c r="AZ288" s="106" t="s">
        <v>94</v>
      </c>
      <c r="BA288" s="73" t="s">
        <v>77</v>
      </c>
      <c r="BB288" s="106" t="s">
        <v>98</v>
      </c>
      <c r="BC288" s="106">
        <v>31</v>
      </c>
      <c r="BD288" s="106" t="s">
        <v>98</v>
      </c>
      <c r="BE288" s="211" t="str">
        <f t="shared" si="487"/>
        <v>318, POYOWA BESAR,</v>
      </c>
    </row>
    <row r="289" spans="1:57" s="211" customFormat="1" ht="15.75" customHeight="1">
      <c r="A289" s="218"/>
      <c r="B289" s="219"/>
      <c r="C289" s="219"/>
      <c r="D289" s="219"/>
      <c r="E289" s="219"/>
      <c r="F289" s="219"/>
      <c r="G289" s="220"/>
      <c r="H289" s="12">
        <v>4</v>
      </c>
      <c r="I289" s="64" t="str">
        <f t="shared" ref="I289:M289" si="494">I288</f>
        <v>MR.KPBS.P032</v>
      </c>
      <c r="J289" s="64">
        <f t="shared" si="494"/>
        <v>0.71135297539999998</v>
      </c>
      <c r="K289" s="64">
        <f t="shared" si="494"/>
        <v>124.32328855199999</v>
      </c>
      <c r="L289" s="64" t="str">
        <f t="shared" si="494"/>
        <v>JL. RAYA POYOWA BESAR</v>
      </c>
      <c r="M289" s="64" t="str">
        <f t="shared" si="494"/>
        <v>SULAWESU UTARA</v>
      </c>
      <c r="N289" s="65" t="s">
        <v>105</v>
      </c>
      <c r="O289" s="66" t="s">
        <v>118</v>
      </c>
      <c r="P289" s="65" t="s">
        <v>119</v>
      </c>
      <c r="Q289" s="66">
        <v>95717</v>
      </c>
      <c r="R289" s="98"/>
      <c r="S289" s="99"/>
      <c r="T289" s="100"/>
      <c r="U289" s="99"/>
      <c r="V289" s="100"/>
      <c r="W289" s="97" t="s">
        <v>105</v>
      </c>
      <c r="X289" s="101"/>
      <c r="Y289" s="64" t="s">
        <v>106</v>
      </c>
      <c r="Z289" s="64" t="str">
        <f t="shared" si="463"/>
        <v>KELURAHAN POYOWA BESAR SATU KOTAMOBAGU</v>
      </c>
      <c r="AA289" s="102"/>
      <c r="AB289" s="102"/>
      <c r="AC289" s="102" t="s">
        <v>70</v>
      </c>
      <c r="AD289" s="64" t="str">
        <f t="shared" ref="AD289" si="495">AD288</f>
        <v>POYOWA BESAR</v>
      </c>
      <c r="AE289" s="103"/>
      <c r="AF289" s="103"/>
      <c r="AG289" s="103"/>
      <c r="AH289" s="103"/>
      <c r="AI289" s="104"/>
      <c r="AJ289" s="11" t="s">
        <v>531</v>
      </c>
      <c r="AK289" s="102" t="s">
        <v>96</v>
      </c>
      <c r="AL289" s="106"/>
      <c r="AM289" s="192"/>
      <c r="AN289" s="192"/>
      <c r="AO289" s="192"/>
      <c r="AP289" s="192"/>
      <c r="AQ289" s="180" t="s">
        <v>97</v>
      </c>
      <c r="AR289" s="70" t="s">
        <v>349</v>
      </c>
      <c r="AS289" s="71" t="str">
        <f t="shared" ref="AS289:AT289" si="496">AS288</f>
        <v>KPBS-1.019</v>
      </c>
      <c r="AT289" s="71" t="str">
        <f t="shared" si="496"/>
        <v>B12</v>
      </c>
      <c r="AU289" s="105"/>
      <c r="AV289" s="202">
        <v>0.71124855079999905</v>
      </c>
      <c r="AW289" s="202">
        <v>124.32342771090001</v>
      </c>
      <c r="AX289" s="106" t="s">
        <v>98</v>
      </c>
      <c r="AY289" s="106" t="s">
        <v>94</v>
      </c>
      <c r="AZ289" s="106" t="s">
        <v>94</v>
      </c>
      <c r="BA289" s="73" t="s">
        <v>77</v>
      </c>
      <c r="BB289" s="106" t="s">
        <v>98</v>
      </c>
      <c r="BC289" s="106">
        <v>31</v>
      </c>
      <c r="BD289" s="106" t="s">
        <v>98</v>
      </c>
      <c r="BE289" s="211" t="str">
        <f t="shared" si="487"/>
        <v>320, POYOWA BESAR,</v>
      </c>
    </row>
    <row r="290" spans="1:57" s="211" customFormat="1" ht="15.75" customHeight="1">
      <c r="A290" s="218"/>
      <c r="B290" s="219"/>
      <c r="C290" s="219"/>
      <c r="D290" s="219"/>
      <c r="E290" s="219"/>
      <c r="F290" s="219"/>
      <c r="G290" s="220"/>
      <c r="H290" s="12">
        <v>5</v>
      </c>
      <c r="I290" s="64" t="str">
        <f t="shared" ref="I290:M290" si="497">I289</f>
        <v>MR.KPBS.P032</v>
      </c>
      <c r="J290" s="64">
        <f t="shared" si="497"/>
        <v>0.71135297539999998</v>
      </c>
      <c r="K290" s="64">
        <f t="shared" si="497"/>
        <v>124.32328855199999</v>
      </c>
      <c r="L290" s="64" t="str">
        <f t="shared" si="497"/>
        <v>JL. RAYA POYOWA BESAR</v>
      </c>
      <c r="M290" s="64" t="str">
        <f t="shared" si="497"/>
        <v>SULAWESU UTARA</v>
      </c>
      <c r="N290" s="65" t="s">
        <v>105</v>
      </c>
      <c r="O290" s="66" t="s">
        <v>118</v>
      </c>
      <c r="P290" s="65" t="s">
        <v>119</v>
      </c>
      <c r="Q290" s="66">
        <v>95717</v>
      </c>
      <c r="R290" s="98"/>
      <c r="S290" s="99"/>
      <c r="T290" s="100"/>
      <c r="U290" s="99"/>
      <c r="V290" s="100"/>
      <c r="W290" s="97" t="s">
        <v>105</v>
      </c>
      <c r="X290" s="101"/>
      <c r="Y290" s="64" t="s">
        <v>106</v>
      </c>
      <c r="Z290" s="64" t="str">
        <f t="shared" si="463"/>
        <v>KELURAHAN POYOWA BESAR SATU KOTAMOBAGU</v>
      </c>
      <c r="AA290" s="102"/>
      <c r="AB290" s="102"/>
      <c r="AC290" s="102" t="s">
        <v>70</v>
      </c>
      <c r="AD290" s="64" t="str">
        <f t="shared" ref="AD290" si="498">AD289</f>
        <v>POYOWA BESAR</v>
      </c>
      <c r="AE290" s="103"/>
      <c r="AF290" s="103"/>
      <c r="AG290" s="103"/>
      <c r="AH290" s="103"/>
      <c r="AI290" s="104"/>
      <c r="AJ290" s="11" t="s">
        <v>532</v>
      </c>
      <c r="AK290" s="102" t="s">
        <v>96</v>
      </c>
      <c r="AL290" s="106"/>
      <c r="AM290" s="192"/>
      <c r="AN290" s="192"/>
      <c r="AO290" s="192"/>
      <c r="AP290" s="192"/>
      <c r="AQ290" s="180" t="s">
        <v>97</v>
      </c>
      <c r="AR290" s="70" t="s">
        <v>349</v>
      </c>
      <c r="AS290" s="71" t="str">
        <f t="shared" ref="AS290:AT290" si="499">AS289</f>
        <v>KPBS-1.019</v>
      </c>
      <c r="AT290" s="71" t="str">
        <f t="shared" si="499"/>
        <v>B12</v>
      </c>
      <c r="AU290" s="105"/>
      <c r="AV290" s="202">
        <v>0.71126678899999995</v>
      </c>
      <c r="AW290" s="202">
        <v>124.3231463236</v>
      </c>
      <c r="AX290" s="106" t="s">
        <v>98</v>
      </c>
      <c r="AY290" s="106" t="s">
        <v>94</v>
      </c>
      <c r="AZ290" s="106" t="s">
        <v>94</v>
      </c>
      <c r="BA290" s="73" t="s">
        <v>77</v>
      </c>
      <c r="BB290" s="106" t="s">
        <v>98</v>
      </c>
      <c r="BC290" s="106">
        <v>31</v>
      </c>
      <c r="BD290" s="106" t="s">
        <v>98</v>
      </c>
      <c r="BE290" s="211" t="str">
        <f t="shared" si="487"/>
        <v>321, POYOWA BESAR,</v>
      </c>
    </row>
    <row r="291" spans="1:57" s="211" customFormat="1" ht="15.75" customHeight="1">
      <c r="A291" s="218"/>
      <c r="B291" s="219"/>
      <c r="C291" s="219"/>
      <c r="D291" s="219"/>
      <c r="E291" s="219"/>
      <c r="F291" s="219"/>
      <c r="G291" s="220"/>
      <c r="H291" s="12">
        <v>6</v>
      </c>
      <c r="I291" s="64" t="str">
        <f t="shared" ref="I291:M291" si="500">I290</f>
        <v>MR.KPBS.P032</v>
      </c>
      <c r="J291" s="64">
        <f t="shared" si="500"/>
        <v>0.71135297539999998</v>
      </c>
      <c r="K291" s="64">
        <f t="shared" si="500"/>
        <v>124.32328855199999</v>
      </c>
      <c r="L291" s="64" t="str">
        <f t="shared" si="500"/>
        <v>JL. RAYA POYOWA BESAR</v>
      </c>
      <c r="M291" s="64" t="str">
        <f t="shared" si="500"/>
        <v>SULAWESU UTARA</v>
      </c>
      <c r="N291" s="65" t="s">
        <v>105</v>
      </c>
      <c r="O291" s="66" t="s">
        <v>118</v>
      </c>
      <c r="P291" s="65" t="s">
        <v>119</v>
      </c>
      <c r="Q291" s="66">
        <v>95717</v>
      </c>
      <c r="R291" s="98"/>
      <c r="S291" s="99"/>
      <c r="T291" s="100"/>
      <c r="U291" s="99"/>
      <c r="V291" s="100"/>
      <c r="W291" s="97" t="s">
        <v>105</v>
      </c>
      <c r="X291" s="101"/>
      <c r="Y291" s="64" t="s">
        <v>106</v>
      </c>
      <c r="Z291" s="64" t="str">
        <f t="shared" si="463"/>
        <v>KELURAHAN POYOWA BESAR SATU KOTAMOBAGU</v>
      </c>
      <c r="AA291" s="102"/>
      <c r="AB291" s="102"/>
      <c r="AC291" s="102" t="s">
        <v>70</v>
      </c>
      <c r="AD291" s="64" t="str">
        <f t="shared" ref="AD291:AD293" si="501">AD290</f>
        <v>POYOWA BESAR</v>
      </c>
      <c r="AE291" s="103"/>
      <c r="AF291" s="103"/>
      <c r="AG291" s="103"/>
      <c r="AH291" s="103"/>
      <c r="AI291" s="104"/>
      <c r="AJ291" s="11" t="s">
        <v>533</v>
      </c>
      <c r="AK291" s="102" t="s">
        <v>96</v>
      </c>
      <c r="AL291" s="106"/>
      <c r="AM291" s="192"/>
      <c r="AN291" s="192"/>
      <c r="AO291" s="192"/>
      <c r="AP291" s="192"/>
      <c r="AQ291" s="180" t="s">
        <v>97</v>
      </c>
      <c r="AR291" s="70" t="s">
        <v>349</v>
      </c>
      <c r="AS291" s="71" t="str">
        <f t="shared" ref="AS291:AT291" si="502">AS290</f>
        <v>KPBS-1.019</v>
      </c>
      <c r="AT291" s="71" t="str">
        <f t="shared" si="502"/>
        <v>B12</v>
      </c>
      <c r="AU291" s="105"/>
      <c r="AV291" s="202">
        <v>0.71118120959999997</v>
      </c>
      <c r="AW291" s="202">
        <v>124.32313512410001</v>
      </c>
      <c r="AX291" s="106" t="s">
        <v>98</v>
      </c>
      <c r="AY291" s="106" t="s">
        <v>94</v>
      </c>
      <c r="AZ291" s="106" t="s">
        <v>94</v>
      </c>
      <c r="BA291" s="73" t="s">
        <v>77</v>
      </c>
      <c r="BB291" s="106" t="s">
        <v>98</v>
      </c>
      <c r="BC291" s="106">
        <v>31</v>
      </c>
      <c r="BD291" s="106" t="s">
        <v>98</v>
      </c>
      <c r="BE291" s="211" t="str">
        <f t="shared" si="487"/>
        <v>322, POYOWA BESAR,</v>
      </c>
    </row>
    <row r="292" spans="1:57" s="211" customFormat="1" ht="15.75" customHeight="1">
      <c r="A292" s="218"/>
      <c r="B292" s="219"/>
      <c r="C292" s="219"/>
      <c r="D292" s="219"/>
      <c r="E292" s="219"/>
      <c r="F292" s="219"/>
      <c r="G292" s="220"/>
      <c r="H292" s="12">
        <v>7</v>
      </c>
      <c r="I292" s="64" t="str">
        <f t="shared" ref="I292:M292" si="503">I291</f>
        <v>MR.KPBS.P032</v>
      </c>
      <c r="J292" s="64">
        <f t="shared" si="503"/>
        <v>0.71135297539999998</v>
      </c>
      <c r="K292" s="64">
        <f t="shared" si="503"/>
        <v>124.32328855199999</v>
      </c>
      <c r="L292" s="64" t="str">
        <f t="shared" si="503"/>
        <v>JL. RAYA POYOWA BESAR</v>
      </c>
      <c r="M292" s="64" t="str">
        <f t="shared" si="503"/>
        <v>SULAWESU UTARA</v>
      </c>
      <c r="N292" s="65" t="s">
        <v>105</v>
      </c>
      <c r="O292" s="66" t="s">
        <v>118</v>
      </c>
      <c r="P292" s="65" t="s">
        <v>119</v>
      </c>
      <c r="Q292" s="66">
        <v>95717</v>
      </c>
      <c r="R292" s="98"/>
      <c r="S292" s="99"/>
      <c r="T292" s="100"/>
      <c r="U292" s="99"/>
      <c r="V292" s="100"/>
      <c r="W292" s="97" t="s">
        <v>105</v>
      </c>
      <c r="X292" s="101"/>
      <c r="Y292" s="64" t="s">
        <v>106</v>
      </c>
      <c r="Z292" s="64" t="str">
        <f t="shared" si="463"/>
        <v>KELURAHAN POYOWA BESAR SATU KOTAMOBAGU</v>
      </c>
      <c r="AA292" s="102"/>
      <c r="AB292" s="102"/>
      <c r="AC292" s="102" t="s">
        <v>70</v>
      </c>
      <c r="AD292" s="64" t="str">
        <f t="shared" si="501"/>
        <v>POYOWA BESAR</v>
      </c>
      <c r="AE292" s="103"/>
      <c r="AF292" s="103"/>
      <c r="AG292" s="103"/>
      <c r="AH292" s="103"/>
      <c r="AI292" s="104"/>
      <c r="AJ292" s="11" t="s">
        <v>534</v>
      </c>
      <c r="AK292" s="102" t="s">
        <v>96</v>
      </c>
      <c r="AL292" s="106"/>
      <c r="AM292" s="192"/>
      <c r="AN292" s="192"/>
      <c r="AO292" s="192"/>
      <c r="AP292" s="192"/>
      <c r="AQ292" s="180" t="s">
        <v>97</v>
      </c>
      <c r="AR292" s="70" t="s">
        <v>349</v>
      </c>
      <c r="AS292" s="71" t="str">
        <f t="shared" ref="AS292:AT293" si="504">AS291</f>
        <v>KPBS-1.019</v>
      </c>
      <c r="AT292" s="71" t="str">
        <f t="shared" si="504"/>
        <v>B12</v>
      </c>
      <c r="AU292" s="105"/>
      <c r="AV292" s="202">
        <v>0.71112930080000003</v>
      </c>
      <c r="AW292" s="202">
        <v>124.32346410930001</v>
      </c>
      <c r="AX292" s="106" t="s">
        <v>98</v>
      </c>
      <c r="AY292" s="106" t="s">
        <v>94</v>
      </c>
      <c r="AZ292" s="106" t="s">
        <v>94</v>
      </c>
      <c r="BA292" s="73" t="s">
        <v>77</v>
      </c>
      <c r="BB292" s="106" t="s">
        <v>98</v>
      </c>
      <c r="BC292" s="106">
        <v>31</v>
      </c>
      <c r="BD292" s="106" t="s">
        <v>98</v>
      </c>
      <c r="BE292" s="211" t="str">
        <f t="shared" ref="BE292:BE293" si="505">AJ292&amp;", "&amp;AD292&amp;","&amp;AI292</f>
        <v>324, POYOWA BESAR,</v>
      </c>
    </row>
    <row r="293" spans="1:57" s="211" customFormat="1" ht="15.75" customHeight="1">
      <c r="A293" s="218"/>
      <c r="B293" s="219"/>
      <c r="C293" s="219"/>
      <c r="D293" s="219"/>
      <c r="E293" s="219"/>
      <c r="F293" s="219"/>
      <c r="G293" s="220"/>
      <c r="H293" s="12">
        <v>8</v>
      </c>
      <c r="I293" s="64" t="str">
        <f t="shared" ref="I293:M293" si="506">I292</f>
        <v>MR.KPBS.P032</v>
      </c>
      <c r="J293" s="64">
        <f t="shared" si="506"/>
        <v>0.71135297539999998</v>
      </c>
      <c r="K293" s="64">
        <f t="shared" si="506"/>
        <v>124.32328855199999</v>
      </c>
      <c r="L293" s="64" t="str">
        <f t="shared" si="506"/>
        <v>JL. RAYA POYOWA BESAR</v>
      </c>
      <c r="M293" s="64" t="str">
        <f t="shared" si="506"/>
        <v>SULAWESU UTARA</v>
      </c>
      <c r="N293" s="65" t="s">
        <v>105</v>
      </c>
      <c r="O293" s="66" t="s">
        <v>118</v>
      </c>
      <c r="P293" s="65" t="s">
        <v>119</v>
      </c>
      <c r="Q293" s="66">
        <v>95717</v>
      </c>
      <c r="R293" s="98"/>
      <c r="S293" s="99"/>
      <c r="T293" s="100"/>
      <c r="U293" s="99"/>
      <c r="V293" s="100"/>
      <c r="W293" s="97" t="s">
        <v>105</v>
      </c>
      <c r="X293" s="101"/>
      <c r="Y293" s="64" t="s">
        <v>106</v>
      </c>
      <c r="Z293" s="64" t="str">
        <f t="shared" si="463"/>
        <v>KELURAHAN POYOWA BESAR SATU KOTAMOBAGU</v>
      </c>
      <c r="AA293" s="102"/>
      <c r="AB293" s="102"/>
      <c r="AC293" s="102" t="s">
        <v>70</v>
      </c>
      <c r="AD293" s="64" t="str">
        <f t="shared" si="501"/>
        <v>POYOWA BESAR</v>
      </c>
      <c r="AE293" s="103"/>
      <c r="AF293" s="103"/>
      <c r="AG293" s="103"/>
      <c r="AH293" s="103"/>
      <c r="AI293" s="104"/>
      <c r="AJ293" s="11" t="s">
        <v>535</v>
      </c>
      <c r="AK293" s="102" t="s">
        <v>96</v>
      </c>
      <c r="AL293" s="106"/>
      <c r="AM293" s="192"/>
      <c r="AN293" s="192"/>
      <c r="AO293" s="192"/>
      <c r="AP293" s="192"/>
      <c r="AQ293" s="180" t="s">
        <v>97</v>
      </c>
      <c r="AR293" s="70" t="s">
        <v>349</v>
      </c>
      <c r="AS293" s="71" t="str">
        <f t="shared" si="504"/>
        <v>KPBS-1.019</v>
      </c>
      <c r="AT293" s="71" t="str">
        <f t="shared" si="504"/>
        <v>B12</v>
      </c>
      <c r="AU293" s="105"/>
      <c r="AV293" s="202">
        <v>0.71103643599999999</v>
      </c>
      <c r="AW293" s="202">
        <v>124.3234669253</v>
      </c>
      <c r="AX293" s="106" t="s">
        <v>98</v>
      </c>
      <c r="AY293" s="106" t="s">
        <v>94</v>
      </c>
      <c r="AZ293" s="106" t="s">
        <v>94</v>
      </c>
      <c r="BA293" s="73" t="s">
        <v>77</v>
      </c>
      <c r="BB293" s="106" t="s">
        <v>98</v>
      </c>
      <c r="BC293" s="106">
        <v>31</v>
      </c>
      <c r="BD293" s="106" t="s">
        <v>98</v>
      </c>
      <c r="BE293" s="211" t="str">
        <f t="shared" si="505"/>
        <v>325, POYOWA BESAR,</v>
      </c>
    </row>
    <row r="294" spans="1:57" s="211" customFormat="1" ht="15.75" customHeight="1">
      <c r="A294" s="218"/>
      <c r="B294" s="219"/>
      <c r="C294" s="219"/>
      <c r="D294" s="219"/>
      <c r="E294" s="219"/>
      <c r="F294" s="219"/>
      <c r="G294" s="220"/>
      <c r="H294" s="12">
        <v>9</v>
      </c>
      <c r="I294" s="64" t="str">
        <f t="shared" ref="I294:L294" si="507">I291</f>
        <v>MR.KPBS.P032</v>
      </c>
      <c r="J294" s="64">
        <f t="shared" si="507"/>
        <v>0.71135297539999998</v>
      </c>
      <c r="K294" s="64">
        <f t="shared" si="507"/>
        <v>124.32328855199999</v>
      </c>
      <c r="L294" s="64" t="str">
        <f t="shared" si="507"/>
        <v>JL. RAYA POYOWA BESAR</v>
      </c>
      <c r="M294" s="64" t="str">
        <f t="shared" ref="M294" si="508">M293</f>
        <v>SULAWESU UTARA</v>
      </c>
      <c r="N294" s="65" t="s">
        <v>105</v>
      </c>
      <c r="O294" s="66" t="s">
        <v>118</v>
      </c>
      <c r="P294" s="65" t="s">
        <v>119</v>
      </c>
      <c r="Q294" s="66">
        <v>95717</v>
      </c>
      <c r="R294" s="98"/>
      <c r="S294" s="99"/>
      <c r="T294" s="100"/>
      <c r="U294" s="99"/>
      <c r="V294" s="100"/>
      <c r="W294" s="97" t="s">
        <v>105</v>
      </c>
      <c r="X294" s="101"/>
      <c r="Y294" s="64" t="s">
        <v>106</v>
      </c>
      <c r="Z294" s="64" t="str">
        <f t="shared" si="463"/>
        <v>KELURAHAN POYOWA BESAR SATU KOTAMOBAGU</v>
      </c>
      <c r="AA294" s="102"/>
      <c r="AB294" s="102"/>
      <c r="AC294" s="102" t="s">
        <v>70</v>
      </c>
      <c r="AD294" s="64" t="str">
        <f t="shared" ref="AD294" si="509">AD291</f>
        <v>POYOWA BESAR</v>
      </c>
      <c r="AE294" s="103"/>
      <c r="AF294" s="103"/>
      <c r="AG294" s="103"/>
      <c r="AH294" s="103"/>
      <c r="AI294" s="104"/>
      <c r="AJ294" s="11" t="s">
        <v>536</v>
      </c>
      <c r="AK294" s="102" t="s">
        <v>96</v>
      </c>
      <c r="AL294" s="106"/>
      <c r="AM294" s="192"/>
      <c r="AN294" s="192"/>
      <c r="AO294" s="192"/>
      <c r="AP294" s="192"/>
      <c r="AQ294" s="180" t="s">
        <v>97</v>
      </c>
      <c r="AR294" s="70" t="s">
        <v>349</v>
      </c>
      <c r="AS294" s="71" t="str">
        <f t="shared" ref="AS294:AT294" si="510">AS291</f>
        <v>KPBS-1.019</v>
      </c>
      <c r="AT294" s="71" t="str">
        <f t="shared" si="510"/>
        <v>B12</v>
      </c>
      <c r="AU294" s="105"/>
      <c r="AV294" s="202">
        <v>0.71107879499999904</v>
      </c>
      <c r="AW294" s="202">
        <v>124.3231435237</v>
      </c>
      <c r="AX294" s="106" t="s">
        <v>98</v>
      </c>
      <c r="AY294" s="106" t="s">
        <v>94</v>
      </c>
      <c r="AZ294" s="106" t="s">
        <v>94</v>
      </c>
      <c r="BA294" s="73" t="s">
        <v>77</v>
      </c>
      <c r="BB294" s="106" t="s">
        <v>98</v>
      </c>
      <c r="BC294" s="106">
        <v>31</v>
      </c>
      <c r="BD294" s="106" t="s">
        <v>98</v>
      </c>
      <c r="BE294" s="211" t="str">
        <f t="shared" si="487"/>
        <v>323, POYOWA BESAR,</v>
      </c>
    </row>
    <row r="295" spans="1:57" s="211" customFormat="1" ht="15.75" customHeight="1">
      <c r="A295" s="218"/>
      <c r="B295" s="219"/>
      <c r="C295" s="219"/>
      <c r="D295" s="219"/>
      <c r="E295" s="219"/>
      <c r="F295" s="219"/>
      <c r="G295" s="220"/>
      <c r="H295" s="12">
        <v>10</v>
      </c>
      <c r="I295" s="64" t="str">
        <f t="shared" ref="I295:M295" si="511">I294</f>
        <v>MR.KPBS.P032</v>
      </c>
      <c r="J295" s="64">
        <f t="shared" si="511"/>
        <v>0.71135297539999998</v>
      </c>
      <c r="K295" s="64">
        <f t="shared" si="511"/>
        <v>124.32328855199999</v>
      </c>
      <c r="L295" s="64" t="str">
        <f t="shared" si="511"/>
        <v>JL. RAYA POYOWA BESAR</v>
      </c>
      <c r="M295" s="64" t="str">
        <f t="shared" si="511"/>
        <v>SULAWESU UTARA</v>
      </c>
      <c r="N295" s="65" t="s">
        <v>105</v>
      </c>
      <c r="O295" s="66" t="s">
        <v>118</v>
      </c>
      <c r="P295" s="65" t="s">
        <v>119</v>
      </c>
      <c r="Q295" s="66">
        <v>95717</v>
      </c>
      <c r="R295" s="98"/>
      <c r="S295" s="99"/>
      <c r="T295" s="100"/>
      <c r="U295" s="99"/>
      <c r="V295" s="100"/>
      <c r="W295" s="97" t="s">
        <v>105</v>
      </c>
      <c r="X295" s="101"/>
      <c r="Y295" s="64" t="s">
        <v>106</v>
      </c>
      <c r="Z295" s="64" t="str">
        <f t="shared" si="463"/>
        <v>KELURAHAN POYOWA BESAR SATU KOTAMOBAGU</v>
      </c>
      <c r="AA295" s="102"/>
      <c r="AB295" s="102"/>
      <c r="AC295" s="102" t="s">
        <v>70</v>
      </c>
      <c r="AD295" s="64" t="str">
        <f t="shared" ref="AD295" si="512">AD294</f>
        <v>POYOWA BESAR</v>
      </c>
      <c r="AE295" s="103"/>
      <c r="AF295" s="103"/>
      <c r="AG295" s="103"/>
      <c r="AH295" s="103"/>
      <c r="AI295" s="104"/>
      <c r="AJ295" s="11" t="s">
        <v>537</v>
      </c>
      <c r="AK295" s="102" t="s">
        <v>96</v>
      </c>
      <c r="AL295" s="106"/>
      <c r="AM295" s="192"/>
      <c r="AN295" s="192"/>
      <c r="AO295" s="192"/>
      <c r="AP295" s="192"/>
      <c r="AQ295" s="193" t="s">
        <v>97</v>
      </c>
      <c r="AR295" s="70" t="s">
        <v>349</v>
      </c>
      <c r="AS295" s="71" t="str">
        <f t="shared" ref="AS295:AT295" si="513">AS294</f>
        <v>KPBS-1.019</v>
      </c>
      <c r="AT295" s="71" t="str">
        <f t="shared" si="513"/>
        <v>B12</v>
      </c>
      <c r="AU295" s="105"/>
      <c r="AV295" s="202">
        <v>0.7109859302</v>
      </c>
      <c r="AW295" s="202">
        <v>124.3231435398</v>
      </c>
      <c r="AX295" s="106" t="s">
        <v>98</v>
      </c>
      <c r="AY295" s="106" t="s">
        <v>94</v>
      </c>
      <c r="AZ295" s="106" t="s">
        <v>94</v>
      </c>
      <c r="BA295" s="73" t="s">
        <v>77</v>
      </c>
      <c r="BB295" s="106" t="s">
        <v>98</v>
      </c>
      <c r="BC295" s="106">
        <v>31</v>
      </c>
      <c r="BD295" s="106" t="s">
        <v>98</v>
      </c>
      <c r="BE295" s="211" t="str">
        <f t="shared" si="487"/>
        <v>326, POYOWA BESAR,</v>
      </c>
    </row>
    <row r="296" spans="1:57" s="211" customFormat="1" ht="15.75" customHeight="1">
      <c r="A296" s="218"/>
      <c r="B296" s="219"/>
      <c r="C296" s="219"/>
      <c r="D296" s="219"/>
      <c r="E296" s="219"/>
      <c r="F296" s="219"/>
      <c r="G296" s="220"/>
      <c r="H296" s="12">
        <v>11</v>
      </c>
      <c r="I296" s="64" t="str">
        <f t="shared" ref="I296:M296" si="514">I295</f>
        <v>MR.KPBS.P032</v>
      </c>
      <c r="J296" s="64">
        <f t="shared" si="514"/>
        <v>0.71135297539999998</v>
      </c>
      <c r="K296" s="64">
        <f t="shared" si="514"/>
        <v>124.32328855199999</v>
      </c>
      <c r="L296" s="64" t="str">
        <f t="shared" si="514"/>
        <v>JL. RAYA POYOWA BESAR</v>
      </c>
      <c r="M296" s="64" t="str">
        <f t="shared" si="514"/>
        <v>SULAWESU UTARA</v>
      </c>
      <c r="N296" s="65" t="s">
        <v>105</v>
      </c>
      <c r="O296" s="66" t="s">
        <v>118</v>
      </c>
      <c r="P296" s="65" t="s">
        <v>119</v>
      </c>
      <c r="Q296" s="66">
        <v>95717</v>
      </c>
      <c r="R296" s="98"/>
      <c r="S296" s="99"/>
      <c r="T296" s="100"/>
      <c r="U296" s="99"/>
      <c r="V296" s="100"/>
      <c r="W296" s="97" t="s">
        <v>105</v>
      </c>
      <c r="X296" s="101"/>
      <c r="Y296" s="64" t="s">
        <v>106</v>
      </c>
      <c r="Z296" s="64" t="str">
        <f t="shared" si="463"/>
        <v>KELURAHAN POYOWA BESAR SATU KOTAMOBAGU</v>
      </c>
      <c r="AA296" s="102"/>
      <c r="AB296" s="102"/>
      <c r="AC296" s="102" t="s">
        <v>70</v>
      </c>
      <c r="AD296" s="64" t="str">
        <f t="shared" ref="AD296" si="515">AD295</f>
        <v>POYOWA BESAR</v>
      </c>
      <c r="AE296" s="103"/>
      <c r="AF296" s="103"/>
      <c r="AG296" s="103"/>
      <c r="AH296" s="103"/>
      <c r="AI296" s="104"/>
      <c r="AJ296" s="11" t="s">
        <v>538</v>
      </c>
      <c r="AK296" s="102" t="s">
        <v>96</v>
      </c>
      <c r="AL296" s="106"/>
      <c r="AM296" s="106"/>
      <c r="AN296" s="106"/>
      <c r="AO296" s="106"/>
      <c r="AP296" s="106"/>
      <c r="AQ296" s="180" t="s">
        <v>97</v>
      </c>
      <c r="AR296" s="70" t="s">
        <v>349</v>
      </c>
      <c r="AS296" s="71" t="str">
        <f t="shared" ref="AS296:AT296" si="516">AS295</f>
        <v>KPBS-1.019</v>
      </c>
      <c r="AT296" s="71" t="str">
        <f t="shared" si="516"/>
        <v>B12</v>
      </c>
      <c r="AU296" s="105"/>
      <c r="AV296" s="202">
        <v>0.71095927430000005</v>
      </c>
      <c r="AW296" s="202">
        <v>124.323473925</v>
      </c>
      <c r="AX296" s="106" t="s">
        <v>98</v>
      </c>
      <c r="AY296" s="106" t="s">
        <v>94</v>
      </c>
      <c r="AZ296" s="106" t="s">
        <v>94</v>
      </c>
      <c r="BA296" s="73" t="s">
        <v>77</v>
      </c>
      <c r="BB296" s="106" t="s">
        <v>98</v>
      </c>
      <c r="BC296" s="106">
        <v>31</v>
      </c>
      <c r="BD296" s="106" t="s">
        <v>98</v>
      </c>
      <c r="BE296" s="211" t="str">
        <f t="shared" si="487"/>
        <v>327, POYOWA BESAR,</v>
      </c>
    </row>
    <row r="297" spans="1:57" s="211" customFormat="1" ht="15.75" customHeight="1">
      <c r="A297" s="218"/>
      <c r="B297" s="219"/>
      <c r="C297" s="219"/>
      <c r="D297" s="219"/>
      <c r="E297" s="219"/>
      <c r="F297" s="219"/>
      <c r="G297" s="220"/>
      <c r="H297" s="12">
        <v>12</v>
      </c>
      <c r="I297" s="64" t="str">
        <f t="shared" ref="I297:M297" si="517">I296</f>
        <v>MR.KPBS.P032</v>
      </c>
      <c r="J297" s="64">
        <f t="shared" si="517"/>
        <v>0.71135297539999998</v>
      </c>
      <c r="K297" s="64">
        <f t="shared" si="517"/>
        <v>124.32328855199999</v>
      </c>
      <c r="L297" s="64" t="str">
        <f t="shared" si="517"/>
        <v>JL. RAYA POYOWA BESAR</v>
      </c>
      <c r="M297" s="64" t="str">
        <f t="shared" si="517"/>
        <v>SULAWESU UTARA</v>
      </c>
      <c r="N297" s="65" t="s">
        <v>105</v>
      </c>
      <c r="O297" s="66" t="s">
        <v>118</v>
      </c>
      <c r="P297" s="65" t="s">
        <v>119</v>
      </c>
      <c r="Q297" s="66">
        <v>95717</v>
      </c>
      <c r="R297" s="98"/>
      <c r="S297" s="99"/>
      <c r="T297" s="100"/>
      <c r="U297" s="99"/>
      <c r="V297" s="100"/>
      <c r="W297" s="97" t="s">
        <v>105</v>
      </c>
      <c r="X297" s="101"/>
      <c r="Y297" s="64" t="s">
        <v>106</v>
      </c>
      <c r="Z297" s="64" t="str">
        <f t="shared" si="463"/>
        <v>KELURAHAN POYOWA BESAR SATU KOTAMOBAGU</v>
      </c>
      <c r="AA297" s="102"/>
      <c r="AB297" s="102"/>
      <c r="AC297" s="102" t="s">
        <v>70</v>
      </c>
      <c r="AD297" s="64" t="str">
        <f t="shared" ref="AD297" si="518">AD296</f>
        <v>POYOWA BESAR</v>
      </c>
      <c r="AE297" s="103"/>
      <c r="AF297" s="103"/>
      <c r="AG297" s="103"/>
      <c r="AH297" s="103"/>
      <c r="AI297" s="104"/>
      <c r="AJ297" s="11" t="s">
        <v>539</v>
      </c>
      <c r="AK297" s="102" t="s">
        <v>96</v>
      </c>
      <c r="AL297" s="106"/>
      <c r="AM297" s="106"/>
      <c r="AN297" s="106"/>
      <c r="AO297" s="106"/>
      <c r="AP297" s="106"/>
      <c r="AQ297" s="180" t="s">
        <v>97</v>
      </c>
      <c r="AR297" s="70" t="s">
        <v>349</v>
      </c>
      <c r="AS297" s="71" t="str">
        <f t="shared" ref="AS297:AT297" si="519">AS296</f>
        <v>KPBS-1.019</v>
      </c>
      <c r="AT297" s="71" t="str">
        <f t="shared" si="519"/>
        <v>B12</v>
      </c>
      <c r="AU297" s="105"/>
      <c r="AV297" s="202">
        <v>0.71088772440000003</v>
      </c>
      <c r="AW297" s="202">
        <v>124.32338572880001</v>
      </c>
      <c r="AX297" s="106" t="s">
        <v>98</v>
      </c>
      <c r="AY297" s="106" t="s">
        <v>94</v>
      </c>
      <c r="AZ297" s="106" t="s">
        <v>94</v>
      </c>
      <c r="BA297" s="73" t="s">
        <v>77</v>
      </c>
      <c r="BB297" s="106" t="s">
        <v>98</v>
      </c>
      <c r="BC297" s="106">
        <v>31</v>
      </c>
      <c r="BD297" s="106" t="s">
        <v>98</v>
      </c>
      <c r="BE297" s="211" t="str">
        <f t="shared" si="487"/>
        <v>329, POYOWA BESAR,</v>
      </c>
    </row>
    <row r="298" spans="1:57" s="211" customFormat="1" ht="15.75" customHeight="1">
      <c r="A298" s="218"/>
      <c r="B298" s="219"/>
      <c r="C298" s="219"/>
      <c r="D298" s="219"/>
      <c r="E298" s="219"/>
      <c r="F298" s="219"/>
      <c r="G298" s="220"/>
      <c r="H298" s="12">
        <v>13</v>
      </c>
      <c r="I298" s="64" t="str">
        <f t="shared" ref="I298:M298" si="520">I297</f>
        <v>MR.KPBS.P032</v>
      </c>
      <c r="J298" s="64">
        <f t="shared" si="520"/>
        <v>0.71135297539999998</v>
      </c>
      <c r="K298" s="64">
        <f t="shared" si="520"/>
        <v>124.32328855199999</v>
      </c>
      <c r="L298" s="64" t="str">
        <f t="shared" si="520"/>
        <v>JL. RAYA POYOWA BESAR</v>
      </c>
      <c r="M298" s="64" t="str">
        <f t="shared" si="520"/>
        <v>SULAWESU UTARA</v>
      </c>
      <c r="N298" s="65" t="s">
        <v>105</v>
      </c>
      <c r="O298" s="66" t="s">
        <v>118</v>
      </c>
      <c r="P298" s="65" t="s">
        <v>119</v>
      </c>
      <c r="Q298" s="66">
        <v>95717</v>
      </c>
      <c r="R298" s="98"/>
      <c r="S298" s="99"/>
      <c r="T298" s="100"/>
      <c r="U298" s="99"/>
      <c r="V298" s="100"/>
      <c r="W298" s="97" t="s">
        <v>105</v>
      </c>
      <c r="X298" s="101"/>
      <c r="Y298" s="64" t="s">
        <v>106</v>
      </c>
      <c r="Z298" s="64" t="str">
        <f t="shared" si="463"/>
        <v>KELURAHAN POYOWA BESAR SATU KOTAMOBAGU</v>
      </c>
      <c r="AA298" s="102"/>
      <c r="AB298" s="102"/>
      <c r="AC298" s="102" t="s">
        <v>70</v>
      </c>
      <c r="AD298" s="64" t="str">
        <f t="shared" ref="AD298" si="521">AD297</f>
        <v>POYOWA BESAR</v>
      </c>
      <c r="AE298" s="103"/>
      <c r="AF298" s="103"/>
      <c r="AG298" s="103"/>
      <c r="AH298" s="103"/>
      <c r="AI298" s="104"/>
      <c r="AJ298" s="11" t="s">
        <v>540</v>
      </c>
      <c r="AK298" s="102" t="s">
        <v>96</v>
      </c>
      <c r="AL298" s="106"/>
      <c r="AM298" s="106"/>
      <c r="AN298" s="106"/>
      <c r="AO298" s="106"/>
      <c r="AP298" s="106"/>
      <c r="AQ298" s="180" t="s">
        <v>97</v>
      </c>
      <c r="AR298" s="70" t="s">
        <v>349</v>
      </c>
      <c r="AS298" s="71" t="str">
        <f t="shared" ref="AS298:AT298" si="522">AS297</f>
        <v>KPBS-1.019</v>
      </c>
      <c r="AT298" s="71" t="str">
        <f t="shared" si="522"/>
        <v>B12</v>
      </c>
      <c r="AU298" s="105"/>
      <c r="AV298" s="202">
        <v>0.71090175379999998</v>
      </c>
      <c r="AW298" s="202">
        <v>124.3231827381</v>
      </c>
      <c r="AX298" s="106" t="s">
        <v>98</v>
      </c>
      <c r="AY298" s="106" t="s">
        <v>94</v>
      </c>
      <c r="AZ298" s="106" t="s">
        <v>94</v>
      </c>
      <c r="BA298" s="73" t="s">
        <v>77</v>
      </c>
      <c r="BB298" s="106" t="s">
        <v>98</v>
      </c>
      <c r="BC298" s="106">
        <v>31</v>
      </c>
      <c r="BD298" s="106" t="s">
        <v>98</v>
      </c>
      <c r="BE298" s="211" t="str">
        <f t="shared" si="487"/>
        <v>328, POYOWA BESAR,</v>
      </c>
    </row>
    <row r="299" spans="1:57" s="211" customFormat="1" ht="15.75" customHeight="1">
      <c r="A299" s="218"/>
      <c r="B299" s="219"/>
      <c r="C299" s="219"/>
      <c r="D299" s="219"/>
      <c r="E299" s="219"/>
      <c r="F299" s="219"/>
      <c r="G299" s="220"/>
      <c r="H299" s="12">
        <v>14</v>
      </c>
      <c r="I299" s="64" t="str">
        <f t="shared" ref="I299:M299" si="523">I298</f>
        <v>MR.KPBS.P032</v>
      </c>
      <c r="J299" s="64">
        <f t="shared" si="523"/>
        <v>0.71135297539999998</v>
      </c>
      <c r="K299" s="64">
        <f t="shared" si="523"/>
        <v>124.32328855199999</v>
      </c>
      <c r="L299" s="64" t="str">
        <f t="shared" si="523"/>
        <v>JL. RAYA POYOWA BESAR</v>
      </c>
      <c r="M299" s="64" t="str">
        <f t="shared" si="523"/>
        <v>SULAWESU UTARA</v>
      </c>
      <c r="N299" s="65" t="s">
        <v>105</v>
      </c>
      <c r="O299" s="66" t="s">
        <v>118</v>
      </c>
      <c r="P299" s="65" t="s">
        <v>119</v>
      </c>
      <c r="Q299" s="66">
        <v>95717</v>
      </c>
      <c r="R299" s="98"/>
      <c r="S299" s="99"/>
      <c r="T299" s="100"/>
      <c r="U299" s="99"/>
      <c r="V299" s="100"/>
      <c r="W299" s="97" t="s">
        <v>105</v>
      </c>
      <c r="X299" s="101"/>
      <c r="Y299" s="64" t="s">
        <v>106</v>
      </c>
      <c r="Z299" s="64" t="str">
        <f t="shared" si="463"/>
        <v>KELURAHAN POYOWA BESAR SATU KOTAMOBAGU</v>
      </c>
      <c r="AA299" s="102"/>
      <c r="AB299" s="102"/>
      <c r="AC299" s="102" t="s">
        <v>70</v>
      </c>
      <c r="AD299" s="64" t="str">
        <f t="shared" ref="AD299" si="524">AD298</f>
        <v>POYOWA BESAR</v>
      </c>
      <c r="AE299" s="103"/>
      <c r="AF299" s="103"/>
      <c r="AG299" s="103"/>
      <c r="AH299" s="103"/>
      <c r="AI299" s="104"/>
      <c r="AJ299" s="11" t="s">
        <v>541</v>
      </c>
      <c r="AK299" s="102" t="s">
        <v>96</v>
      </c>
      <c r="AL299" s="106"/>
      <c r="AM299" s="106"/>
      <c r="AN299" s="106"/>
      <c r="AO299" s="106"/>
      <c r="AP299" s="106"/>
      <c r="AQ299" s="180" t="s">
        <v>97</v>
      </c>
      <c r="AR299" s="70" t="s">
        <v>349</v>
      </c>
      <c r="AS299" s="71" t="str">
        <f t="shared" ref="AS299:AT299" si="525">AS298</f>
        <v>KPBS-1.019</v>
      </c>
      <c r="AT299" s="71" t="str">
        <f t="shared" si="525"/>
        <v>B12</v>
      </c>
      <c r="AU299" s="105"/>
      <c r="AV299" s="202">
        <v>0.71083145110000001</v>
      </c>
      <c r="AW299" s="202">
        <v>124.32348935989999</v>
      </c>
      <c r="AX299" s="106" t="s">
        <v>98</v>
      </c>
      <c r="AY299" s="106" t="s">
        <v>94</v>
      </c>
      <c r="AZ299" s="106" t="s">
        <v>94</v>
      </c>
      <c r="BA299" s="73" t="s">
        <v>77</v>
      </c>
      <c r="BB299" s="106" t="s">
        <v>98</v>
      </c>
      <c r="BC299" s="106">
        <v>31</v>
      </c>
      <c r="BD299" s="106" t="s">
        <v>98</v>
      </c>
      <c r="BE299" s="211" t="str">
        <f t="shared" si="487"/>
        <v>331, POYOWA BESAR,</v>
      </c>
    </row>
    <row r="300" spans="1:57" s="211" customFormat="1" ht="15.75" customHeight="1">
      <c r="A300" s="218"/>
      <c r="B300" s="219"/>
      <c r="C300" s="219"/>
      <c r="D300" s="219"/>
      <c r="E300" s="219"/>
      <c r="F300" s="219"/>
      <c r="G300" s="220"/>
      <c r="H300" s="12">
        <v>15</v>
      </c>
      <c r="I300" s="64" t="str">
        <f t="shared" ref="I300:M300" si="526">I299</f>
        <v>MR.KPBS.P032</v>
      </c>
      <c r="J300" s="64">
        <f t="shared" si="526"/>
        <v>0.71135297539999998</v>
      </c>
      <c r="K300" s="64">
        <f t="shared" si="526"/>
        <v>124.32328855199999</v>
      </c>
      <c r="L300" s="64" t="str">
        <f t="shared" si="526"/>
        <v>JL. RAYA POYOWA BESAR</v>
      </c>
      <c r="M300" s="64" t="str">
        <f t="shared" si="526"/>
        <v>SULAWESU UTARA</v>
      </c>
      <c r="N300" s="65" t="s">
        <v>105</v>
      </c>
      <c r="O300" s="66" t="s">
        <v>118</v>
      </c>
      <c r="P300" s="65" t="s">
        <v>119</v>
      </c>
      <c r="Q300" s="66">
        <v>95717</v>
      </c>
      <c r="R300" s="98"/>
      <c r="S300" s="99"/>
      <c r="T300" s="100"/>
      <c r="U300" s="99"/>
      <c r="V300" s="100"/>
      <c r="W300" s="97" t="s">
        <v>105</v>
      </c>
      <c r="X300" s="101"/>
      <c r="Y300" s="64" t="s">
        <v>106</v>
      </c>
      <c r="Z300" s="64" t="str">
        <f t="shared" si="463"/>
        <v>KELURAHAN POYOWA BESAR SATU KOTAMOBAGU</v>
      </c>
      <c r="AA300" s="102"/>
      <c r="AB300" s="102"/>
      <c r="AC300" s="102" t="s">
        <v>70</v>
      </c>
      <c r="AD300" s="64" t="str">
        <f t="shared" ref="AD300" si="527">AD299</f>
        <v>POYOWA BESAR</v>
      </c>
      <c r="AE300" s="103"/>
      <c r="AF300" s="103"/>
      <c r="AG300" s="103"/>
      <c r="AH300" s="103"/>
      <c r="AI300" s="104"/>
      <c r="AJ300" s="11" t="s">
        <v>542</v>
      </c>
      <c r="AK300" s="181" t="s">
        <v>96</v>
      </c>
      <c r="AL300" s="181"/>
      <c r="AM300" s="181"/>
      <c r="AN300" s="181"/>
      <c r="AO300" s="181"/>
      <c r="AP300" s="181"/>
      <c r="AQ300" s="182" t="s">
        <v>97</v>
      </c>
      <c r="AR300" s="70" t="s">
        <v>349</v>
      </c>
      <c r="AS300" s="71" t="str">
        <f t="shared" ref="AS300:AT300" si="528">AS299</f>
        <v>KPBS-1.019</v>
      </c>
      <c r="AT300" s="71" t="str">
        <f t="shared" si="528"/>
        <v>B12</v>
      </c>
      <c r="AU300" s="105"/>
      <c r="AV300" s="202">
        <v>0.71082303339999997</v>
      </c>
      <c r="AW300" s="202">
        <v>124.3232373713</v>
      </c>
      <c r="AX300" s="106" t="s">
        <v>98</v>
      </c>
      <c r="AY300" s="106" t="s">
        <v>94</v>
      </c>
      <c r="AZ300" s="106" t="s">
        <v>94</v>
      </c>
      <c r="BA300" s="73" t="s">
        <v>77</v>
      </c>
      <c r="BB300" s="106" t="s">
        <v>98</v>
      </c>
      <c r="BC300" s="106">
        <v>31</v>
      </c>
      <c r="BD300" s="106" t="s">
        <v>98</v>
      </c>
      <c r="BE300" s="211" t="str">
        <f t="shared" si="487"/>
        <v>330, POYOWA BESAR,</v>
      </c>
    </row>
    <row r="301" spans="1:57" s="211" customFormat="1" ht="15.75" customHeight="1">
      <c r="A301" s="218"/>
      <c r="B301" s="219"/>
      <c r="C301" s="219"/>
      <c r="D301" s="219"/>
      <c r="E301" s="219"/>
      <c r="F301" s="219"/>
      <c r="G301" s="220"/>
      <c r="H301" s="12">
        <v>16</v>
      </c>
      <c r="I301" s="64" t="str">
        <f t="shared" ref="I301:M301" si="529">I300</f>
        <v>MR.KPBS.P032</v>
      </c>
      <c r="J301" s="64">
        <f t="shared" si="529"/>
        <v>0.71135297539999998</v>
      </c>
      <c r="K301" s="64">
        <f t="shared" si="529"/>
        <v>124.32328855199999</v>
      </c>
      <c r="L301" s="64" t="str">
        <f t="shared" si="529"/>
        <v>JL. RAYA POYOWA BESAR</v>
      </c>
      <c r="M301" s="64" t="str">
        <f t="shared" si="529"/>
        <v>SULAWESU UTARA</v>
      </c>
      <c r="N301" s="65" t="s">
        <v>105</v>
      </c>
      <c r="O301" s="66" t="s">
        <v>118</v>
      </c>
      <c r="P301" s="65" t="s">
        <v>119</v>
      </c>
      <c r="Q301" s="66">
        <v>95717</v>
      </c>
      <c r="R301" s="98"/>
      <c r="S301" s="99"/>
      <c r="T301" s="100"/>
      <c r="U301" s="99"/>
      <c r="V301" s="100"/>
      <c r="W301" s="97" t="s">
        <v>105</v>
      </c>
      <c r="X301" s="101"/>
      <c r="Y301" s="64" t="s">
        <v>106</v>
      </c>
      <c r="Z301" s="64" t="str">
        <f t="shared" si="463"/>
        <v>KELURAHAN POYOWA BESAR SATU KOTAMOBAGU</v>
      </c>
      <c r="AA301" s="102"/>
      <c r="AB301" s="102"/>
      <c r="AC301" s="102" t="s">
        <v>70</v>
      </c>
      <c r="AD301" s="64" t="str">
        <f t="shared" ref="AD301" si="530">AD300</f>
        <v>POYOWA BESAR</v>
      </c>
      <c r="AE301" s="103"/>
      <c r="AF301" s="103"/>
      <c r="AG301" s="103"/>
      <c r="AH301" s="103"/>
      <c r="AI301" s="104"/>
      <c r="AJ301" s="11" t="s">
        <v>543</v>
      </c>
      <c r="AK301" s="181" t="s">
        <v>96</v>
      </c>
      <c r="AL301" s="181"/>
      <c r="AM301" s="181"/>
      <c r="AN301" s="181"/>
      <c r="AO301" s="181"/>
      <c r="AP301" s="181"/>
      <c r="AQ301" s="182" t="s">
        <v>97</v>
      </c>
      <c r="AR301" s="70" t="s">
        <v>349</v>
      </c>
      <c r="AS301" s="71" t="str">
        <f t="shared" ref="AS301:AT301" si="531">AS300</f>
        <v>KPBS-1.019</v>
      </c>
      <c r="AT301" s="71" t="str">
        <f t="shared" si="531"/>
        <v>B12</v>
      </c>
      <c r="AU301" s="105"/>
      <c r="AV301" s="202">
        <v>0.7107753335</v>
      </c>
      <c r="AW301" s="202">
        <v>124.3232443711</v>
      </c>
      <c r="AX301" s="106" t="s">
        <v>98</v>
      </c>
      <c r="AY301" s="106" t="s">
        <v>94</v>
      </c>
      <c r="AZ301" s="106" t="s">
        <v>94</v>
      </c>
      <c r="BA301" s="73" t="s">
        <v>77</v>
      </c>
      <c r="BB301" s="106" t="s">
        <v>98</v>
      </c>
      <c r="BC301" s="106">
        <v>31</v>
      </c>
      <c r="BD301" s="106" t="s">
        <v>98</v>
      </c>
      <c r="BE301" s="211" t="str">
        <f t="shared" si="487"/>
        <v>333, POYOWA BESAR,</v>
      </c>
    </row>
    <row r="302" spans="1:57" s="211" customFormat="1" ht="15.75" customHeight="1">
      <c r="A302" s="121" t="s">
        <v>104</v>
      </c>
      <c r="B302" s="121">
        <f>B286+1</f>
        <v>21</v>
      </c>
      <c r="C302" s="122" t="s">
        <v>99</v>
      </c>
      <c r="D302" s="122" t="s">
        <v>101</v>
      </c>
      <c r="E302" s="122">
        <v>3</v>
      </c>
      <c r="F302" s="2">
        <f>F287+1</f>
        <v>29</v>
      </c>
      <c r="G302" s="213" t="s">
        <v>93</v>
      </c>
      <c r="H302" s="123">
        <v>1</v>
      </c>
      <c r="I302" s="124" t="s">
        <v>330</v>
      </c>
      <c r="J302" s="125">
        <v>0.71108052639999997</v>
      </c>
      <c r="K302" s="125">
        <v>124.3229251874</v>
      </c>
      <c r="L302" s="16" t="s">
        <v>116</v>
      </c>
      <c r="M302" s="140" t="str">
        <f t="shared" ref="M302" si="532">M301</f>
        <v>SULAWESU UTARA</v>
      </c>
      <c r="N302" s="13" t="s">
        <v>105</v>
      </c>
      <c r="O302" s="127" t="s">
        <v>118</v>
      </c>
      <c r="P302" s="13" t="s">
        <v>119</v>
      </c>
      <c r="Q302" s="127">
        <v>95717</v>
      </c>
      <c r="R302" s="128"/>
      <c r="S302" s="129"/>
      <c r="T302" s="130"/>
      <c r="U302" s="129"/>
      <c r="V302" s="130"/>
      <c r="W302" s="126" t="s">
        <v>105</v>
      </c>
      <c r="X302" s="125"/>
      <c r="Y302" s="140" t="s">
        <v>106</v>
      </c>
      <c r="Z302" s="140" t="str">
        <f t="shared" si="463"/>
        <v>KELURAHAN POYOWA BESAR SATU KOTAMOBAGU</v>
      </c>
      <c r="AA302" s="131"/>
      <c r="AB302" s="131"/>
      <c r="AC302" s="131" t="s">
        <v>70</v>
      </c>
      <c r="AD302" s="16" t="s">
        <v>119</v>
      </c>
      <c r="AE302" s="15"/>
      <c r="AF302" s="15"/>
      <c r="AG302" s="15"/>
      <c r="AH302" s="15"/>
      <c r="AI302" s="132"/>
      <c r="AJ302" s="133" t="s">
        <v>235</v>
      </c>
      <c r="AK302" s="131" t="s">
        <v>96</v>
      </c>
      <c r="AL302" s="137"/>
      <c r="AM302" s="194"/>
      <c r="AN302" s="194"/>
      <c r="AO302" s="194"/>
      <c r="AP302" s="194"/>
      <c r="AQ302" s="195" t="s">
        <v>97</v>
      </c>
      <c r="AR302" s="134" t="s">
        <v>349</v>
      </c>
      <c r="AS302" s="135" t="str">
        <f>AS286</f>
        <v>KPBS-1.019</v>
      </c>
      <c r="AT302" s="135" t="str">
        <f>G302</f>
        <v>B13</v>
      </c>
      <c r="AU302" s="136"/>
      <c r="AV302" s="205">
        <v>0.71126767999999996</v>
      </c>
      <c r="AW302" s="205">
        <v>124.3228522217</v>
      </c>
      <c r="AX302" s="137" t="s">
        <v>98</v>
      </c>
      <c r="AY302" s="137" t="s">
        <v>94</v>
      </c>
      <c r="AZ302" s="137" t="s">
        <v>94</v>
      </c>
      <c r="BA302" s="138" t="s">
        <v>77</v>
      </c>
      <c r="BB302" s="137" t="s">
        <v>98</v>
      </c>
      <c r="BC302" s="137">
        <v>31</v>
      </c>
      <c r="BD302" s="137" t="s">
        <v>98</v>
      </c>
      <c r="BE302" s="211" t="str">
        <f t="shared" si="487"/>
        <v>346, POYOWA BESAR,</v>
      </c>
    </row>
    <row r="303" spans="1:57" s="211" customFormat="1" ht="15.75" customHeight="1">
      <c r="A303" s="21"/>
      <c r="B303" s="21"/>
      <c r="C303" s="22" t="s">
        <v>99</v>
      </c>
      <c r="D303" s="22" t="s">
        <v>101</v>
      </c>
      <c r="E303" s="122">
        <v>3</v>
      </c>
      <c r="F303" s="6">
        <f>F302+1</f>
        <v>30</v>
      </c>
      <c r="G303" s="213"/>
      <c r="H303" s="12">
        <v>2</v>
      </c>
      <c r="I303" s="64" t="str">
        <f t="shared" ref="I303:M303" si="533">I302</f>
        <v>MR.KPBS.P035</v>
      </c>
      <c r="J303" s="64">
        <f t="shared" si="533"/>
        <v>0.71108052639999997</v>
      </c>
      <c r="K303" s="64">
        <f t="shared" si="533"/>
        <v>124.3229251874</v>
      </c>
      <c r="L303" s="64" t="str">
        <f t="shared" si="533"/>
        <v>JL. RAYA POYOWA BESAR</v>
      </c>
      <c r="M303" s="64" t="str">
        <f t="shared" si="533"/>
        <v>SULAWESU UTARA</v>
      </c>
      <c r="N303" s="65" t="s">
        <v>105</v>
      </c>
      <c r="O303" s="66" t="s">
        <v>118</v>
      </c>
      <c r="P303" s="65" t="s">
        <v>119</v>
      </c>
      <c r="Q303" s="66">
        <v>95717</v>
      </c>
      <c r="R303" s="98"/>
      <c r="S303" s="99"/>
      <c r="T303" s="100"/>
      <c r="U303" s="99"/>
      <c r="V303" s="100"/>
      <c r="W303" s="97" t="s">
        <v>105</v>
      </c>
      <c r="X303" s="101"/>
      <c r="Y303" s="64" t="s">
        <v>106</v>
      </c>
      <c r="Z303" s="64" t="str">
        <f t="shared" si="463"/>
        <v>KELURAHAN POYOWA BESAR SATU KOTAMOBAGU</v>
      </c>
      <c r="AA303" s="102"/>
      <c r="AB303" s="102"/>
      <c r="AC303" s="102" t="s">
        <v>70</v>
      </c>
      <c r="AD303" s="64" t="str">
        <f t="shared" ref="AD303" si="534">AD302</f>
        <v>POYOWA BESAR</v>
      </c>
      <c r="AE303" s="103"/>
      <c r="AF303" s="103"/>
      <c r="AG303" s="103"/>
      <c r="AH303" s="103"/>
      <c r="AI303" s="104"/>
      <c r="AJ303" s="11" t="s">
        <v>236</v>
      </c>
      <c r="AK303" s="102" t="s">
        <v>96</v>
      </c>
      <c r="AL303" s="106"/>
      <c r="AM303" s="192"/>
      <c r="AN303" s="192"/>
      <c r="AO303" s="192"/>
      <c r="AP303" s="192"/>
      <c r="AQ303" s="180" t="s">
        <v>97</v>
      </c>
      <c r="AR303" s="70" t="s">
        <v>349</v>
      </c>
      <c r="AS303" s="71" t="str">
        <f t="shared" ref="AS303:AT303" si="535">AS302</f>
        <v>KPBS-1.019</v>
      </c>
      <c r="AT303" s="71" t="str">
        <f t="shared" si="535"/>
        <v>B13</v>
      </c>
      <c r="AU303" s="105"/>
      <c r="AV303" s="202">
        <v>0.711249465299999</v>
      </c>
      <c r="AW303" s="202">
        <v>124.32299733070001</v>
      </c>
      <c r="AX303" s="106" t="s">
        <v>98</v>
      </c>
      <c r="AY303" s="106" t="s">
        <v>94</v>
      </c>
      <c r="AZ303" s="106" t="s">
        <v>94</v>
      </c>
      <c r="BA303" s="73" t="s">
        <v>77</v>
      </c>
      <c r="BB303" s="106" t="s">
        <v>98</v>
      </c>
      <c r="BC303" s="106">
        <v>31</v>
      </c>
      <c r="BD303" s="106" t="s">
        <v>98</v>
      </c>
      <c r="BE303" s="211" t="str">
        <f t="shared" si="487"/>
        <v>346A, POYOWA BESAR,</v>
      </c>
    </row>
    <row r="304" spans="1:57" s="211" customFormat="1" ht="15.75" customHeight="1">
      <c r="A304" s="215"/>
      <c r="B304" s="216"/>
      <c r="C304" s="216"/>
      <c r="D304" s="216"/>
      <c r="E304" s="216"/>
      <c r="F304" s="216"/>
      <c r="G304" s="217"/>
      <c r="H304" s="12">
        <v>3</v>
      </c>
      <c r="I304" s="64" t="str">
        <f t="shared" ref="I304:M304" si="536">I303</f>
        <v>MR.KPBS.P035</v>
      </c>
      <c r="J304" s="64">
        <f t="shared" si="536"/>
        <v>0.71108052639999997</v>
      </c>
      <c r="K304" s="64">
        <f t="shared" si="536"/>
        <v>124.3229251874</v>
      </c>
      <c r="L304" s="64" t="str">
        <f t="shared" si="536"/>
        <v>JL. RAYA POYOWA BESAR</v>
      </c>
      <c r="M304" s="64" t="str">
        <f t="shared" si="536"/>
        <v>SULAWESU UTARA</v>
      </c>
      <c r="N304" s="65" t="s">
        <v>105</v>
      </c>
      <c r="O304" s="66" t="s">
        <v>118</v>
      </c>
      <c r="P304" s="65" t="s">
        <v>119</v>
      </c>
      <c r="Q304" s="66">
        <v>95717</v>
      </c>
      <c r="R304" s="98"/>
      <c r="S304" s="99"/>
      <c r="T304" s="100"/>
      <c r="U304" s="99"/>
      <c r="V304" s="100"/>
      <c r="W304" s="97" t="s">
        <v>105</v>
      </c>
      <c r="X304" s="101"/>
      <c r="Y304" s="64" t="s">
        <v>106</v>
      </c>
      <c r="Z304" s="64" t="str">
        <f t="shared" si="463"/>
        <v>KELURAHAN POYOWA BESAR SATU KOTAMOBAGU</v>
      </c>
      <c r="AA304" s="102"/>
      <c r="AB304" s="102"/>
      <c r="AC304" s="102" t="s">
        <v>70</v>
      </c>
      <c r="AD304" s="64" t="str">
        <f t="shared" ref="AD304" si="537">AD303</f>
        <v>POYOWA BESAR</v>
      </c>
      <c r="AE304" s="103"/>
      <c r="AF304" s="103"/>
      <c r="AG304" s="103"/>
      <c r="AH304" s="103"/>
      <c r="AI304" s="104"/>
      <c r="AJ304" s="11" t="s">
        <v>237</v>
      </c>
      <c r="AK304" s="102" t="s">
        <v>96</v>
      </c>
      <c r="AL304" s="106"/>
      <c r="AM304" s="192"/>
      <c r="AN304" s="192"/>
      <c r="AO304" s="192"/>
      <c r="AP304" s="192"/>
      <c r="AQ304" s="180" t="s">
        <v>97</v>
      </c>
      <c r="AR304" s="70" t="s">
        <v>349</v>
      </c>
      <c r="AS304" s="71" t="str">
        <f t="shared" ref="AS304:AT304" si="538">AS303</f>
        <v>KPBS-1.019</v>
      </c>
      <c r="AT304" s="71" t="str">
        <f t="shared" si="538"/>
        <v>B13</v>
      </c>
      <c r="AU304" s="105"/>
      <c r="AV304" s="202">
        <v>0.71120261330000001</v>
      </c>
      <c r="AW304" s="202">
        <v>124.3228522217</v>
      </c>
      <c r="AX304" s="106" t="s">
        <v>98</v>
      </c>
      <c r="AY304" s="106" t="s">
        <v>94</v>
      </c>
      <c r="AZ304" s="106" t="s">
        <v>94</v>
      </c>
      <c r="BA304" s="73" t="s">
        <v>77</v>
      </c>
      <c r="BB304" s="106" t="s">
        <v>98</v>
      </c>
      <c r="BC304" s="106">
        <v>31</v>
      </c>
      <c r="BD304" s="106" t="s">
        <v>98</v>
      </c>
      <c r="BE304" s="211" t="str">
        <f t="shared" si="487"/>
        <v>347, POYOWA BESAR,</v>
      </c>
    </row>
    <row r="305" spans="1:57" s="211" customFormat="1" ht="15.75" customHeight="1">
      <c r="A305" s="218"/>
      <c r="B305" s="219"/>
      <c r="C305" s="219"/>
      <c r="D305" s="219"/>
      <c r="E305" s="219"/>
      <c r="F305" s="219"/>
      <c r="G305" s="220"/>
      <c r="H305" s="12">
        <v>4</v>
      </c>
      <c r="I305" s="64" t="str">
        <f t="shared" ref="I305:M305" si="539">I304</f>
        <v>MR.KPBS.P035</v>
      </c>
      <c r="J305" s="64">
        <f t="shared" si="539"/>
        <v>0.71108052639999997</v>
      </c>
      <c r="K305" s="64">
        <f t="shared" si="539"/>
        <v>124.3229251874</v>
      </c>
      <c r="L305" s="64" t="str">
        <f t="shared" si="539"/>
        <v>JL. RAYA POYOWA BESAR</v>
      </c>
      <c r="M305" s="64" t="str">
        <f t="shared" si="539"/>
        <v>SULAWESU UTARA</v>
      </c>
      <c r="N305" s="65" t="s">
        <v>105</v>
      </c>
      <c r="O305" s="66" t="s">
        <v>118</v>
      </c>
      <c r="P305" s="65" t="s">
        <v>119</v>
      </c>
      <c r="Q305" s="66">
        <v>95717</v>
      </c>
      <c r="R305" s="98"/>
      <c r="S305" s="99"/>
      <c r="T305" s="100"/>
      <c r="U305" s="99"/>
      <c r="V305" s="100"/>
      <c r="W305" s="97" t="s">
        <v>105</v>
      </c>
      <c r="X305" s="101"/>
      <c r="Y305" s="64" t="s">
        <v>106</v>
      </c>
      <c r="Z305" s="64" t="str">
        <f t="shared" si="463"/>
        <v>KELURAHAN POYOWA BESAR SATU KOTAMOBAGU</v>
      </c>
      <c r="AA305" s="102"/>
      <c r="AB305" s="102"/>
      <c r="AC305" s="102" t="s">
        <v>70</v>
      </c>
      <c r="AD305" s="64" t="str">
        <f t="shared" ref="AD305:AD308" si="540">AD304</f>
        <v>POYOWA BESAR</v>
      </c>
      <c r="AE305" s="103"/>
      <c r="AF305" s="103"/>
      <c r="AG305" s="103"/>
      <c r="AH305" s="103"/>
      <c r="AI305" s="104"/>
      <c r="AJ305" s="11" t="s">
        <v>238</v>
      </c>
      <c r="AK305" s="102" t="s">
        <v>96</v>
      </c>
      <c r="AL305" s="106"/>
      <c r="AM305" s="192"/>
      <c r="AN305" s="192"/>
      <c r="AO305" s="192"/>
      <c r="AP305" s="192"/>
      <c r="AQ305" s="180" t="s">
        <v>97</v>
      </c>
      <c r="AR305" s="70" t="s">
        <v>349</v>
      </c>
      <c r="AS305" s="71" t="str">
        <f t="shared" ref="AS305:AT305" si="541">AS304</f>
        <v>KPBS-1.019</v>
      </c>
      <c r="AT305" s="71" t="str">
        <f t="shared" si="541"/>
        <v>B13</v>
      </c>
      <c r="AU305" s="105"/>
      <c r="AV305" s="202">
        <v>0.71116327069999996</v>
      </c>
      <c r="AW305" s="202">
        <v>124.3230092765</v>
      </c>
      <c r="AX305" s="106" t="s">
        <v>98</v>
      </c>
      <c r="AY305" s="106" t="s">
        <v>94</v>
      </c>
      <c r="AZ305" s="106" t="s">
        <v>94</v>
      </c>
      <c r="BA305" s="73" t="s">
        <v>77</v>
      </c>
      <c r="BB305" s="106" t="s">
        <v>98</v>
      </c>
      <c r="BC305" s="106">
        <v>31</v>
      </c>
      <c r="BD305" s="106" t="s">
        <v>98</v>
      </c>
      <c r="BE305" s="211" t="str">
        <f t="shared" si="487"/>
        <v>347A, POYOWA BESAR,</v>
      </c>
    </row>
    <row r="306" spans="1:57" s="211" customFormat="1" ht="15.75" customHeight="1">
      <c r="A306" s="218"/>
      <c r="B306" s="219"/>
      <c r="C306" s="219"/>
      <c r="D306" s="219"/>
      <c r="E306" s="219"/>
      <c r="F306" s="219"/>
      <c r="G306" s="220"/>
      <c r="H306" s="12">
        <v>5</v>
      </c>
      <c r="I306" s="64" t="str">
        <f t="shared" ref="I306:M306" si="542">I305</f>
        <v>MR.KPBS.P035</v>
      </c>
      <c r="J306" s="64">
        <f t="shared" si="542"/>
        <v>0.71108052639999997</v>
      </c>
      <c r="K306" s="64">
        <f t="shared" si="542"/>
        <v>124.3229251874</v>
      </c>
      <c r="L306" s="64" t="str">
        <f t="shared" si="542"/>
        <v>JL. RAYA POYOWA BESAR</v>
      </c>
      <c r="M306" s="64" t="str">
        <f t="shared" si="542"/>
        <v>SULAWESU UTARA</v>
      </c>
      <c r="N306" s="65" t="s">
        <v>105</v>
      </c>
      <c r="O306" s="66" t="s">
        <v>118</v>
      </c>
      <c r="P306" s="65" t="s">
        <v>119</v>
      </c>
      <c r="Q306" s="66">
        <v>95717</v>
      </c>
      <c r="R306" s="98"/>
      <c r="S306" s="99"/>
      <c r="T306" s="100"/>
      <c r="U306" s="99"/>
      <c r="V306" s="100"/>
      <c r="W306" s="97" t="s">
        <v>105</v>
      </c>
      <c r="X306" s="101"/>
      <c r="Y306" s="64" t="s">
        <v>106</v>
      </c>
      <c r="Z306" s="64" t="str">
        <f t="shared" si="463"/>
        <v>KELURAHAN POYOWA BESAR SATU KOTAMOBAGU</v>
      </c>
      <c r="AA306" s="102"/>
      <c r="AB306" s="102"/>
      <c r="AC306" s="102" t="s">
        <v>70</v>
      </c>
      <c r="AD306" s="64" t="str">
        <f t="shared" si="540"/>
        <v>POYOWA BESAR</v>
      </c>
      <c r="AE306" s="103"/>
      <c r="AF306" s="103"/>
      <c r="AG306" s="103"/>
      <c r="AH306" s="103"/>
      <c r="AI306" s="104"/>
      <c r="AJ306" s="11" t="s">
        <v>239</v>
      </c>
      <c r="AK306" s="102" t="s">
        <v>96</v>
      </c>
      <c r="AL306" s="106"/>
      <c r="AM306" s="192"/>
      <c r="AN306" s="192"/>
      <c r="AO306" s="192"/>
      <c r="AP306" s="192"/>
      <c r="AQ306" s="180" t="s">
        <v>97</v>
      </c>
      <c r="AR306" s="70" t="s">
        <v>349</v>
      </c>
      <c r="AS306" s="71" t="str">
        <f t="shared" ref="AS306:AT308" si="543">AS305</f>
        <v>KPBS-1.019</v>
      </c>
      <c r="AT306" s="71" t="str">
        <f t="shared" si="543"/>
        <v>B13</v>
      </c>
      <c r="AU306" s="105"/>
      <c r="AV306" s="202">
        <v>0.71111959709999895</v>
      </c>
      <c r="AW306" s="202">
        <v>124.3228499829</v>
      </c>
      <c r="AX306" s="106" t="s">
        <v>98</v>
      </c>
      <c r="AY306" s="106" t="s">
        <v>94</v>
      </c>
      <c r="AZ306" s="106" t="s">
        <v>94</v>
      </c>
      <c r="BA306" s="73" t="s">
        <v>77</v>
      </c>
      <c r="BB306" s="106" t="s">
        <v>98</v>
      </c>
      <c r="BC306" s="106">
        <v>31</v>
      </c>
      <c r="BD306" s="106" t="s">
        <v>98</v>
      </c>
      <c r="BE306" s="211" t="str">
        <f t="shared" ref="BE306:BE308" si="544">AJ306&amp;", "&amp;AD306&amp;","&amp;AI306</f>
        <v>348, POYOWA BESAR,</v>
      </c>
    </row>
    <row r="307" spans="1:57" s="211" customFormat="1" ht="15.75" customHeight="1">
      <c r="A307" s="218"/>
      <c r="B307" s="219"/>
      <c r="C307" s="219"/>
      <c r="D307" s="219"/>
      <c r="E307" s="219"/>
      <c r="F307" s="219"/>
      <c r="G307" s="220"/>
      <c r="H307" s="12">
        <v>6</v>
      </c>
      <c r="I307" s="64" t="str">
        <f t="shared" ref="I307:M307" si="545">I306</f>
        <v>MR.KPBS.P035</v>
      </c>
      <c r="J307" s="64">
        <f t="shared" si="545"/>
        <v>0.71108052639999997</v>
      </c>
      <c r="K307" s="64">
        <f t="shared" si="545"/>
        <v>124.3229251874</v>
      </c>
      <c r="L307" s="64" t="str">
        <f t="shared" si="545"/>
        <v>JL. RAYA POYOWA BESAR</v>
      </c>
      <c r="M307" s="64" t="str">
        <f t="shared" si="545"/>
        <v>SULAWESU UTARA</v>
      </c>
      <c r="N307" s="65" t="s">
        <v>105</v>
      </c>
      <c r="O307" s="66" t="s">
        <v>118</v>
      </c>
      <c r="P307" s="65" t="s">
        <v>119</v>
      </c>
      <c r="Q307" s="66">
        <v>95717</v>
      </c>
      <c r="R307" s="98"/>
      <c r="S307" s="99"/>
      <c r="T307" s="100"/>
      <c r="U307" s="99"/>
      <c r="V307" s="100"/>
      <c r="W307" s="97" t="s">
        <v>105</v>
      </c>
      <c r="X307" s="101"/>
      <c r="Y307" s="64" t="s">
        <v>106</v>
      </c>
      <c r="Z307" s="64" t="str">
        <f t="shared" si="463"/>
        <v>KELURAHAN POYOWA BESAR SATU KOTAMOBAGU</v>
      </c>
      <c r="AA307" s="102"/>
      <c r="AB307" s="102"/>
      <c r="AC307" s="102" t="s">
        <v>70</v>
      </c>
      <c r="AD307" s="64" t="str">
        <f t="shared" si="540"/>
        <v>POYOWA BESAR</v>
      </c>
      <c r="AE307" s="103"/>
      <c r="AF307" s="103"/>
      <c r="AG307" s="103"/>
      <c r="AH307" s="103"/>
      <c r="AI307" s="104"/>
      <c r="AJ307" s="11" t="s">
        <v>240</v>
      </c>
      <c r="AK307" s="102" t="s">
        <v>96</v>
      </c>
      <c r="AL307" s="106"/>
      <c r="AM307" s="192"/>
      <c r="AN307" s="192"/>
      <c r="AO307" s="192"/>
      <c r="AP307" s="192"/>
      <c r="AQ307" s="180" t="s">
        <v>97</v>
      </c>
      <c r="AR307" s="70" t="s">
        <v>349</v>
      </c>
      <c r="AS307" s="71" t="str">
        <f t="shared" si="543"/>
        <v>KPBS-1.019</v>
      </c>
      <c r="AT307" s="71" t="str">
        <f t="shared" si="543"/>
        <v>B13</v>
      </c>
      <c r="AU307" s="105"/>
      <c r="AV307" s="202">
        <v>0.71106869620000002</v>
      </c>
      <c r="AW307" s="202">
        <v>124.32302839</v>
      </c>
      <c r="AX307" s="106" t="s">
        <v>98</v>
      </c>
      <c r="AY307" s="106" t="s">
        <v>94</v>
      </c>
      <c r="AZ307" s="106" t="s">
        <v>94</v>
      </c>
      <c r="BA307" s="73" t="s">
        <v>77</v>
      </c>
      <c r="BB307" s="106" t="s">
        <v>98</v>
      </c>
      <c r="BC307" s="106">
        <v>31</v>
      </c>
      <c r="BD307" s="106" t="s">
        <v>98</v>
      </c>
      <c r="BE307" s="211" t="str">
        <f t="shared" si="544"/>
        <v>348A, POYOWA BESAR,</v>
      </c>
    </row>
    <row r="308" spans="1:57" s="211" customFormat="1" ht="15.75" customHeight="1">
      <c r="A308" s="218"/>
      <c r="B308" s="219"/>
      <c r="C308" s="219"/>
      <c r="D308" s="219"/>
      <c r="E308" s="219"/>
      <c r="F308" s="219"/>
      <c r="G308" s="220"/>
      <c r="H308" s="12">
        <v>7</v>
      </c>
      <c r="I308" s="64" t="str">
        <f t="shared" ref="I308:M308" si="546">I307</f>
        <v>MR.KPBS.P035</v>
      </c>
      <c r="J308" s="64">
        <f t="shared" si="546"/>
        <v>0.71108052639999997</v>
      </c>
      <c r="K308" s="64">
        <f t="shared" si="546"/>
        <v>124.3229251874</v>
      </c>
      <c r="L308" s="64" t="str">
        <f t="shared" si="546"/>
        <v>JL. RAYA POYOWA BESAR</v>
      </c>
      <c r="M308" s="64" t="str">
        <f t="shared" si="546"/>
        <v>SULAWESU UTARA</v>
      </c>
      <c r="N308" s="65" t="s">
        <v>105</v>
      </c>
      <c r="O308" s="66" t="s">
        <v>118</v>
      </c>
      <c r="P308" s="65" t="s">
        <v>119</v>
      </c>
      <c r="Q308" s="66">
        <v>95717</v>
      </c>
      <c r="R308" s="98"/>
      <c r="S308" s="99"/>
      <c r="T308" s="100"/>
      <c r="U308" s="99"/>
      <c r="V308" s="100"/>
      <c r="W308" s="97" t="s">
        <v>105</v>
      </c>
      <c r="X308" s="101"/>
      <c r="Y308" s="64" t="s">
        <v>106</v>
      </c>
      <c r="Z308" s="64" t="str">
        <f t="shared" si="463"/>
        <v>KELURAHAN POYOWA BESAR SATU KOTAMOBAGU</v>
      </c>
      <c r="AA308" s="102"/>
      <c r="AB308" s="102"/>
      <c r="AC308" s="102" t="s">
        <v>70</v>
      </c>
      <c r="AD308" s="64" t="str">
        <f t="shared" si="540"/>
        <v>POYOWA BESAR</v>
      </c>
      <c r="AE308" s="103"/>
      <c r="AF308" s="103"/>
      <c r="AG308" s="103"/>
      <c r="AH308" s="103"/>
      <c r="AI308" s="104"/>
      <c r="AJ308" s="11" t="s">
        <v>241</v>
      </c>
      <c r="AK308" s="102" t="s">
        <v>96</v>
      </c>
      <c r="AL308" s="106"/>
      <c r="AM308" s="192"/>
      <c r="AN308" s="192"/>
      <c r="AO308" s="192"/>
      <c r="AP308" s="192"/>
      <c r="AQ308" s="180" t="s">
        <v>97</v>
      </c>
      <c r="AR308" s="70" t="s">
        <v>349</v>
      </c>
      <c r="AS308" s="71" t="str">
        <f t="shared" si="543"/>
        <v>KPBS-1.019</v>
      </c>
      <c r="AT308" s="71" t="str">
        <f t="shared" si="543"/>
        <v>B13</v>
      </c>
      <c r="AU308" s="105"/>
      <c r="AV308" s="202">
        <v>0.711036581</v>
      </c>
      <c r="AW308" s="202">
        <v>124.3228566996</v>
      </c>
      <c r="AX308" s="106" t="s">
        <v>98</v>
      </c>
      <c r="AY308" s="106" t="s">
        <v>94</v>
      </c>
      <c r="AZ308" s="106" t="s">
        <v>94</v>
      </c>
      <c r="BA308" s="73" t="s">
        <v>77</v>
      </c>
      <c r="BB308" s="106" t="s">
        <v>98</v>
      </c>
      <c r="BC308" s="106">
        <v>31</v>
      </c>
      <c r="BD308" s="106" t="s">
        <v>98</v>
      </c>
      <c r="BE308" s="211" t="str">
        <f t="shared" si="544"/>
        <v>349, POYOWA BESAR,</v>
      </c>
    </row>
    <row r="309" spans="1:57" s="211" customFormat="1" ht="15.75" customHeight="1">
      <c r="A309" s="218"/>
      <c r="B309" s="219"/>
      <c r="C309" s="219"/>
      <c r="D309" s="219"/>
      <c r="E309" s="219"/>
      <c r="F309" s="219"/>
      <c r="G309" s="220"/>
      <c r="H309" s="12">
        <v>8</v>
      </c>
      <c r="I309" s="64" t="str">
        <f t="shared" ref="I309:L309" si="547">I305</f>
        <v>MR.KPBS.P035</v>
      </c>
      <c r="J309" s="64">
        <f t="shared" si="547"/>
        <v>0.71108052639999997</v>
      </c>
      <c r="K309" s="64">
        <f t="shared" si="547"/>
        <v>124.3229251874</v>
      </c>
      <c r="L309" s="64" t="str">
        <f t="shared" si="547"/>
        <v>JL. RAYA POYOWA BESAR</v>
      </c>
      <c r="M309" s="64" t="str">
        <f t="shared" ref="M309" si="548">M308</f>
        <v>SULAWESU UTARA</v>
      </c>
      <c r="N309" s="65" t="s">
        <v>105</v>
      </c>
      <c r="O309" s="66" t="s">
        <v>118</v>
      </c>
      <c r="P309" s="65" t="s">
        <v>119</v>
      </c>
      <c r="Q309" s="66">
        <v>95717</v>
      </c>
      <c r="R309" s="98"/>
      <c r="S309" s="99"/>
      <c r="T309" s="100"/>
      <c r="U309" s="99"/>
      <c r="V309" s="100"/>
      <c r="W309" s="97" t="s">
        <v>105</v>
      </c>
      <c r="X309" s="101"/>
      <c r="Y309" s="64" t="s">
        <v>106</v>
      </c>
      <c r="Z309" s="64" t="str">
        <f t="shared" si="463"/>
        <v>KELURAHAN POYOWA BESAR SATU KOTAMOBAGU</v>
      </c>
      <c r="AA309" s="102"/>
      <c r="AB309" s="102"/>
      <c r="AC309" s="102" t="s">
        <v>70</v>
      </c>
      <c r="AD309" s="64" t="str">
        <f t="shared" ref="AD309" si="549">AD305</f>
        <v>POYOWA BESAR</v>
      </c>
      <c r="AE309" s="103"/>
      <c r="AF309" s="103"/>
      <c r="AG309" s="103"/>
      <c r="AH309" s="103"/>
      <c r="AI309" s="104"/>
      <c r="AJ309" s="11" t="s">
        <v>242</v>
      </c>
      <c r="AK309" s="102" t="s">
        <v>96</v>
      </c>
      <c r="AL309" s="106"/>
      <c r="AM309" s="192"/>
      <c r="AN309" s="192"/>
      <c r="AO309" s="192"/>
      <c r="AP309" s="192"/>
      <c r="AQ309" s="180" t="s">
        <v>97</v>
      </c>
      <c r="AR309" s="70" t="s">
        <v>349</v>
      </c>
      <c r="AS309" s="71" t="str">
        <f t="shared" ref="AS309:AT309" si="550">AS305</f>
        <v>KPBS-1.019</v>
      </c>
      <c r="AT309" s="71" t="str">
        <f t="shared" si="550"/>
        <v>B13</v>
      </c>
      <c r="AU309" s="105"/>
      <c r="AV309" s="202">
        <v>0.71097771300000001</v>
      </c>
      <c r="AW309" s="202">
        <v>124.3230415304</v>
      </c>
      <c r="AX309" s="106" t="s">
        <v>98</v>
      </c>
      <c r="AY309" s="106" t="s">
        <v>94</v>
      </c>
      <c r="AZ309" s="106" t="s">
        <v>94</v>
      </c>
      <c r="BA309" s="73" t="s">
        <v>77</v>
      </c>
      <c r="BB309" s="106" t="s">
        <v>98</v>
      </c>
      <c r="BC309" s="106">
        <v>31</v>
      </c>
      <c r="BD309" s="106" t="s">
        <v>98</v>
      </c>
      <c r="BE309" s="211" t="str">
        <f t="shared" si="487"/>
        <v>349A, POYOWA BESAR,</v>
      </c>
    </row>
    <row r="310" spans="1:57" s="211" customFormat="1" ht="15.75" customHeight="1">
      <c r="A310" s="218"/>
      <c r="B310" s="219"/>
      <c r="C310" s="219"/>
      <c r="D310" s="219"/>
      <c r="E310" s="219"/>
      <c r="F310" s="219"/>
      <c r="G310" s="220"/>
      <c r="H310" s="12">
        <v>9</v>
      </c>
      <c r="I310" s="64" t="str">
        <f t="shared" ref="I310:M310" si="551">I309</f>
        <v>MR.KPBS.P035</v>
      </c>
      <c r="J310" s="64">
        <f t="shared" si="551"/>
        <v>0.71108052639999997</v>
      </c>
      <c r="K310" s="64">
        <f t="shared" si="551"/>
        <v>124.3229251874</v>
      </c>
      <c r="L310" s="64" t="str">
        <f t="shared" si="551"/>
        <v>JL. RAYA POYOWA BESAR</v>
      </c>
      <c r="M310" s="64" t="str">
        <f t="shared" si="551"/>
        <v>SULAWESU UTARA</v>
      </c>
      <c r="N310" s="65" t="s">
        <v>105</v>
      </c>
      <c r="O310" s="66" t="s">
        <v>118</v>
      </c>
      <c r="P310" s="65" t="s">
        <v>119</v>
      </c>
      <c r="Q310" s="66">
        <v>95717</v>
      </c>
      <c r="R310" s="98"/>
      <c r="S310" s="99"/>
      <c r="T310" s="100"/>
      <c r="U310" s="99"/>
      <c r="V310" s="100"/>
      <c r="W310" s="97" t="s">
        <v>105</v>
      </c>
      <c r="X310" s="101"/>
      <c r="Y310" s="64" t="s">
        <v>106</v>
      </c>
      <c r="Z310" s="64" t="str">
        <f t="shared" si="463"/>
        <v>KELURAHAN POYOWA BESAR SATU KOTAMOBAGU</v>
      </c>
      <c r="AA310" s="102"/>
      <c r="AB310" s="102"/>
      <c r="AC310" s="102" t="s">
        <v>70</v>
      </c>
      <c r="AD310" s="64" t="str">
        <f t="shared" ref="AD310" si="552">AD309</f>
        <v>POYOWA BESAR</v>
      </c>
      <c r="AE310" s="103"/>
      <c r="AF310" s="103"/>
      <c r="AG310" s="103"/>
      <c r="AH310" s="103"/>
      <c r="AI310" s="104"/>
      <c r="AJ310" s="11" t="s">
        <v>243</v>
      </c>
      <c r="AK310" s="102" t="s">
        <v>96</v>
      </c>
      <c r="AL310" s="106"/>
      <c r="AM310" s="192"/>
      <c r="AN310" s="192"/>
      <c r="AO310" s="192"/>
      <c r="AP310" s="192"/>
      <c r="AQ310" s="180" t="s">
        <v>97</v>
      </c>
      <c r="AR310" s="70" t="s">
        <v>349</v>
      </c>
      <c r="AS310" s="71" t="str">
        <f t="shared" ref="AS310:AT310" si="553">AS309</f>
        <v>KPBS-1.019</v>
      </c>
      <c r="AT310" s="71" t="str">
        <f t="shared" si="553"/>
        <v>B13</v>
      </c>
      <c r="AU310" s="105"/>
      <c r="AV310" s="202">
        <v>0.71094907740000002</v>
      </c>
      <c r="AW310" s="202">
        <v>124.3228432663</v>
      </c>
      <c r="AX310" s="106" t="s">
        <v>98</v>
      </c>
      <c r="AY310" s="106" t="s">
        <v>94</v>
      </c>
      <c r="AZ310" s="106" t="s">
        <v>94</v>
      </c>
      <c r="BA310" s="73" t="s">
        <v>77</v>
      </c>
      <c r="BB310" s="106" t="s">
        <v>98</v>
      </c>
      <c r="BC310" s="106">
        <v>31</v>
      </c>
      <c r="BD310" s="106" t="s">
        <v>98</v>
      </c>
      <c r="BE310" s="211" t="str">
        <f t="shared" si="487"/>
        <v>350, POYOWA BESAR,</v>
      </c>
    </row>
    <row r="311" spans="1:57" s="211" customFormat="1" ht="15.75" customHeight="1">
      <c r="A311" s="218"/>
      <c r="B311" s="219"/>
      <c r="C311" s="219"/>
      <c r="D311" s="219"/>
      <c r="E311" s="219"/>
      <c r="F311" s="219"/>
      <c r="G311" s="220"/>
      <c r="H311" s="12">
        <v>10</v>
      </c>
      <c r="I311" s="64" t="str">
        <f t="shared" ref="I311:M311" si="554">I310</f>
        <v>MR.KPBS.P035</v>
      </c>
      <c r="J311" s="64">
        <f t="shared" si="554"/>
        <v>0.71108052639999997</v>
      </c>
      <c r="K311" s="64">
        <f t="shared" si="554"/>
        <v>124.3229251874</v>
      </c>
      <c r="L311" s="64" t="str">
        <f t="shared" si="554"/>
        <v>JL. RAYA POYOWA BESAR</v>
      </c>
      <c r="M311" s="64" t="str">
        <f t="shared" si="554"/>
        <v>SULAWESU UTARA</v>
      </c>
      <c r="N311" s="65" t="s">
        <v>105</v>
      </c>
      <c r="O311" s="66" t="s">
        <v>118</v>
      </c>
      <c r="P311" s="65" t="s">
        <v>119</v>
      </c>
      <c r="Q311" s="66">
        <v>95717</v>
      </c>
      <c r="R311" s="98"/>
      <c r="S311" s="99"/>
      <c r="T311" s="100"/>
      <c r="U311" s="99"/>
      <c r="V311" s="100"/>
      <c r="W311" s="97" t="s">
        <v>105</v>
      </c>
      <c r="X311" s="101"/>
      <c r="Y311" s="64" t="s">
        <v>106</v>
      </c>
      <c r="Z311" s="64" t="str">
        <f t="shared" si="463"/>
        <v>KELURAHAN POYOWA BESAR SATU KOTAMOBAGU</v>
      </c>
      <c r="AA311" s="102"/>
      <c r="AB311" s="102"/>
      <c r="AC311" s="102" t="s">
        <v>70</v>
      </c>
      <c r="AD311" s="64" t="str">
        <f t="shared" ref="AD311" si="555">AD310</f>
        <v>POYOWA BESAR</v>
      </c>
      <c r="AE311" s="103"/>
      <c r="AF311" s="103"/>
      <c r="AG311" s="103"/>
      <c r="AH311" s="103"/>
      <c r="AI311" s="104"/>
      <c r="AJ311" s="11" t="s">
        <v>244</v>
      </c>
      <c r="AK311" s="102" t="s">
        <v>96</v>
      </c>
      <c r="AL311" s="106"/>
      <c r="AM311" s="192"/>
      <c r="AN311" s="192"/>
      <c r="AO311" s="192"/>
      <c r="AP311" s="192"/>
      <c r="AQ311" s="180" t="s">
        <v>97</v>
      </c>
      <c r="AR311" s="70" t="s">
        <v>349</v>
      </c>
      <c r="AS311" s="71" t="str">
        <f t="shared" ref="AS311:AT311" si="556">AS310</f>
        <v>KPBS-1.019</v>
      </c>
      <c r="AT311" s="71" t="str">
        <f t="shared" si="556"/>
        <v>B13</v>
      </c>
      <c r="AU311" s="105"/>
      <c r="AV311" s="202">
        <v>0.71089151839999998</v>
      </c>
      <c r="AW311" s="202">
        <v>124.3230475033</v>
      </c>
      <c r="AX311" s="106" t="s">
        <v>98</v>
      </c>
      <c r="AY311" s="106" t="s">
        <v>94</v>
      </c>
      <c r="AZ311" s="106" t="s">
        <v>94</v>
      </c>
      <c r="BA311" s="73" t="s">
        <v>77</v>
      </c>
      <c r="BB311" s="106" t="s">
        <v>98</v>
      </c>
      <c r="BC311" s="106">
        <v>31</v>
      </c>
      <c r="BD311" s="106" t="s">
        <v>98</v>
      </c>
      <c r="BE311" s="211" t="str">
        <f t="shared" si="487"/>
        <v>350A, POYOWA BESAR,</v>
      </c>
    </row>
    <row r="312" spans="1:57" s="211" customFormat="1" ht="15.75" customHeight="1">
      <c r="A312" s="218"/>
      <c r="B312" s="219"/>
      <c r="C312" s="219"/>
      <c r="D312" s="219"/>
      <c r="E312" s="219"/>
      <c r="F312" s="219"/>
      <c r="G312" s="220"/>
      <c r="H312" s="12">
        <v>11</v>
      </c>
      <c r="I312" s="64" t="str">
        <f t="shared" ref="I312:M312" si="557">I311</f>
        <v>MR.KPBS.P035</v>
      </c>
      <c r="J312" s="64">
        <f t="shared" si="557"/>
        <v>0.71108052639999997</v>
      </c>
      <c r="K312" s="64">
        <f t="shared" si="557"/>
        <v>124.3229251874</v>
      </c>
      <c r="L312" s="64" t="str">
        <f t="shared" si="557"/>
        <v>JL. RAYA POYOWA BESAR</v>
      </c>
      <c r="M312" s="64" t="str">
        <f t="shared" si="557"/>
        <v>SULAWESU UTARA</v>
      </c>
      <c r="N312" s="65" t="s">
        <v>105</v>
      </c>
      <c r="O312" s="66" t="s">
        <v>118</v>
      </c>
      <c r="P312" s="65" t="s">
        <v>119</v>
      </c>
      <c r="Q312" s="66">
        <v>95717</v>
      </c>
      <c r="R312" s="98"/>
      <c r="S312" s="99"/>
      <c r="T312" s="100"/>
      <c r="U312" s="99"/>
      <c r="V312" s="100"/>
      <c r="W312" s="97" t="s">
        <v>105</v>
      </c>
      <c r="X312" s="101"/>
      <c r="Y312" s="64" t="s">
        <v>106</v>
      </c>
      <c r="Z312" s="64" t="str">
        <f t="shared" si="463"/>
        <v>KELURAHAN POYOWA BESAR SATU KOTAMOBAGU</v>
      </c>
      <c r="AA312" s="102"/>
      <c r="AB312" s="102"/>
      <c r="AC312" s="102" t="s">
        <v>70</v>
      </c>
      <c r="AD312" s="64" t="str">
        <f t="shared" ref="AD312" si="558">AD311</f>
        <v>POYOWA BESAR</v>
      </c>
      <c r="AE312" s="103"/>
      <c r="AF312" s="103"/>
      <c r="AG312" s="103"/>
      <c r="AH312" s="103"/>
      <c r="AI312" s="104"/>
      <c r="AJ312" s="11" t="s">
        <v>245</v>
      </c>
      <c r="AK312" s="102" t="s">
        <v>96</v>
      </c>
      <c r="AL312" s="106"/>
      <c r="AM312" s="192"/>
      <c r="AN312" s="192"/>
      <c r="AO312" s="192"/>
      <c r="AP312" s="192"/>
      <c r="AQ312" s="193" t="s">
        <v>97</v>
      </c>
      <c r="AR312" s="70" t="s">
        <v>349</v>
      </c>
      <c r="AS312" s="71" t="str">
        <f t="shared" ref="AS312:AT312" si="559">AS311</f>
        <v>KPBS-1.019</v>
      </c>
      <c r="AT312" s="71" t="str">
        <f t="shared" si="559"/>
        <v>B13</v>
      </c>
      <c r="AU312" s="105"/>
      <c r="AV312" s="202">
        <v>0.71079903060000005</v>
      </c>
      <c r="AW312" s="202">
        <v>124.32310899940001</v>
      </c>
      <c r="AX312" s="106" t="s">
        <v>98</v>
      </c>
      <c r="AY312" s="106" t="s">
        <v>94</v>
      </c>
      <c r="AZ312" s="106" t="s">
        <v>94</v>
      </c>
      <c r="BA312" s="73" t="s">
        <v>77</v>
      </c>
      <c r="BB312" s="106" t="s">
        <v>98</v>
      </c>
      <c r="BC312" s="106">
        <v>31</v>
      </c>
      <c r="BD312" s="106" t="s">
        <v>98</v>
      </c>
      <c r="BE312" s="211" t="str">
        <f t="shared" si="487"/>
        <v>382, POYOWA BESAR,</v>
      </c>
    </row>
    <row r="313" spans="1:57" s="211" customFormat="1" ht="15.75" customHeight="1">
      <c r="A313" s="218"/>
      <c r="B313" s="219"/>
      <c r="C313" s="219"/>
      <c r="D313" s="219"/>
      <c r="E313" s="219"/>
      <c r="F313" s="219"/>
      <c r="G313" s="220"/>
      <c r="H313" s="12">
        <v>12</v>
      </c>
      <c r="I313" s="64" t="str">
        <f t="shared" ref="I313:M313" si="560">I312</f>
        <v>MR.KPBS.P035</v>
      </c>
      <c r="J313" s="64">
        <f t="shared" si="560"/>
        <v>0.71108052639999997</v>
      </c>
      <c r="K313" s="64">
        <f t="shared" si="560"/>
        <v>124.3229251874</v>
      </c>
      <c r="L313" s="64" t="str">
        <f t="shared" si="560"/>
        <v>JL. RAYA POYOWA BESAR</v>
      </c>
      <c r="M313" s="64" t="str">
        <f t="shared" si="560"/>
        <v>SULAWESU UTARA</v>
      </c>
      <c r="N313" s="65" t="s">
        <v>105</v>
      </c>
      <c r="O313" s="66" t="s">
        <v>118</v>
      </c>
      <c r="P313" s="65" t="s">
        <v>119</v>
      </c>
      <c r="Q313" s="66">
        <v>95717</v>
      </c>
      <c r="R313" s="98"/>
      <c r="S313" s="99"/>
      <c r="T313" s="100"/>
      <c r="U313" s="99"/>
      <c r="V313" s="100"/>
      <c r="W313" s="97" t="s">
        <v>105</v>
      </c>
      <c r="X313" s="101"/>
      <c r="Y313" s="64" t="s">
        <v>106</v>
      </c>
      <c r="Z313" s="64" t="str">
        <f t="shared" si="463"/>
        <v>KELURAHAN POYOWA BESAR SATU KOTAMOBAGU</v>
      </c>
      <c r="AA313" s="102"/>
      <c r="AB313" s="102"/>
      <c r="AC313" s="102" t="s">
        <v>70</v>
      </c>
      <c r="AD313" s="64" t="str">
        <f t="shared" ref="AD313" si="561">AD312</f>
        <v>POYOWA BESAR</v>
      </c>
      <c r="AE313" s="103"/>
      <c r="AF313" s="103"/>
      <c r="AG313" s="103"/>
      <c r="AH313" s="103"/>
      <c r="AI313" s="104"/>
      <c r="AJ313" s="11" t="s">
        <v>246</v>
      </c>
      <c r="AK313" s="102" t="s">
        <v>96</v>
      </c>
      <c r="AL313" s="106"/>
      <c r="AM313" s="106"/>
      <c r="AN313" s="106"/>
      <c r="AO313" s="106"/>
      <c r="AP313" s="106"/>
      <c r="AQ313" s="180" t="s">
        <v>97</v>
      </c>
      <c r="AR313" s="70" t="s">
        <v>349</v>
      </c>
      <c r="AS313" s="71" t="str">
        <f t="shared" ref="AS313:AT313" si="562">AS312</f>
        <v>KPBS-1.019</v>
      </c>
      <c r="AT313" s="71" t="str">
        <f t="shared" si="562"/>
        <v>B13</v>
      </c>
      <c r="AU313" s="105"/>
      <c r="AV313" s="202">
        <v>0.71070762829999901</v>
      </c>
      <c r="AW313" s="202">
        <v>124.3230636724</v>
      </c>
      <c r="AX313" s="106" t="s">
        <v>98</v>
      </c>
      <c r="AY313" s="106" t="s">
        <v>94</v>
      </c>
      <c r="AZ313" s="106" t="s">
        <v>94</v>
      </c>
      <c r="BA313" s="73" t="s">
        <v>77</v>
      </c>
      <c r="BB313" s="106" t="s">
        <v>98</v>
      </c>
      <c r="BC313" s="106">
        <v>31</v>
      </c>
      <c r="BD313" s="106" t="s">
        <v>98</v>
      </c>
      <c r="BE313" s="211" t="str">
        <f t="shared" si="487"/>
        <v>381, POYOWA BESAR,</v>
      </c>
    </row>
    <row r="314" spans="1:57" s="211" customFormat="1" ht="15.75" customHeight="1">
      <c r="A314" s="218"/>
      <c r="B314" s="219"/>
      <c r="C314" s="219"/>
      <c r="D314" s="219"/>
      <c r="E314" s="219"/>
      <c r="F314" s="219"/>
      <c r="G314" s="220"/>
      <c r="H314" s="12">
        <v>13</v>
      </c>
      <c r="I314" s="64" t="str">
        <f t="shared" ref="I314:M314" si="563">I313</f>
        <v>MR.KPBS.P035</v>
      </c>
      <c r="J314" s="64">
        <f t="shared" si="563"/>
        <v>0.71108052639999997</v>
      </c>
      <c r="K314" s="64">
        <f t="shared" si="563"/>
        <v>124.3229251874</v>
      </c>
      <c r="L314" s="64" t="str">
        <f t="shared" si="563"/>
        <v>JL. RAYA POYOWA BESAR</v>
      </c>
      <c r="M314" s="64" t="str">
        <f t="shared" si="563"/>
        <v>SULAWESU UTARA</v>
      </c>
      <c r="N314" s="65" t="s">
        <v>105</v>
      </c>
      <c r="O314" s="66" t="s">
        <v>118</v>
      </c>
      <c r="P314" s="65" t="s">
        <v>119</v>
      </c>
      <c r="Q314" s="66">
        <v>95717</v>
      </c>
      <c r="R314" s="98"/>
      <c r="S314" s="99"/>
      <c r="T314" s="100"/>
      <c r="U314" s="99"/>
      <c r="V314" s="100"/>
      <c r="W314" s="97" t="s">
        <v>105</v>
      </c>
      <c r="X314" s="101"/>
      <c r="Y314" s="64" t="s">
        <v>106</v>
      </c>
      <c r="Z314" s="64" t="str">
        <f t="shared" si="463"/>
        <v>KELURAHAN POYOWA BESAR SATU KOTAMOBAGU</v>
      </c>
      <c r="AA314" s="102"/>
      <c r="AB314" s="102"/>
      <c r="AC314" s="102" t="s">
        <v>70</v>
      </c>
      <c r="AD314" s="64" t="str">
        <f t="shared" ref="AD314" si="564">AD313</f>
        <v>POYOWA BESAR</v>
      </c>
      <c r="AE314" s="103"/>
      <c r="AF314" s="103"/>
      <c r="AG314" s="103"/>
      <c r="AH314" s="103"/>
      <c r="AI314" s="104"/>
      <c r="AJ314" s="11" t="s">
        <v>247</v>
      </c>
      <c r="AK314" s="102" t="s">
        <v>96</v>
      </c>
      <c r="AL314" s="106"/>
      <c r="AM314" s="106"/>
      <c r="AN314" s="106"/>
      <c r="AO314" s="106"/>
      <c r="AP314" s="106"/>
      <c r="AQ314" s="180" t="s">
        <v>97</v>
      </c>
      <c r="AR314" s="70" t="s">
        <v>349</v>
      </c>
      <c r="AS314" s="71" t="str">
        <f t="shared" ref="AS314:AT314" si="565">AS313</f>
        <v>KPBS-1.019</v>
      </c>
      <c r="AT314" s="71" t="str">
        <f t="shared" si="565"/>
        <v>B13</v>
      </c>
      <c r="AU314" s="105"/>
      <c r="AV314" s="202">
        <v>0.71068156849999997</v>
      </c>
      <c r="AW314" s="202">
        <v>124.3229502594</v>
      </c>
      <c r="AX314" s="106" t="s">
        <v>98</v>
      </c>
      <c r="AY314" s="106" t="s">
        <v>94</v>
      </c>
      <c r="AZ314" s="106" t="s">
        <v>94</v>
      </c>
      <c r="BA314" s="73" t="s">
        <v>77</v>
      </c>
      <c r="BB314" s="106" t="s">
        <v>98</v>
      </c>
      <c r="BC314" s="106">
        <v>31</v>
      </c>
      <c r="BD314" s="106" t="s">
        <v>98</v>
      </c>
      <c r="BE314" s="211" t="str">
        <f t="shared" si="487"/>
        <v>380, POYOWA BESAR,</v>
      </c>
    </row>
    <row r="315" spans="1:57" s="211" customFormat="1" ht="15.75" customHeight="1">
      <c r="A315" s="218"/>
      <c r="B315" s="219"/>
      <c r="C315" s="219"/>
      <c r="D315" s="219"/>
      <c r="E315" s="219"/>
      <c r="F315" s="219"/>
      <c r="G315" s="220"/>
      <c r="H315" s="12">
        <v>14</v>
      </c>
      <c r="I315" s="64" t="str">
        <f t="shared" ref="I315:M315" si="566">I314</f>
        <v>MR.KPBS.P035</v>
      </c>
      <c r="J315" s="64">
        <f t="shared" si="566"/>
        <v>0.71108052639999997</v>
      </c>
      <c r="K315" s="64">
        <f t="shared" si="566"/>
        <v>124.3229251874</v>
      </c>
      <c r="L315" s="64" t="str">
        <f t="shared" si="566"/>
        <v>JL. RAYA POYOWA BESAR</v>
      </c>
      <c r="M315" s="64" t="str">
        <f t="shared" si="566"/>
        <v>SULAWESU UTARA</v>
      </c>
      <c r="N315" s="65" t="s">
        <v>105</v>
      </c>
      <c r="O315" s="66" t="s">
        <v>118</v>
      </c>
      <c r="P315" s="65" t="s">
        <v>119</v>
      </c>
      <c r="Q315" s="66">
        <v>95717</v>
      </c>
      <c r="R315" s="98"/>
      <c r="S315" s="99"/>
      <c r="T315" s="100"/>
      <c r="U315" s="99"/>
      <c r="V315" s="100"/>
      <c r="W315" s="97" t="s">
        <v>105</v>
      </c>
      <c r="X315" s="101"/>
      <c r="Y315" s="64" t="s">
        <v>106</v>
      </c>
      <c r="Z315" s="64" t="str">
        <f t="shared" si="463"/>
        <v>KELURAHAN POYOWA BESAR SATU KOTAMOBAGU</v>
      </c>
      <c r="AA315" s="102"/>
      <c r="AB315" s="102"/>
      <c r="AC315" s="102" t="s">
        <v>70</v>
      </c>
      <c r="AD315" s="64" t="str">
        <f t="shared" ref="AD315" si="567">AD314</f>
        <v>POYOWA BESAR</v>
      </c>
      <c r="AE315" s="103"/>
      <c r="AF315" s="103"/>
      <c r="AG315" s="103"/>
      <c r="AH315" s="103"/>
      <c r="AI315" s="104"/>
      <c r="AJ315" s="11" t="s">
        <v>248</v>
      </c>
      <c r="AK315" s="102" t="s">
        <v>96</v>
      </c>
      <c r="AL315" s="106"/>
      <c r="AM315" s="106"/>
      <c r="AN315" s="106"/>
      <c r="AO315" s="106"/>
      <c r="AP315" s="106"/>
      <c r="AQ315" s="180" t="s">
        <v>97</v>
      </c>
      <c r="AR315" s="70" t="s">
        <v>349</v>
      </c>
      <c r="AS315" s="71" t="str">
        <f t="shared" ref="AS315:AT315" si="568">AS314</f>
        <v>KPBS-1.019</v>
      </c>
      <c r="AT315" s="71" t="str">
        <f t="shared" si="568"/>
        <v>B13</v>
      </c>
      <c r="AU315" s="105"/>
      <c r="AV315" s="202">
        <v>0.71086830489999997</v>
      </c>
      <c r="AW315" s="202">
        <v>124.32285222180001</v>
      </c>
      <c r="AX315" s="106" t="s">
        <v>98</v>
      </c>
      <c r="AY315" s="106" t="s">
        <v>94</v>
      </c>
      <c r="AZ315" s="106" t="s">
        <v>94</v>
      </c>
      <c r="BA315" s="73" t="s">
        <v>77</v>
      </c>
      <c r="BB315" s="106" t="s">
        <v>98</v>
      </c>
      <c r="BC315" s="106">
        <v>31</v>
      </c>
      <c r="BD315" s="106" t="s">
        <v>98</v>
      </c>
      <c r="BE315" s="211" t="str">
        <f t="shared" si="487"/>
        <v>351, POYOWA BESAR,</v>
      </c>
    </row>
    <row r="316" spans="1:57" s="211" customFormat="1" ht="15.75" customHeight="1">
      <c r="A316" s="218"/>
      <c r="B316" s="219"/>
      <c r="C316" s="219"/>
      <c r="D316" s="219"/>
      <c r="E316" s="219"/>
      <c r="F316" s="219"/>
      <c r="G316" s="220"/>
      <c r="H316" s="12">
        <v>15</v>
      </c>
      <c r="I316" s="64" t="str">
        <f t="shared" ref="I316:M316" si="569">I315</f>
        <v>MR.KPBS.P035</v>
      </c>
      <c r="J316" s="64">
        <f t="shared" si="569"/>
        <v>0.71108052639999997</v>
      </c>
      <c r="K316" s="64">
        <f t="shared" si="569"/>
        <v>124.3229251874</v>
      </c>
      <c r="L316" s="64" t="str">
        <f t="shared" si="569"/>
        <v>JL. RAYA POYOWA BESAR</v>
      </c>
      <c r="M316" s="64" t="str">
        <f t="shared" si="569"/>
        <v>SULAWESU UTARA</v>
      </c>
      <c r="N316" s="65" t="s">
        <v>105</v>
      </c>
      <c r="O316" s="66" t="s">
        <v>118</v>
      </c>
      <c r="P316" s="65" t="s">
        <v>119</v>
      </c>
      <c r="Q316" s="66">
        <v>95717</v>
      </c>
      <c r="R316" s="98"/>
      <c r="S316" s="99"/>
      <c r="T316" s="100"/>
      <c r="U316" s="99"/>
      <c r="V316" s="100"/>
      <c r="W316" s="97" t="s">
        <v>105</v>
      </c>
      <c r="X316" s="101"/>
      <c r="Y316" s="64" t="s">
        <v>106</v>
      </c>
      <c r="Z316" s="64" t="str">
        <f t="shared" si="463"/>
        <v>KELURAHAN POYOWA BESAR SATU KOTAMOBAGU</v>
      </c>
      <c r="AA316" s="102"/>
      <c r="AB316" s="102"/>
      <c r="AC316" s="102" t="s">
        <v>70</v>
      </c>
      <c r="AD316" s="64" t="str">
        <f t="shared" ref="AD316" si="570">AD315</f>
        <v>POYOWA BESAR</v>
      </c>
      <c r="AE316" s="103"/>
      <c r="AF316" s="103"/>
      <c r="AG316" s="103"/>
      <c r="AH316" s="103"/>
      <c r="AI316" s="104"/>
      <c r="AJ316" s="11" t="s">
        <v>249</v>
      </c>
      <c r="AK316" s="102" t="s">
        <v>96</v>
      </c>
      <c r="AL316" s="106"/>
      <c r="AM316" s="106"/>
      <c r="AN316" s="106"/>
      <c r="AO316" s="106"/>
      <c r="AP316" s="106"/>
      <c r="AQ316" s="180" t="s">
        <v>97</v>
      </c>
      <c r="AR316" s="70" t="s">
        <v>349</v>
      </c>
      <c r="AS316" s="71" t="str">
        <f t="shared" ref="AS316:AT316" si="571">AS315</f>
        <v>KPBS-1.019</v>
      </c>
      <c r="AT316" s="71" t="str">
        <f t="shared" si="571"/>
        <v>B13</v>
      </c>
      <c r="AU316" s="105"/>
      <c r="AV316" s="202">
        <v>0.71069598069999995</v>
      </c>
      <c r="AW316" s="202">
        <v>124.3228672892</v>
      </c>
      <c r="AX316" s="106" t="s">
        <v>98</v>
      </c>
      <c r="AY316" s="106" t="s">
        <v>94</v>
      </c>
      <c r="AZ316" s="106" t="s">
        <v>94</v>
      </c>
      <c r="BA316" s="73" t="s">
        <v>77</v>
      </c>
      <c r="BB316" s="106" t="s">
        <v>98</v>
      </c>
      <c r="BC316" s="106">
        <v>31</v>
      </c>
      <c r="BD316" s="106" t="s">
        <v>98</v>
      </c>
      <c r="BE316" s="211" t="str">
        <f t="shared" si="487"/>
        <v>379, POYOWA BESAR,</v>
      </c>
    </row>
    <row r="317" spans="1:57" s="211" customFormat="1" ht="15.75" customHeight="1">
      <c r="A317" s="218"/>
      <c r="B317" s="219"/>
      <c r="C317" s="219"/>
      <c r="D317" s="219"/>
      <c r="E317" s="219"/>
      <c r="F317" s="219"/>
      <c r="G317" s="220"/>
      <c r="H317" s="12">
        <v>16</v>
      </c>
      <c r="I317" s="64" t="str">
        <f t="shared" ref="I317:M317" si="572">I316</f>
        <v>MR.KPBS.P035</v>
      </c>
      <c r="J317" s="64">
        <f t="shared" si="572"/>
        <v>0.71108052639999997</v>
      </c>
      <c r="K317" s="64">
        <f t="shared" si="572"/>
        <v>124.3229251874</v>
      </c>
      <c r="L317" s="64" t="str">
        <f t="shared" si="572"/>
        <v>JL. RAYA POYOWA BESAR</v>
      </c>
      <c r="M317" s="64" t="str">
        <f t="shared" si="572"/>
        <v>SULAWESU UTARA</v>
      </c>
      <c r="N317" s="65" t="s">
        <v>105</v>
      </c>
      <c r="O317" s="66" t="s">
        <v>118</v>
      </c>
      <c r="P317" s="65" t="s">
        <v>119</v>
      </c>
      <c r="Q317" s="66">
        <v>95717</v>
      </c>
      <c r="R317" s="98"/>
      <c r="S317" s="99"/>
      <c r="T317" s="100"/>
      <c r="U317" s="99"/>
      <c r="V317" s="100"/>
      <c r="W317" s="97" t="s">
        <v>105</v>
      </c>
      <c r="X317" s="101"/>
      <c r="Y317" s="64" t="s">
        <v>106</v>
      </c>
      <c r="Z317" s="64" t="str">
        <f t="shared" si="463"/>
        <v>KELURAHAN POYOWA BESAR SATU KOTAMOBAGU</v>
      </c>
      <c r="AA317" s="102"/>
      <c r="AB317" s="102"/>
      <c r="AC317" s="102" t="s">
        <v>70</v>
      </c>
      <c r="AD317" s="64" t="str">
        <f t="shared" ref="AD317" si="573">AD316</f>
        <v>POYOWA BESAR</v>
      </c>
      <c r="AE317" s="103"/>
      <c r="AF317" s="103"/>
      <c r="AG317" s="103"/>
      <c r="AH317" s="103"/>
      <c r="AI317" s="104"/>
      <c r="AJ317" s="11" t="s">
        <v>250</v>
      </c>
      <c r="AK317" s="181" t="s">
        <v>96</v>
      </c>
      <c r="AL317" s="181"/>
      <c r="AM317" s="181"/>
      <c r="AN317" s="181"/>
      <c r="AO317" s="181"/>
      <c r="AP317" s="181"/>
      <c r="AQ317" s="182" t="s">
        <v>97</v>
      </c>
      <c r="AR317" s="70" t="s">
        <v>349</v>
      </c>
      <c r="AS317" s="71" t="str">
        <f t="shared" ref="AS317:AT317" si="574">AS316</f>
        <v>KPBS-1.019</v>
      </c>
      <c r="AT317" s="71" t="str">
        <f t="shared" si="574"/>
        <v>B13</v>
      </c>
      <c r="AU317" s="105"/>
      <c r="AV317" s="202">
        <v>0.71069210299999996</v>
      </c>
      <c r="AW317" s="202">
        <v>124.3227976406</v>
      </c>
      <c r="AX317" s="106" t="s">
        <v>98</v>
      </c>
      <c r="AY317" s="106" t="s">
        <v>94</v>
      </c>
      <c r="AZ317" s="106" t="s">
        <v>94</v>
      </c>
      <c r="BA317" s="73" t="s">
        <v>77</v>
      </c>
      <c r="BB317" s="106" t="s">
        <v>98</v>
      </c>
      <c r="BC317" s="106">
        <v>31</v>
      </c>
      <c r="BD317" s="106" t="s">
        <v>98</v>
      </c>
      <c r="BE317" s="211" t="str">
        <f t="shared" si="487"/>
        <v>378, POYOWA BESAR,</v>
      </c>
    </row>
    <row r="318" spans="1:57" s="211" customFormat="1" ht="15.75" customHeight="1">
      <c r="A318" s="121" t="s">
        <v>104</v>
      </c>
      <c r="B318" s="121">
        <f>B302+1</f>
        <v>22</v>
      </c>
      <c r="C318" s="122" t="s">
        <v>99</v>
      </c>
      <c r="D318" s="122" t="s">
        <v>101</v>
      </c>
      <c r="E318" s="122">
        <v>3</v>
      </c>
      <c r="F318" s="2">
        <f>F303+1</f>
        <v>31</v>
      </c>
      <c r="G318" s="213" t="s">
        <v>95</v>
      </c>
      <c r="H318" s="123">
        <v>1</v>
      </c>
      <c r="I318" s="124" t="s">
        <v>114</v>
      </c>
      <c r="J318" s="125">
        <v>0.71072911419999996</v>
      </c>
      <c r="K318" s="125">
        <v>124.3224807358</v>
      </c>
      <c r="L318" s="16" t="s">
        <v>116</v>
      </c>
      <c r="M318" s="140" t="str">
        <f t="shared" ref="M318" si="575">M317</f>
        <v>SULAWESU UTARA</v>
      </c>
      <c r="N318" s="13" t="s">
        <v>105</v>
      </c>
      <c r="O318" s="127" t="s">
        <v>118</v>
      </c>
      <c r="P318" s="13" t="s">
        <v>119</v>
      </c>
      <c r="Q318" s="127">
        <v>95717</v>
      </c>
      <c r="R318" s="128"/>
      <c r="S318" s="129"/>
      <c r="T318" s="130"/>
      <c r="U318" s="129"/>
      <c r="V318" s="130"/>
      <c r="W318" s="126" t="s">
        <v>105</v>
      </c>
      <c r="X318" s="125"/>
      <c r="Y318" s="140" t="s">
        <v>106</v>
      </c>
      <c r="Z318" s="140" t="str">
        <f t="shared" si="463"/>
        <v>KELURAHAN POYOWA BESAR SATU KOTAMOBAGU</v>
      </c>
      <c r="AA318" s="131"/>
      <c r="AB318" s="131"/>
      <c r="AC318" s="131" t="s">
        <v>70</v>
      </c>
      <c r="AD318" s="16" t="s">
        <v>119</v>
      </c>
      <c r="AE318" s="15"/>
      <c r="AF318" s="15"/>
      <c r="AG318" s="15"/>
      <c r="AH318" s="15"/>
      <c r="AI318" s="132"/>
      <c r="AJ318" s="133" t="s">
        <v>544</v>
      </c>
      <c r="AK318" s="131" t="s">
        <v>96</v>
      </c>
      <c r="AL318" s="137"/>
      <c r="AM318" s="194"/>
      <c r="AN318" s="194"/>
      <c r="AO318" s="194"/>
      <c r="AP318" s="194"/>
      <c r="AQ318" s="195" t="s">
        <v>97</v>
      </c>
      <c r="AR318" s="134" t="s">
        <v>349</v>
      </c>
      <c r="AS318" s="135" t="str">
        <f>AS302</f>
        <v>KPBS-1.019</v>
      </c>
      <c r="AT318" s="135" t="str">
        <f>G318</f>
        <v>B14</v>
      </c>
      <c r="AU318" s="136"/>
      <c r="AV318" s="205">
        <v>0.71084029810000005</v>
      </c>
      <c r="AW318" s="205">
        <v>124.32254154100001</v>
      </c>
      <c r="AX318" s="137" t="s">
        <v>98</v>
      </c>
      <c r="AY318" s="137" t="s">
        <v>94</v>
      </c>
      <c r="AZ318" s="137" t="s">
        <v>94</v>
      </c>
      <c r="BA318" s="138" t="s">
        <v>77</v>
      </c>
      <c r="BB318" s="137" t="s">
        <v>98</v>
      </c>
      <c r="BC318" s="137">
        <v>31</v>
      </c>
      <c r="BD318" s="137" t="s">
        <v>98</v>
      </c>
      <c r="BE318" s="211" t="str">
        <f t="shared" ref="BE318:BE343" si="576">AJ318&amp;", "&amp;AD318&amp;","&amp;AI318</f>
        <v>354, POYOWA BESAR,</v>
      </c>
    </row>
    <row r="319" spans="1:57" s="211" customFormat="1" ht="15.75" customHeight="1">
      <c r="A319" s="21"/>
      <c r="B319" s="21"/>
      <c r="C319" s="22" t="s">
        <v>99</v>
      </c>
      <c r="D319" s="22" t="s">
        <v>101</v>
      </c>
      <c r="E319" s="122">
        <v>3</v>
      </c>
      <c r="F319" s="6">
        <f>F318+1</f>
        <v>32</v>
      </c>
      <c r="G319" s="213"/>
      <c r="H319" s="12">
        <v>2</v>
      </c>
      <c r="I319" s="64" t="str">
        <f>I318</f>
        <v>MR.KPBS.P038</v>
      </c>
      <c r="J319" s="64">
        <f t="shared" ref="J319:M319" si="577">J318</f>
        <v>0.71072911419999996</v>
      </c>
      <c r="K319" s="64">
        <f t="shared" si="577"/>
        <v>124.3224807358</v>
      </c>
      <c r="L319" s="64" t="str">
        <f t="shared" si="577"/>
        <v>JL. RAYA POYOWA BESAR</v>
      </c>
      <c r="M319" s="64" t="str">
        <f t="shared" si="577"/>
        <v>SULAWESU UTARA</v>
      </c>
      <c r="N319" s="65" t="s">
        <v>105</v>
      </c>
      <c r="O319" s="66" t="s">
        <v>118</v>
      </c>
      <c r="P319" s="65" t="s">
        <v>119</v>
      </c>
      <c r="Q319" s="66">
        <v>95717</v>
      </c>
      <c r="R319" s="98"/>
      <c r="S319" s="99"/>
      <c r="T319" s="100"/>
      <c r="U319" s="99"/>
      <c r="V319" s="100"/>
      <c r="W319" s="97" t="s">
        <v>105</v>
      </c>
      <c r="X319" s="101"/>
      <c r="Y319" s="64" t="s">
        <v>106</v>
      </c>
      <c r="Z319" s="64" t="str">
        <f t="shared" si="463"/>
        <v>KELURAHAN POYOWA BESAR SATU KOTAMOBAGU</v>
      </c>
      <c r="AA319" s="102"/>
      <c r="AB319" s="102"/>
      <c r="AC319" s="102" t="s">
        <v>70</v>
      </c>
      <c r="AD319" s="64" t="str">
        <f t="shared" ref="AD319" si="578">AD318</f>
        <v>POYOWA BESAR</v>
      </c>
      <c r="AE319" s="103"/>
      <c r="AF319" s="103"/>
      <c r="AG319" s="103"/>
      <c r="AH319" s="103"/>
      <c r="AI319" s="104"/>
      <c r="AJ319" s="11" t="s">
        <v>545</v>
      </c>
      <c r="AK319" s="102" t="s">
        <v>96</v>
      </c>
      <c r="AL319" s="106"/>
      <c r="AM319" s="192"/>
      <c r="AN319" s="192"/>
      <c r="AO319" s="192"/>
      <c r="AP319" s="192"/>
      <c r="AQ319" s="180" t="s">
        <v>97</v>
      </c>
      <c r="AR319" s="70" t="s">
        <v>349</v>
      </c>
      <c r="AS319" s="71" t="str">
        <f t="shared" ref="AS319:AT319" si="579">AS318</f>
        <v>KPBS-1.019</v>
      </c>
      <c r="AT319" s="71" t="str">
        <f t="shared" si="579"/>
        <v>B14</v>
      </c>
      <c r="AU319" s="105"/>
      <c r="AV319" s="202">
        <v>0.71067326860000002</v>
      </c>
      <c r="AW319" s="202">
        <v>124.3227478914</v>
      </c>
      <c r="AX319" s="106" t="s">
        <v>98</v>
      </c>
      <c r="AY319" s="106" t="s">
        <v>94</v>
      </c>
      <c r="AZ319" s="106" t="s">
        <v>94</v>
      </c>
      <c r="BA319" s="73" t="s">
        <v>77</v>
      </c>
      <c r="BB319" s="106" t="s">
        <v>98</v>
      </c>
      <c r="BC319" s="106">
        <v>31</v>
      </c>
      <c r="BD319" s="106" t="s">
        <v>98</v>
      </c>
      <c r="BE319" s="211" t="str">
        <f t="shared" si="576"/>
        <v>377, POYOWA BESAR,</v>
      </c>
    </row>
    <row r="320" spans="1:57" s="211" customFormat="1" ht="15.75" customHeight="1">
      <c r="A320" s="215"/>
      <c r="B320" s="216"/>
      <c r="C320" s="216"/>
      <c r="D320" s="216"/>
      <c r="E320" s="216"/>
      <c r="F320" s="216"/>
      <c r="G320" s="217"/>
      <c r="H320" s="12">
        <v>3</v>
      </c>
      <c r="I320" s="64" t="str">
        <f t="shared" ref="I320:M320" si="580">I319</f>
        <v>MR.KPBS.P038</v>
      </c>
      <c r="J320" s="64">
        <f t="shared" si="580"/>
        <v>0.71072911419999996</v>
      </c>
      <c r="K320" s="64">
        <f t="shared" si="580"/>
        <v>124.3224807358</v>
      </c>
      <c r="L320" s="64" t="str">
        <f t="shared" si="580"/>
        <v>JL. RAYA POYOWA BESAR</v>
      </c>
      <c r="M320" s="64" t="str">
        <f t="shared" si="580"/>
        <v>SULAWESU UTARA</v>
      </c>
      <c r="N320" s="65" t="s">
        <v>105</v>
      </c>
      <c r="O320" s="66" t="s">
        <v>118</v>
      </c>
      <c r="P320" s="65" t="s">
        <v>119</v>
      </c>
      <c r="Q320" s="66">
        <v>95717</v>
      </c>
      <c r="R320" s="98"/>
      <c r="S320" s="99"/>
      <c r="T320" s="100"/>
      <c r="U320" s="99"/>
      <c r="V320" s="100"/>
      <c r="W320" s="97" t="s">
        <v>105</v>
      </c>
      <c r="X320" s="101"/>
      <c r="Y320" s="64" t="s">
        <v>106</v>
      </c>
      <c r="Z320" s="64" t="str">
        <f t="shared" si="463"/>
        <v>KELURAHAN POYOWA BESAR SATU KOTAMOBAGU</v>
      </c>
      <c r="AA320" s="102"/>
      <c r="AB320" s="102"/>
      <c r="AC320" s="102" t="s">
        <v>70</v>
      </c>
      <c r="AD320" s="64" t="str">
        <f t="shared" ref="AD320" si="581">AD319</f>
        <v>POYOWA BESAR</v>
      </c>
      <c r="AE320" s="103"/>
      <c r="AF320" s="103"/>
      <c r="AG320" s="103"/>
      <c r="AH320" s="103"/>
      <c r="AI320" s="104"/>
      <c r="AJ320" s="11" t="s">
        <v>546</v>
      </c>
      <c r="AK320" s="102" t="s">
        <v>96</v>
      </c>
      <c r="AL320" s="106"/>
      <c r="AM320" s="192"/>
      <c r="AN320" s="192"/>
      <c r="AO320" s="192"/>
      <c r="AP320" s="192"/>
      <c r="AQ320" s="180" t="s">
        <v>97</v>
      </c>
      <c r="AR320" s="70" t="s">
        <v>349</v>
      </c>
      <c r="AS320" s="71" t="str">
        <f t="shared" ref="AS320:AT320" si="582">AS319</f>
        <v>KPBS-1.019</v>
      </c>
      <c r="AT320" s="71" t="str">
        <f t="shared" si="582"/>
        <v>B14</v>
      </c>
      <c r="AU320" s="105"/>
      <c r="AV320" s="202">
        <v>0.71090912689999997</v>
      </c>
      <c r="AW320" s="202">
        <v>124.32270833859999</v>
      </c>
      <c r="AX320" s="106" t="s">
        <v>98</v>
      </c>
      <c r="AY320" s="106" t="s">
        <v>94</v>
      </c>
      <c r="AZ320" s="106" t="s">
        <v>94</v>
      </c>
      <c r="BA320" s="73" t="s">
        <v>77</v>
      </c>
      <c r="BB320" s="106" t="s">
        <v>98</v>
      </c>
      <c r="BC320" s="106">
        <v>31</v>
      </c>
      <c r="BD320" s="106" t="s">
        <v>98</v>
      </c>
      <c r="BE320" s="211" t="str">
        <f t="shared" si="576"/>
        <v>352, POYOWA BESAR,</v>
      </c>
    </row>
    <row r="321" spans="1:57" s="211" customFormat="1" ht="15.75" customHeight="1">
      <c r="A321" s="218"/>
      <c r="B321" s="219"/>
      <c r="C321" s="219"/>
      <c r="D321" s="219"/>
      <c r="E321" s="219"/>
      <c r="F321" s="219"/>
      <c r="G321" s="220"/>
      <c r="H321" s="12">
        <v>4</v>
      </c>
      <c r="I321" s="64" t="str">
        <f t="shared" ref="I321:M321" si="583">I320</f>
        <v>MR.KPBS.P038</v>
      </c>
      <c r="J321" s="64">
        <f t="shared" si="583"/>
        <v>0.71072911419999996</v>
      </c>
      <c r="K321" s="64">
        <f t="shared" si="583"/>
        <v>124.3224807358</v>
      </c>
      <c r="L321" s="64" t="str">
        <f t="shared" si="583"/>
        <v>JL. RAYA POYOWA BESAR</v>
      </c>
      <c r="M321" s="64" t="str">
        <f t="shared" si="583"/>
        <v>SULAWESU UTARA</v>
      </c>
      <c r="N321" s="65" t="s">
        <v>105</v>
      </c>
      <c r="O321" s="66" t="s">
        <v>118</v>
      </c>
      <c r="P321" s="65" t="s">
        <v>119</v>
      </c>
      <c r="Q321" s="66">
        <v>95717</v>
      </c>
      <c r="R321" s="98"/>
      <c r="S321" s="99"/>
      <c r="T321" s="100"/>
      <c r="U321" s="99"/>
      <c r="V321" s="100"/>
      <c r="W321" s="97" t="s">
        <v>105</v>
      </c>
      <c r="X321" s="101"/>
      <c r="Y321" s="64" t="s">
        <v>106</v>
      </c>
      <c r="Z321" s="64" t="str">
        <f t="shared" si="463"/>
        <v>KELURAHAN POYOWA BESAR SATU KOTAMOBAGU</v>
      </c>
      <c r="AA321" s="102"/>
      <c r="AB321" s="102"/>
      <c r="AC321" s="102" t="s">
        <v>70</v>
      </c>
      <c r="AD321" s="64" t="str">
        <f t="shared" ref="AD321" si="584">AD320</f>
        <v>POYOWA BESAR</v>
      </c>
      <c r="AE321" s="103"/>
      <c r="AF321" s="103"/>
      <c r="AG321" s="103"/>
      <c r="AH321" s="103"/>
      <c r="AI321" s="104"/>
      <c r="AJ321" s="11" t="s">
        <v>547</v>
      </c>
      <c r="AK321" s="102" t="s">
        <v>96</v>
      </c>
      <c r="AL321" s="106"/>
      <c r="AM321" s="192"/>
      <c r="AN321" s="192"/>
      <c r="AO321" s="192"/>
      <c r="AP321" s="192"/>
      <c r="AQ321" s="180" t="s">
        <v>97</v>
      </c>
      <c r="AR321" s="70" t="s">
        <v>349</v>
      </c>
      <c r="AS321" s="71" t="str">
        <f t="shared" ref="AS321:AT321" si="585">AS320</f>
        <v>KPBS-1.019</v>
      </c>
      <c r="AT321" s="71" t="str">
        <f t="shared" si="585"/>
        <v>B14</v>
      </c>
      <c r="AU321" s="105"/>
      <c r="AV321" s="202">
        <v>0.71084872610000005</v>
      </c>
      <c r="AW321" s="202">
        <v>124.3226172307</v>
      </c>
      <c r="AX321" s="106" t="s">
        <v>98</v>
      </c>
      <c r="AY321" s="106" t="s">
        <v>94</v>
      </c>
      <c r="AZ321" s="106" t="s">
        <v>94</v>
      </c>
      <c r="BA321" s="73" t="s">
        <v>77</v>
      </c>
      <c r="BB321" s="106" t="s">
        <v>98</v>
      </c>
      <c r="BC321" s="106">
        <v>31</v>
      </c>
      <c r="BD321" s="106" t="s">
        <v>98</v>
      </c>
      <c r="BE321" s="211" t="str">
        <f t="shared" si="576"/>
        <v>353, POYOWA BESAR,</v>
      </c>
    </row>
    <row r="322" spans="1:57" s="211" customFormat="1" ht="15.75" customHeight="1">
      <c r="A322" s="218"/>
      <c r="B322" s="219"/>
      <c r="C322" s="219"/>
      <c r="D322" s="219"/>
      <c r="E322" s="219"/>
      <c r="F322" s="219"/>
      <c r="G322" s="220"/>
      <c r="H322" s="12">
        <v>5</v>
      </c>
      <c r="I322" s="64" t="str">
        <f t="shared" ref="I322:M322" si="586">I321</f>
        <v>MR.KPBS.P038</v>
      </c>
      <c r="J322" s="64">
        <f t="shared" si="586"/>
        <v>0.71072911419999996</v>
      </c>
      <c r="K322" s="64">
        <f t="shared" si="586"/>
        <v>124.3224807358</v>
      </c>
      <c r="L322" s="64" t="str">
        <f t="shared" si="586"/>
        <v>JL. RAYA POYOWA BESAR</v>
      </c>
      <c r="M322" s="64" t="str">
        <f t="shared" si="586"/>
        <v>SULAWESU UTARA</v>
      </c>
      <c r="N322" s="65" t="s">
        <v>105</v>
      </c>
      <c r="O322" s="66" t="s">
        <v>118</v>
      </c>
      <c r="P322" s="65" t="s">
        <v>119</v>
      </c>
      <c r="Q322" s="66">
        <v>95717</v>
      </c>
      <c r="R322" s="98"/>
      <c r="S322" s="99"/>
      <c r="T322" s="100"/>
      <c r="U322" s="99"/>
      <c r="V322" s="100"/>
      <c r="W322" s="97" t="s">
        <v>105</v>
      </c>
      <c r="X322" s="101"/>
      <c r="Y322" s="64" t="s">
        <v>106</v>
      </c>
      <c r="Z322" s="64" t="str">
        <f t="shared" si="463"/>
        <v>KELURAHAN POYOWA BESAR SATU KOTAMOBAGU</v>
      </c>
      <c r="AA322" s="102"/>
      <c r="AB322" s="102"/>
      <c r="AC322" s="102" t="s">
        <v>70</v>
      </c>
      <c r="AD322" s="64" t="str">
        <f t="shared" ref="AD322" si="587">AD321</f>
        <v>POYOWA BESAR</v>
      </c>
      <c r="AE322" s="103"/>
      <c r="AF322" s="103"/>
      <c r="AG322" s="103"/>
      <c r="AH322" s="103"/>
      <c r="AI322" s="104"/>
      <c r="AJ322" s="11" t="s">
        <v>548</v>
      </c>
      <c r="AK322" s="102" t="s">
        <v>96</v>
      </c>
      <c r="AL322" s="106"/>
      <c r="AM322" s="192"/>
      <c r="AN322" s="192"/>
      <c r="AO322" s="192"/>
      <c r="AP322" s="192"/>
      <c r="AQ322" s="180" t="s">
        <v>97</v>
      </c>
      <c r="AR322" s="70" t="s">
        <v>349</v>
      </c>
      <c r="AS322" s="71" t="str">
        <f t="shared" ref="AS322:AT322" si="588">AS321</f>
        <v>KPBS-1.019</v>
      </c>
      <c r="AT322" s="71" t="str">
        <f t="shared" si="588"/>
        <v>B14</v>
      </c>
      <c r="AU322" s="105"/>
      <c r="AV322" s="202">
        <v>0.71066218950000004</v>
      </c>
      <c r="AW322" s="202">
        <v>124.3226566849</v>
      </c>
      <c r="AX322" s="106" t="s">
        <v>98</v>
      </c>
      <c r="AY322" s="106" t="s">
        <v>94</v>
      </c>
      <c r="AZ322" s="106" t="s">
        <v>94</v>
      </c>
      <c r="BA322" s="73" t="s">
        <v>77</v>
      </c>
      <c r="BB322" s="106" t="s">
        <v>98</v>
      </c>
      <c r="BC322" s="106">
        <v>31</v>
      </c>
      <c r="BD322" s="106" t="s">
        <v>98</v>
      </c>
      <c r="BE322" s="211" t="str">
        <f t="shared" si="576"/>
        <v>376, POYOWA BESAR,</v>
      </c>
    </row>
    <row r="323" spans="1:57" s="211" customFormat="1" ht="15.75" customHeight="1">
      <c r="A323" s="218"/>
      <c r="B323" s="219"/>
      <c r="C323" s="219"/>
      <c r="D323" s="219"/>
      <c r="E323" s="219"/>
      <c r="F323" s="219"/>
      <c r="G323" s="220"/>
      <c r="H323" s="12">
        <v>6</v>
      </c>
      <c r="I323" s="64" t="str">
        <f t="shared" ref="I323:M323" si="589">I322</f>
        <v>MR.KPBS.P038</v>
      </c>
      <c r="J323" s="64">
        <f t="shared" si="589"/>
        <v>0.71072911419999996</v>
      </c>
      <c r="K323" s="64">
        <f t="shared" si="589"/>
        <v>124.3224807358</v>
      </c>
      <c r="L323" s="64" t="str">
        <f t="shared" si="589"/>
        <v>JL. RAYA POYOWA BESAR</v>
      </c>
      <c r="M323" s="64" t="str">
        <f t="shared" si="589"/>
        <v>SULAWESU UTARA</v>
      </c>
      <c r="N323" s="65" t="s">
        <v>105</v>
      </c>
      <c r="O323" s="66" t="s">
        <v>118</v>
      </c>
      <c r="P323" s="65" t="s">
        <v>119</v>
      </c>
      <c r="Q323" s="66">
        <v>95717</v>
      </c>
      <c r="R323" s="98"/>
      <c r="S323" s="99"/>
      <c r="T323" s="100"/>
      <c r="U323" s="99"/>
      <c r="V323" s="100"/>
      <c r="W323" s="97" t="s">
        <v>105</v>
      </c>
      <c r="X323" s="101"/>
      <c r="Y323" s="64" t="s">
        <v>106</v>
      </c>
      <c r="Z323" s="64" t="str">
        <f t="shared" si="463"/>
        <v>KELURAHAN POYOWA BESAR SATU KOTAMOBAGU</v>
      </c>
      <c r="AA323" s="102"/>
      <c r="AB323" s="102"/>
      <c r="AC323" s="102" t="s">
        <v>70</v>
      </c>
      <c r="AD323" s="64" t="str">
        <f t="shared" ref="AD323" si="590">AD322</f>
        <v>POYOWA BESAR</v>
      </c>
      <c r="AE323" s="103"/>
      <c r="AF323" s="103"/>
      <c r="AG323" s="103"/>
      <c r="AH323" s="103"/>
      <c r="AI323" s="104"/>
      <c r="AJ323" s="11" t="s">
        <v>549</v>
      </c>
      <c r="AK323" s="102" t="s">
        <v>96</v>
      </c>
      <c r="AL323" s="106"/>
      <c r="AM323" s="192"/>
      <c r="AN323" s="192"/>
      <c r="AO323" s="192"/>
      <c r="AP323" s="192"/>
      <c r="AQ323" s="180" t="s">
        <v>97</v>
      </c>
      <c r="AR323" s="70" t="s">
        <v>349</v>
      </c>
      <c r="AS323" s="71" t="str">
        <f t="shared" ref="AS323:AT323" si="591">AS322</f>
        <v>KPBS-1.019</v>
      </c>
      <c r="AT323" s="71" t="str">
        <f t="shared" si="591"/>
        <v>B14</v>
      </c>
      <c r="AU323" s="105"/>
      <c r="AV323" s="202">
        <v>0.7106478141</v>
      </c>
      <c r="AW323" s="202">
        <v>124.3225820238</v>
      </c>
      <c r="AX323" s="106" t="s">
        <v>98</v>
      </c>
      <c r="AY323" s="106" t="s">
        <v>94</v>
      </c>
      <c r="AZ323" s="106" t="s">
        <v>94</v>
      </c>
      <c r="BA323" s="73" t="s">
        <v>77</v>
      </c>
      <c r="BB323" s="106" t="s">
        <v>98</v>
      </c>
      <c r="BC323" s="106">
        <v>31</v>
      </c>
      <c r="BD323" s="106" t="s">
        <v>98</v>
      </c>
      <c r="BE323" s="211" t="str">
        <f t="shared" si="576"/>
        <v>375, POYOWA BESAR,</v>
      </c>
    </row>
    <row r="324" spans="1:57" s="211" customFormat="1" ht="15.75" customHeight="1">
      <c r="A324" s="218"/>
      <c r="B324" s="219"/>
      <c r="C324" s="219"/>
      <c r="D324" s="219"/>
      <c r="E324" s="219"/>
      <c r="F324" s="219"/>
      <c r="G324" s="220"/>
      <c r="H324" s="12">
        <v>7</v>
      </c>
      <c r="I324" s="64" t="str">
        <f t="shared" ref="I324:M324" si="592">I323</f>
        <v>MR.KPBS.P038</v>
      </c>
      <c r="J324" s="64">
        <f t="shared" si="592"/>
        <v>0.71072911419999996</v>
      </c>
      <c r="K324" s="64">
        <f t="shared" si="592"/>
        <v>124.3224807358</v>
      </c>
      <c r="L324" s="64" t="str">
        <f t="shared" si="592"/>
        <v>JL. RAYA POYOWA BESAR</v>
      </c>
      <c r="M324" s="64" t="str">
        <f t="shared" si="592"/>
        <v>SULAWESU UTARA</v>
      </c>
      <c r="N324" s="65" t="s">
        <v>105</v>
      </c>
      <c r="O324" s="66" t="s">
        <v>118</v>
      </c>
      <c r="P324" s="65" t="s">
        <v>119</v>
      </c>
      <c r="Q324" s="66">
        <v>95717</v>
      </c>
      <c r="R324" s="98"/>
      <c r="S324" s="99"/>
      <c r="T324" s="100"/>
      <c r="U324" s="99"/>
      <c r="V324" s="100"/>
      <c r="W324" s="97" t="s">
        <v>105</v>
      </c>
      <c r="X324" s="101"/>
      <c r="Y324" s="64" t="s">
        <v>106</v>
      </c>
      <c r="Z324" s="64" t="str">
        <f t="shared" si="463"/>
        <v>KELURAHAN POYOWA BESAR SATU KOTAMOBAGU</v>
      </c>
      <c r="AA324" s="102"/>
      <c r="AB324" s="102"/>
      <c r="AC324" s="102" t="s">
        <v>70</v>
      </c>
      <c r="AD324" s="64" t="str">
        <f t="shared" ref="AD324" si="593">AD323</f>
        <v>POYOWA BESAR</v>
      </c>
      <c r="AE324" s="103"/>
      <c r="AF324" s="103"/>
      <c r="AG324" s="103"/>
      <c r="AH324" s="103"/>
      <c r="AI324" s="104"/>
      <c r="AJ324" s="11" t="s">
        <v>550</v>
      </c>
      <c r="AK324" s="102" t="s">
        <v>96</v>
      </c>
      <c r="AL324" s="106"/>
      <c r="AM324" s="192"/>
      <c r="AN324" s="192"/>
      <c r="AO324" s="192"/>
      <c r="AP324" s="192"/>
      <c r="AQ324" s="180" t="s">
        <v>97</v>
      </c>
      <c r="AR324" s="70" t="s">
        <v>349</v>
      </c>
      <c r="AS324" s="71" t="str">
        <f t="shared" ref="AS324:AT324" si="594">AS323</f>
        <v>KPBS-1.019</v>
      </c>
      <c r="AT324" s="71" t="str">
        <f t="shared" si="594"/>
        <v>B14</v>
      </c>
      <c r="AU324" s="105"/>
      <c r="AV324" s="202">
        <v>0.71064338249999903</v>
      </c>
      <c r="AW324" s="202">
        <v>124.32251956109999</v>
      </c>
      <c r="AX324" s="106" t="s">
        <v>98</v>
      </c>
      <c r="AY324" s="106" t="s">
        <v>94</v>
      </c>
      <c r="AZ324" s="106" t="s">
        <v>94</v>
      </c>
      <c r="BA324" s="73" t="s">
        <v>77</v>
      </c>
      <c r="BB324" s="106" t="s">
        <v>98</v>
      </c>
      <c r="BC324" s="106">
        <v>31</v>
      </c>
      <c r="BD324" s="106" t="s">
        <v>98</v>
      </c>
      <c r="BE324" s="211" t="str">
        <f t="shared" si="576"/>
        <v>374, POYOWA BESAR,</v>
      </c>
    </row>
    <row r="325" spans="1:57" s="211" customFormat="1" ht="15.75" customHeight="1">
      <c r="A325" s="218"/>
      <c r="B325" s="219"/>
      <c r="C325" s="219"/>
      <c r="D325" s="219"/>
      <c r="E325" s="219"/>
      <c r="F325" s="219"/>
      <c r="G325" s="220"/>
      <c r="H325" s="12">
        <v>8</v>
      </c>
      <c r="I325" s="64" t="str">
        <f t="shared" ref="I325:M325" si="595">I324</f>
        <v>MR.KPBS.P038</v>
      </c>
      <c r="J325" s="64">
        <f t="shared" si="595"/>
        <v>0.71072911419999996</v>
      </c>
      <c r="K325" s="64">
        <f t="shared" si="595"/>
        <v>124.3224807358</v>
      </c>
      <c r="L325" s="64" t="str">
        <f t="shared" si="595"/>
        <v>JL. RAYA POYOWA BESAR</v>
      </c>
      <c r="M325" s="64" t="str">
        <f t="shared" si="595"/>
        <v>SULAWESU UTARA</v>
      </c>
      <c r="N325" s="65" t="s">
        <v>105</v>
      </c>
      <c r="O325" s="66" t="s">
        <v>118</v>
      </c>
      <c r="P325" s="65" t="s">
        <v>119</v>
      </c>
      <c r="Q325" s="66">
        <v>95717</v>
      </c>
      <c r="R325" s="98"/>
      <c r="S325" s="99"/>
      <c r="T325" s="100"/>
      <c r="U325" s="99"/>
      <c r="V325" s="100"/>
      <c r="W325" s="97" t="s">
        <v>105</v>
      </c>
      <c r="X325" s="101"/>
      <c r="Y325" s="64" t="s">
        <v>106</v>
      </c>
      <c r="Z325" s="64" t="str">
        <f t="shared" si="463"/>
        <v>KELURAHAN POYOWA BESAR SATU KOTAMOBAGU</v>
      </c>
      <c r="AA325" s="102"/>
      <c r="AB325" s="102"/>
      <c r="AC325" s="102" t="s">
        <v>70</v>
      </c>
      <c r="AD325" s="64" t="str">
        <f t="shared" ref="AD325" si="596">AD324</f>
        <v>POYOWA BESAR</v>
      </c>
      <c r="AE325" s="103"/>
      <c r="AF325" s="103"/>
      <c r="AG325" s="103"/>
      <c r="AH325" s="103"/>
      <c r="AI325" s="104"/>
      <c r="AJ325" s="11" t="s">
        <v>551</v>
      </c>
      <c r="AK325" s="102" t="s">
        <v>96</v>
      </c>
      <c r="AL325" s="106"/>
      <c r="AM325" s="192"/>
      <c r="AN325" s="192"/>
      <c r="AO325" s="192"/>
      <c r="AP325" s="192"/>
      <c r="AQ325" s="193" t="s">
        <v>97</v>
      </c>
      <c r="AR325" s="70" t="s">
        <v>349</v>
      </c>
      <c r="AS325" s="71" t="str">
        <f t="shared" ref="AS325:AT325" si="597">AS324</f>
        <v>KPBS-1.019</v>
      </c>
      <c r="AT325" s="71" t="str">
        <f t="shared" si="597"/>
        <v>B14</v>
      </c>
      <c r="AU325" s="105"/>
      <c r="AV325" s="202">
        <v>0.71065003000000004</v>
      </c>
      <c r="AW325" s="202">
        <v>124.3224488069</v>
      </c>
      <c r="AX325" s="106" t="s">
        <v>98</v>
      </c>
      <c r="AY325" s="106" t="s">
        <v>94</v>
      </c>
      <c r="AZ325" s="106" t="s">
        <v>94</v>
      </c>
      <c r="BA325" s="73" t="s">
        <v>77</v>
      </c>
      <c r="BB325" s="106" t="s">
        <v>98</v>
      </c>
      <c r="BC325" s="106">
        <v>31</v>
      </c>
      <c r="BD325" s="106" t="s">
        <v>98</v>
      </c>
      <c r="BE325" s="211" t="str">
        <f t="shared" si="576"/>
        <v>373, POYOWA BESAR,</v>
      </c>
    </row>
    <row r="326" spans="1:57" s="211" customFormat="1" ht="15.75" customHeight="1">
      <c r="A326" s="218"/>
      <c r="B326" s="219"/>
      <c r="C326" s="219"/>
      <c r="D326" s="219"/>
      <c r="E326" s="219"/>
      <c r="F326" s="219"/>
      <c r="G326" s="220"/>
      <c r="H326" s="12">
        <v>9</v>
      </c>
      <c r="I326" s="64" t="str">
        <f t="shared" ref="I326:M326" si="598">I325</f>
        <v>MR.KPBS.P038</v>
      </c>
      <c r="J326" s="64">
        <f t="shared" si="598"/>
        <v>0.71072911419999996</v>
      </c>
      <c r="K326" s="64">
        <f t="shared" si="598"/>
        <v>124.3224807358</v>
      </c>
      <c r="L326" s="64" t="str">
        <f t="shared" si="598"/>
        <v>JL. RAYA POYOWA BESAR</v>
      </c>
      <c r="M326" s="64" t="str">
        <f t="shared" si="598"/>
        <v>SULAWESU UTARA</v>
      </c>
      <c r="N326" s="65" t="s">
        <v>105</v>
      </c>
      <c r="O326" s="66" t="s">
        <v>118</v>
      </c>
      <c r="P326" s="65" t="s">
        <v>119</v>
      </c>
      <c r="Q326" s="66">
        <v>95717</v>
      </c>
      <c r="R326" s="98"/>
      <c r="S326" s="99"/>
      <c r="T326" s="100"/>
      <c r="U326" s="99"/>
      <c r="V326" s="100"/>
      <c r="W326" s="97" t="s">
        <v>105</v>
      </c>
      <c r="X326" s="101"/>
      <c r="Y326" s="64" t="s">
        <v>106</v>
      </c>
      <c r="Z326" s="64" t="str">
        <f t="shared" si="463"/>
        <v>KELURAHAN POYOWA BESAR SATU KOTAMOBAGU</v>
      </c>
      <c r="AA326" s="102"/>
      <c r="AB326" s="102"/>
      <c r="AC326" s="102" t="s">
        <v>70</v>
      </c>
      <c r="AD326" s="64" t="str">
        <f t="shared" ref="AD326" si="599">AD325</f>
        <v>POYOWA BESAR</v>
      </c>
      <c r="AE326" s="103"/>
      <c r="AF326" s="103"/>
      <c r="AG326" s="103"/>
      <c r="AH326" s="103"/>
      <c r="AI326" s="104"/>
      <c r="AJ326" s="11" t="s">
        <v>552</v>
      </c>
      <c r="AK326" s="102" t="s">
        <v>96</v>
      </c>
      <c r="AL326" s="106"/>
      <c r="AM326" s="106"/>
      <c r="AN326" s="106"/>
      <c r="AO326" s="106"/>
      <c r="AP326" s="106"/>
      <c r="AQ326" s="180" t="s">
        <v>97</v>
      </c>
      <c r="AR326" s="70" t="s">
        <v>349</v>
      </c>
      <c r="AS326" s="71" t="str">
        <f t="shared" ref="AS326:AT326" si="600">AS325</f>
        <v>KPBS-1.019</v>
      </c>
      <c r="AT326" s="71" t="str">
        <f t="shared" si="600"/>
        <v>B14</v>
      </c>
      <c r="AU326" s="105"/>
      <c r="AV326" s="202">
        <v>0.71073380320000001</v>
      </c>
      <c r="AW326" s="202">
        <v>124.3224034667</v>
      </c>
      <c r="AX326" s="106" t="s">
        <v>98</v>
      </c>
      <c r="AY326" s="106" t="s">
        <v>94</v>
      </c>
      <c r="AZ326" s="106" t="s">
        <v>94</v>
      </c>
      <c r="BA326" s="73" t="s">
        <v>77</v>
      </c>
      <c r="BB326" s="106" t="s">
        <v>98</v>
      </c>
      <c r="BC326" s="106">
        <v>31</v>
      </c>
      <c r="BD326" s="106" t="s">
        <v>98</v>
      </c>
      <c r="BE326" s="211" t="str">
        <f t="shared" si="576"/>
        <v>372, POYOWA BESAR,</v>
      </c>
    </row>
    <row r="327" spans="1:57" s="211" customFormat="1" ht="15.75" customHeight="1">
      <c r="A327" s="218"/>
      <c r="B327" s="219"/>
      <c r="C327" s="219"/>
      <c r="D327" s="219"/>
      <c r="E327" s="219"/>
      <c r="F327" s="219"/>
      <c r="G327" s="220"/>
      <c r="H327" s="12">
        <v>10</v>
      </c>
      <c r="I327" s="64" t="str">
        <f t="shared" ref="I327:M327" si="601">I326</f>
        <v>MR.KPBS.P038</v>
      </c>
      <c r="J327" s="64">
        <f t="shared" si="601"/>
        <v>0.71072911419999996</v>
      </c>
      <c r="K327" s="64">
        <f t="shared" si="601"/>
        <v>124.3224807358</v>
      </c>
      <c r="L327" s="64" t="str">
        <f t="shared" si="601"/>
        <v>JL. RAYA POYOWA BESAR</v>
      </c>
      <c r="M327" s="64" t="str">
        <f t="shared" si="601"/>
        <v>SULAWESU UTARA</v>
      </c>
      <c r="N327" s="65" t="s">
        <v>105</v>
      </c>
      <c r="O327" s="66" t="s">
        <v>118</v>
      </c>
      <c r="P327" s="65" t="s">
        <v>119</v>
      </c>
      <c r="Q327" s="66">
        <v>95717</v>
      </c>
      <c r="R327" s="98"/>
      <c r="S327" s="99"/>
      <c r="T327" s="100"/>
      <c r="U327" s="99"/>
      <c r="V327" s="100"/>
      <c r="W327" s="97" t="s">
        <v>105</v>
      </c>
      <c r="X327" s="101"/>
      <c r="Y327" s="64" t="s">
        <v>106</v>
      </c>
      <c r="Z327" s="64" t="str">
        <f t="shared" si="463"/>
        <v>KELURAHAN POYOWA BESAR SATU KOTAMOBAGU</v>
      </c>
      <c r="AA327" s="102"/>
      <c r="AB327" s="102"/>
      <c r="AC327" s="102" t="s">
        <v>70</v>
      </c>
      <c r="AD327" s="64" t="str">
        <f t="shared" ref="AD327" si="602">AD326</f>
        <v>POYOWA BESAR</v>
      </c>
      <c r="AE327" s="103"/>
      <c r="AF327" s="103"/>
      <c r="AG327" s="103"/>
      <c r="AH327" s="103"/>
      <c r="AI327" s="104"/>
      <c r="AJ327" s="11" t="s">
        <v>553</v>
      </c>
      <c r="AK327" s="102" t="s">
        <v>96</v>
      </c>
      <c r="AL327" s="106"/>
      <c r="AM327" s="106"/>
      <c r="AN327" s="106"/>
      <c r="AO327" s="106"/>
      <c r="AP327" s="106"/>
      <c r="AQ327" s="180" t="s">
        <v>97</v>
      </c>
      <c r="AR327" s="70" t="s">
        <v>349</v>
      </c>
      <c r="AS327" s="71" t="str">
        <f t="shared" ref="AS327:AT327" si="603">AS326</f>
        <v>KPBS-1.019</v>
      </c>
      <c r="AT327" s="71" t="str">
        <f t="shared" si="603"/>
        <v>B14</v>
      </c>
      <c r="AU327" s="105"/>
      <c r="AV327" s="202">
        <v>0.71080287610000004</v>
      </c>
      <c r="AW327" s="202">
        <v>124.3223348106</v>
      </c>
      <c r="AX327" s="106" t="s">
        <v>98</v>
      </c>
      <c r="AY327" s="106" t="s">
        <v>94</v>
      </c>
      <c r="AZ327" s="106" t="s">
        <v>94</v>
      </c>
      <c r="BA327" s="73" t="s">
        <v>77</v>
      </c>
      <c r="BB327" s="106" t="s">
        <v>98</v>
      </c>
      <c r="BC327" s="106">
        <v>31</v>
      </c>
      <c r="BD327" s="106" t="s">
        <v>98</v>
      </c>
      <c r="BE327" s="211" t="str">
        <f t="shared" si="576"/>
        <v>371, POYOWA BESAR,</v>
      </c>
    </row>
    <row r="328" spans="1:57" s="211" customFormat="1" ht="15.75" customHeight="1">
      <c r="A328" s="218"/>
      <c r="B328" s="219"/>
      <c r="C328" s="219"/>
      <c r="D328" s="219"/>
      <c r="E328" s="219"/>
      <c r="F328" s="219"/>
      <c r="G328" s="220"/>
      <c r="H328" s="12">
        <v>11</v>
      </c>
      <c r="I328" s="64" t="str">
        <f t="shared" ref="I328:M328" si="604">I327</f>
        <v>MR.KPBS.P038</v>
      </c>
      <c r="J328" s="64">
        <f t="shared" si="604"/>
        <v>0.71072911419999996</v>
      </c>
      <c r="K328" s="64">
        <f t="shared" si="604"/>
        <v>124.3224807358</v>
      </c>
      <c r="L328" s="64" t="str">
        <f t="shared" si="604"/>
        <v>JL. RAYA POYOWA BESAR</v>
      </c>
      <c r="M328" s="64" t="str">
        <f t="shared" si="604"/>
        <v>SULAWESU UTARA</v>
      </c>
      <c r="N328" s="65" t="s">
        <v>105</v>
      </c>
      <c r="O328" s="66" t="s">
        <v>118</v>
      </c>
      <c r="P328" s="65" t="s">
        <v>119</v>
      </c>
      <c r="Q328" s="66">
        <v>95717</v>
      </c>
      <c r="R328" s="98"/>
      <c r="S328" s="99"/>
      <c r="T328" s="100"/>
      <c r="U328" s="99"/>
      <c r="V328" s="100"/>
      <c r="W328" s="97" t="s">
        <v>105</v>
      </c>
      <c r="X328" s="101"/>
      <c r="Y328" s="64" t="s">
        <v>106</v>
      </c>
      <c r="Z328" s="64" t="str">
        <f t="shared" si="463"/>
        <v>KELURAHAN POYOWA BESAR SATU KOTAMOBAGU</v>
      </c>
      <c r="AA328" s="102"/>
      <c r="AB328" s="102"/>
      <c r="AC328" s="102" t="s">
        <v>70</v>
      </c>
      <c r="AD328" s="64" t="str">
        <f t="shared" ref="AD328" si="605">AD327</f>
        <v>POYOWA BESAR</v>
      </c>
      <c r="AE328" s="103"/>
      <c r="AF328" s="103"/>
      <c r="AG328" s="103"/>
      <c r="AH328" s="103"/>
      <c r="AI328" s="104"/>
      <c r="AJ328" s="11" t="s">
        <v>554</v>
      </c>
      <c r="AK328" s="102" t="s">
        <v>96</v>
      </c>
      <c r="AL328" s="106"/>
      <c r="AM328" s="106"/>
      <c r="AN328" s="106"/>
      <c r="AO328" s="106"/>
      <c r="AP328" s="106"/>
      <c r="AQ328" s="180" t="s">
        <v>97</v>
      </c>
      <c r="AR328" s="70" t="s">
        <v>349</v>
      </c>
      <c r="AS328" s="71" t="str">
        <f t="shared" ref="AS328:AT328" si="606">AS327</f>
        <v>KPBS-1.019</v>
      </c>
      <c r="AT328" s="71" t="str">
        <f t="shared" si="606"/>
        <v>B14</v>
      </c>
      <c r="AU328" s="105"/>
      <c r="AV328" s="202">
        <v>0.71084264460000002</v>
      </c>
      <c r="AW328" s="202">
        <v>124.3224221138</v>
      </c>
      <c r="AX328" s="106" t="s">
        <v>98</v>
      </c>
      <c r="AY328" s="106" t="s">
        <v>94</v>
      </c>
      <c r="AZ328" s="106" t="s">
        <v>94</v>
      </c>
      <c r="BA328" s="73" t="s">
        <v>77</v>
      </c>
      <c r="BB328" s="106" t="s">
        <v>98</v>
      </c>
      <c r="BC328" s="106">
        <v>31</v>
      </c>
      <c r="BD328" s="106" t="s">
        <v>98</v>
      </c>
      <c r="BE328" s="211" t="str">
        <f t="shared" si="576"/>
        <v>370, POYOWA BESAR,</v>
      </c>
    </row>
    <row r="329" spans="1:57" s="211" customFormat="1" ht="15.75" customHeight="1">
      <c r="A329" s="218"/>
      <c r="B329" s="219"/>
      <c r="C329" s="219"/>
      <c r="D329" s="219"/>
      <c r="E329" s="219"/>
      <c r="F329" s="219"/>
      <c r="G329" s="220"/>
      <c r="H329" s="12">
        <v>12</v>
      </c>
      <c r="I329" s="64" t="str">
        <f t="shared" ref="I329:M329" si="607">I328</f>
        <v>MR.KPBS.P038</v>
      </c>
      <c r="J329" s="64">
        <f t="shared" si="607"/>
        <v>0.71072911419999996</v>
      </c>
      <c r="K329" s="64">
        <f t="shared" si="607"/>
        <v>124.3224807358</v>
      </c>
      <c r="L329" s="64" t="str">
        <f t="shared" si="607"/>
        <v>JL. RAYA POYOWA BESAR</v>
      </c>
      <c r="M329" s="64" t="str">
        <f t="shared" si="607"/>
        <v>SULAWESU UTARA</v>
      </c>
      <c r="N329" s="65" t="s">
        <v>105</v>
      </c>
      <c r="O329" s="66" t="s">
        <v>118</v>
      </c>
      <c r="P329" s="65" t="s">
        <v>119</v>
      </c>
      <c r="Q329" s="66">
        <v>95717</v>
      </c>
      <c r="R329" s="98"/>
      <c r="S329" s="99"/>
      <c r="T329" s="100"/>
      <c r="U329" s="99"/>
      <c r="V329" s="100"/>
      <c r="W329" s="97" t="s">
        <v>105</v>
      </c>
      <c r="X329" s="101"/>
      <c r="Y329" s="64" t="s">
        <v>106</v>
      </c>
      <c r="Z329" s="64" t="str">
        <f t="shared" si="463"/>
        <v>KELURAHAN POYOWA BESAR SATU KOTAMOBAGU</v>
      </c>
      <c r="AA329" s="102"/>
      <c r="AB329" s="102"/>
      <c r="AC329" s="102" t="s">
        <v>70</v>
      </c>
      <c r="AD329" s="64" t="str">
        <f t="shared" ref="AD329" si="608">AD328</f>
        <v>POYOWA BESAR</v>
      </c>
      <c r="AE329" s="103"/>
      <c r="AF329" s="103"/>
      <c r="AG329" s="103"/>
      <c r="AH329" s="103"/>
      <c r="AI329" s="104"/>
      <c r="AJ329" s="11" t="s">
        <v>555</v>
      </c>
      <c r="AK329" s="102" t="s">
        <v>96</v>
      </c>
      <c r="AL329" s="106"/>
      <c r="AM329" s="106"/>
      <c r="AN329" s="106"/>
      <c r="AO329" s="106"/>
      <c r="AP329" s="106"/>
      <c r="AQ329" s="180" t="s">
        <v>97</v>
      </c>
      <c r="AR329" s="70" t="s">
        <v>349</v>
      </c>
      <c r="AS329" s="71" t="str">
        <f t="shared" ref="AS329:AT329" si="609">AS328</f>
        <v>KPBS-1.019</v>
      </c>
      <c r="AT329" s="71" t="str">
        <f t="shared" si="609"/>
        <v>B14</v>
      </c>
      <c r="AU329" s="105"/>
      <c r="AV329" s="202">
        <v>0.71091611129999999</v>
      </c>
      <c r="AW329" s="202">
        <v>124.3223339104</v>
      </c>
      <c r="AX329" s="106" t="s">
        <v>98</v>
      </c>
      <c r="AY329" s="106" t="s">
        <v>94</v>
      </c>
      <c r="AZ329" s="106" t="s">
        <v>94</v>
      </c>
      <c r="BA329" s="73" t="s">
        <v>77</v>
      </c>
      <c r="BB329" s="106" t="s">
        <v>98</v>
      </c>
      <c r="BC329" s="106">
        <v>31</v>
      </c>
      <c r="BD329" s="106" t="s">
        <v>98</v>
      </c>
      <c r="BE329" s="211" t="str">
        <f t="shared" si="576"/>
        <v>369, POYOWA BESAR,</v>
      </c>
    </row>
    <row r="330" spans="1:57" s="211" customFormat="1" ht="15.75" customHeight="1">
      <c r="A330" s="121" t="s">
        <v>104</v>
      </c>
      <c r="B330" s="121">
        <f>B318+1</f>
        <v>23</v>
      </c>
      <c r="C330" s="122" t="s">
        <v>99</v>
      </c>
      <c r="D330" s="122" t="s">
        <v>101</v>
      </c>
      <c r="E330" s="122">
        <v>3</v>
      </c>
      <c r="F330" s="2">
        <f>F319+1</f>
        <v>33</v>
      </c>
      <c r="G330" s="213" t="s">
        <v>102</v>
      </c>
      <c r="H330" s="123">
        <v>1</v>
      </c>
      <c r="I330" s="124" t="s">
        <v>331</v>
      </c>
      <c r="J330" s="125">
        <v>0.71115094810000001</v>
      </c>
      <c r="K330" s="125">
        <v>124.322407653</v>
      </c>
      <c r="L330" s="16" t="s">
        <v>116</v>
      </c>
      <c r="M330" s="140" t="str">
        <f t="shared" ref="M330" si="610">M329</f>
        <v>SULAWESU UTARA</v>
      </c>
      <c r="N330" s="13" t="s">
        <v>105</v>
      </c>
      <c r="O330" s="127" t="s">
        <v>118</v>
      </c>
      <c r="P330" s="13" t="s">
        <v>119</v>
      </c>
      <c r="Q330" s="127">
        <v>95717</v>
      </c>
      <c r="R330" s="128"/>
      <c r="S330" s="129"/>
      <c r="T330" s="130"/>
      <c r="U330" s="129"/>
      <c r="V330" s="130"/>
      <c r="W330" s="126" t="s">
        <v>105</v>
      </c>
      <c r="X330" s="125"/>
      <c r="Y330" s="140" t="s">
        <v>106</v>
      </c>
      <c r="Z330" s="140" t="str">
        <f t="shared" ref="Z330:Z343" si="611">Z329</f>
        <v>KELURAHAN POYOWA BESAR SATU KOTAMOBAGU</v>
      </c>
      <c r="AA330" s="131"/>
      <c r="AB330" s="131"/>
      <c r="AC330" s="131" t="s">
        <v>70</v>
      </c>
      <c r="AD330" s="16" t="s">
        <v>119</v>
      </c>
      <c r="AE330" s="15"/>
      <c r="AF330" s="15"/>
      <c r="AG330" s="15"/>
      <c r="AH330" s="15"/>
      <c r="AI330" s="132"/>
      <c r="AJ330" s="133" t="s">
        <v>556</v>
      </c>
      <c r="AK330" s="131" t="s">
        <v>96</v>
      </c>
      <c r="AL330" s="137"/>
      <c r="AM330" s="194"/>
      <c r="AN330" s="194"/>
      <c r="AO330" s="194"/>
      <c r="AP330" s="194"/>
      <c r="AQ330" s="195" t="s">
        <v>97</v>
      </c>
      <c r="AR330" s="134" t="s">
        <v>349</v>
      </c>
      <c r="AS330" s="135" t="str">
        <f>AS318</f>
        <v>KPBS-1.019</v>
      </c>
      <c r="AT330" s="135" t="str">
        <f>G330</f>
        <v>B15</v>
      </c>
      <c r="AU330" s="136"/>
      <c r="AV330" s="205">
        <v>0.7112318728</v>
      </c>
      <c r="AW330" s="205">
        <v>124.3224882154</v>
      </c>
      <c r="AX330" s="137" t="s">
        <v>98</v>
      </c>
      <c r="AY330" s="137" t="s">
        <v>94</v>
      </c>
      <c r="AZ330" s="137" t="s">
        <v>94</v>
      </c>
      <c r="BA330" s="138" t="s">
        <v>77</v>
      </c>
      <c r="BB330" s="137" t="s">
        <v>98</v>
      </c>
      <c r="BC330" s="137">
        <v>31</v>
      </c>
      <c r="BD330" s="137" t="s">
        <v>98</v>
      </c>
      <c r="BE330" s="211" t="str">
        <f t="shared" si="576"/>
        <v>359, POYOWA BESAR,</v>
      </c>
    </row>
    <row r="331" spans="1:57" s="211" customFormat="1" ht="15.75" customHeight="1">
      <c r="A331" s="21"/>
      <c r="B331" s="21"/>
      <c r="C331" s="22" t="s">
        <v>99</v>
      </c>
      <c r="D331" s="22" t="s">
        <v>101</v>
      </c>
      <c r="E331" s="122">
        <v>3</v>
      </c>
      <c r="F331" s="6">
        <f>F330+1</f>
        <v>34</v>
      </c>
      <c r="G331" s="213"/>
      <c r="H331" s="12">
        <v>2</v>
      </c>
      <c r="I331" s="64" t="str">
        <f t="shared" ref="I331:L331" si="612">I330</f>
        <v>MR.KPBS.P039</v>
      </c>
      <c r="J331" s="64">
        <f t="shared" si="612"/>
        <v>0.71115094810000001</v>
      </c>
      <c r="K331" s="64">
        <f t="shared" si="612"/>
        <v>124.322407653</v>
      </c>
      <c r="L331" s="64" t="str">
        <f t="shared" si="612"/>
        <v>JL. RAYA POYOWA BESAR</v>
      </c>
      <c r="M331" s="64" t="str">
        <f t="shared" ref="M331:M343" si="613">M330</f>
        <v>SULAWESU UTARA</v>
      </c>
      <c r="N331" s="65" t="s">
        <v>105</v>
      </c>
      <c r="O331" s="66" t="s">
        <v>118</v>
      </c>
      <c r="P331" s="65" t="s">
        <v>119</v>
      </c>
      <c r="Q331" s="66">
        <v>95717</v>
      </c>
      <c r="R331" s="98"/>
      <c r="S331" s="99"/>
      <c r="T331" s="100"/>
      <c r="U331" s="99"/>
      <c r="V331" s="100"/>
      <c r="W331" s="97" t="s">
        <v>105</v>
      </c>
      <c r="X331" s="101"/>
      <c r="Y331" s="64" t="s">
        <v>106</v>
      </c>
      <c r="Z331" s="64" t="str">
        <f t="shared" si="611"/>
        <v>KELURAHAN POYOWA BESAR SATU KOTAMOBAGU</v>
      </c>
      <c r="AA331" s="102"/>
      <c r="AB331" s="102"/>
      <c r="AC331" s="102" t="s">
        <v>70</v>
      </c>
      <c r="AD331" s="64" t="str">
        <f t="shared" ref="AD331" si="614">AD330</f>
        <v>POYOWA BESAR</v>
      </c>
      <c r="AE331" s="103"/>
      <c r="AF331" s="103"/>
      <c r="AG331" s="103"/>
      <c r="AH331" s="103"/>
      <c r="AI331" s="104"/>
      <c r="AJ331" s="11" t="s">
        <v>557</v>
      </c>
      <c r="AK331" s="102" t="s">
        <v>96</v>
      </c>
      <c r="AL331" s="106"/>
      <c r="AM331" s="192"/>
      <c r="AN331" s="192"/>
      <c r="AO331" s="192"/>
      <c r="AP331" s="192"/>
      <c r="AQ331" s="180" t="s">
        <v>97</v>
      </c>
      <c r="AR331" s="70" t="s">
        <v>349</v>
      </c>
      <c r="AS331" s="71" t="str">
        <f t="shared" ref="AS331:AT331" si="615">AS330</f>
        <v>KPBS-1.019</v>
      </c>
      <c r="AT331" s="71" t="str">
        <f t="shared" si="615"/>
        <v>B15</v>
      </c>
      <c r="AU331" s="105"/>
      <c r="AV331" s="202">
        <v>0.71093862490000004</v>
      </c>
      <c r="AW331" s="202">
        <v>124.3225401392</v>
      </c>
      <c r="AX331" s="106" t="s">
        <v>98</v>
      </c>
      <c r="AY331" s="106" t="s">
        <v>94</v>
      </c>
      <c r="AZ331" s="106" t="s">
        <v>94</v>
      </c>
      <c r="BA331" s="73" t="s">
        <v>77</v>
      </c>
      <c r="BB331" s="106" t="s">
        <v>98</v>
      </c>
      <c r="BC331" s="106">
        <v>31</v>
      </c>
      <c r="BD331" s="106" t="s">
        <v>98</v>
      </c>
      <c r="BE331" s="211" t="str">
        <f t="shared" si="576"/>
        <v>355, POYOWA BESAR,</v>
      </c>
    </row>
    <row r="332" spans="1:57" s="211" customFormat="1" ht="15.75" customHeight="1">
      <c r="A332" s="215"/>
      <c r="B332" s="216"/>
      <c r="C332" s="216"/>
      <c r="D332" s="216"/>
      <c r="E332" s="216"/>
      <c r="F332" s="216"/>
      <c r="G332" s="217"/>
      <c r="H332" s="12">
        <v>3</v>
      </c>
      <c r="I332" s="64" t="str">
        <f t="shared" ref="I332:L332" si="616">I331</f>
        <v>MR.KPBS.P039</v>
      </c>
      <c r="J332" s="64">
        <f t="shared" si="616"/>
        <v>0.71115094810000001</v>
      </c>
      <c r="K332" s="64">
        <f t="shared" si="616"/>
        <v>124.322407653</v>
      </c>
      <c r="L332" s="64" t="str">
        <f t="shared" si="616"/>
        <v>JL. RAYA POYOWA BESAR</v>
      </c>
      <c r="M332" s="64" t="str">
        <f t="shared" si="613"/>
        <v>SULAWESU UTARA</v>
      </c>
      <c r="N332" s="65" t="s">
        <v>105</v>
      </c>
      <c r="O332" s="66" t="s">
        <v>118</v>
      </c>
      <c r="P332" s="65" t="s">
        <v>119</v>
      </c>
      <c r="Q332" s="66">
        <v>95717</v>
      </c>
      <c r="R332" s="98"/>
      <c r="S332" s="99"/>
      <c r="T332" s="100"/>
      <c r="U332" s="99"/>
      <c r="V332" s="100"/>
      <c r="W332" s="97" t="s">
        <v>105</v>
      </c>
      <c r="X332" s="101"/>
      <c r="Y332" s="64" t="s">
        <v>106</v>
      </c>
      <c r="Z332" s="64" t="str">
        <f t="shared" si="611"/>
        <v>KELURAHAN POYOWA BESAR SATU KOTAMOBAGU</v>
      </c>
      <c r="AA332" s="102"/>
      <c r="AB332" s="102"/>
      <c r="AC332" s="102" t="s">
        <v>70</v>
      </c>
      <c r="AD332" s="64" t="str">
        <f t="shared" ref="AD332" si="617">AD331</f>
        <v>POYOWA BESAR</v>
      </c>
      <c r="AE332" s="103"/>
      <c r="AF332" s="103"/>
      <c r="AG332" s="103"/>
      <c r="AH332" s="103"/>
      <c r="AI332" s="104"/>
      <c r="AJ332" s="11" t="s">
        <v>558</v>
      </c>
      <c r="AK332" s="102" t="s">
        <v>96</v>
      </c>
      <c r="AL332" s="106"/>
      <c r="AM332" s="192"/>
      <c r="AN332" s="192"/>
      <c r="AO332" s="192"/>
      <c r="AP332" s="192"/>
      <c r="AQ332" s="180" t="s">
        <v>97</v>
      </c>
      <c r="AR332" s="70" t="s">
        <v>349</v>
      </c>
      <c r="AS332" s="71" t="str">
        <f t="shared" ref="AS332:AT332" si="618">AS331</f>
        <v>KPBS-1.019</v>
      </c>
      <c r="AT332" s="71" t="str">
        <f t="shared" si="618"/>
        <v>B15</v>
      </c>
      <c r="AU332" s="105"/>
      <c r="AV332" s="202">
        <v>0.71099949009999996</v>
      </c>
      <c r="AW332" s="202">
        <v>124.3225299838</v>
      </c>
      <c r="AX332" s="106" t="s">
        <v>98</v>
      </c>
      <c r="AY332" s="106" t="s">
        <v>94</v>
      </c>
      <c r="AZ332" s="106" t="s">
        <v>94</v>
      </c>
      <c r="BA332" s="73" t="s">
        <v>77</v>
      </c>
      <c r="BB332" s="106" t="s">
        <v>98</v>
      </c>
      <c r="BC332" s="106">
        <v>31</v>
      </c>
      <c r="BD332" s="106" t="s">
        <v>98</v>
      </c>
      <c r="BE332" s="211" t="str">
        <f t="shared" si="576"/>
        <v>357, POYOWA BESAR,</v>
      </c>
    </row>
    <row r="333" spans="1:57" s="211" customFormat="1" ht="15.75" customHeight="1">
      <c r="A333" s="218"/>
      <c r="B333" s="219"/>
      <c r="C333" s="219"/>
      <c r="D333" s="219"/>
      <c r="E333" s="219"/>
      <c r="F333" s="219"/>
      <c r="G333" s="220"/>
      <c r="H333" s="12">
        <v>4</v>
      </c>
      <c r="I333" s="64" t="str">
        <f t="shared" ref="I333:L333" si="619">I332</f>
        <v>MR.KPBS.P039</v>
      </c>
      <c r="J333" s="64">
        <f t="shared" si="619"/>
        <v>0.71115094810000001</v>
      </c>
      <c r="K333" s="64">
        <f t="shared" si="619"/>
        <v>124.322407653</v>
      </c>
      <c r="L333" s="64" t="str">
        <f t="shared" si="619"/>
        <v>JL. RAYA POYOWA BESAR</v>
      </c>
      <c r="M333" s="64" t="str">
        <f t="shared" si="613"/>
        <v>SULAWESU UTARA</v>
      </c>
      <c r="N333" s="65" t="s">
        <v>105</v>
      </c>
      <c r="O333" s="66" t="s">
        <v>118</v>
      </c>
      <c r="P333" s="65" t="s">
        <v>119</v>
      </c>
      <c r="Q333" s="66">
        <v>95717</v>
      </c>
      <c r="R333" s="98"/>
      <c r="S333" s="99"/>
      <c r="T333" s="100"/>
      <c r="U333" s="99"/>
      <c r="V333" s="100"/>
      <c r="W333" s="97" t="s">
        <v>105</v>
      </c>
      <c r="X333" s="101"/>
      <c r="Y333" s="64" t="s">
        <v>106</v>
      </c>
      <c r="Z333" s="64" t="str">
        <f t="shared" si="611"/>
        <v>KELURAHAN POYOWA BESAR SATU KOTAMOBAGU</v>
      </c>
      <c r="AA333" s="102"/>
      <c r="AB333" s="102"/>
      <c r="AC333" s="102" t="s">
        <v>70</v>
      </c>
      <c r="AD333" s="64" t="str">
        <f t="shared" ref="AD333" si="620">AD332</f>
        <v>POYOWA BESAR</v>
      </c>
      <c r="AE333" s="103"/>
      <c r="AF333" s="103"/>
      <c r="AG333" s="103"/>
      <c r="AH333" s="103"/>
      <c r="AI333" s="104"/>
      <c r="AJ333" s="11" t="s">
        <v>559</v>
      </c>
      <c r="AK333" s="102" t="s">
        <v>96</v>
      </c>
      <c r="AL333" s="106"/>
      <c r="AM333" s="192"/>
      <c r="AN333" s="192"/>
      <c r="AO333" s="192"/>
      <c r="AP333" s="192"/>
      <c r="AQ333" s="180" t="s">
        <v>97</v>
      </c>
      <c r="AR333" s="70" t="s">
        <v>349</v>
      </c>
      <c r="AS333" s="71" t="str">
        <f t="shared" ref="AS333:AT333" si="621">AS332</f>
        <v>KPBS-1.019</v>
      </c>
      <c r="AT333" s="71" t="str">
        <f t="shared" si="621"/>
        <v>B15</v>
      </c>
      <c r="AU333" s="105"/>
      <c r="AV333" s="202">
        <v>0.71107155590000004</v>
      </c>
      <c r="AW333" s="202">
        <v>124.322512561</v>
      </c>
      <c r="AX333" s="106" t="s">
        <v>98</v>
      </c>
      <c r="AY333" s="106" t="s">
        <v>94</v>
      </c>
      <c r="AZ333" s="106" t="s">
        <v>94</v>
      </c>
      <c r="BA333" s="73" t="s">
        <v>77</v>
      </c>
      <c r="BB333" s="106" t="s">
        <v>98</v>
      </c>
      <c r="BC333" s="106">
        <v>31</v>
      </c>
      <c r="BD333" s="106" t="s">
        <v>98</v>
      </c>
      <c r="BE333" s="211" t="str">
        <f t="shared" si="576"/>
        <v>356, POYOWA BESAR,</v>
      </c>
    </row>
    <row r="334" spans="1:57" s="211" customFormat="1" ht="15.75" customHeight="1">
      <c r="A334" s="218"/>
      <c r="B334" s="219"/>
      <c r="C334" s="219"/>
      <c r="D334" s="219"/>
      <c r="E334" s="219"/>
      <c r="F334" s="219"/>
      <c r="G334" s="220"/>
      <c r="H334" s="12">
        <v>5</v>
      </c>
      <c r="I334" s="64" t="str">
        <f t="shared" ref="I334:L334" si="622">I333</f>
        <v>MR.KPBS.P039</v>
      </c>
      <c r="J334" s="64">
        <f t="shared" si="622"/>
        <v>0.71115094810000001</v>
      </c>
      <c r="K334" s="64">
        <f t="shared" si="622"/>
        <v>124.322407653</v>
      </c>
      <c r="L334" s="64" t="str">
        <f t="shared" si="622"/>
        <v>JL. RAYA POYOWA BESAR</v>
      </c>
      <c r="M334" s="64" t="str">
        <f t="shared" si="613"/>
        <v>SULAWESU UTARA</v>
      </c>
      <c r="N334" s="65" t="s">
        <v>105</v>
      </c>
      <c r="O334" s="66" t="s">
        <v>118</v>
      </c>
      <c r="P334" s="65" t="s">
        <v>119</v>
      </c>
      <c r="Q334" s="66">
        <v>95717</v>
      </c>
      <c r="R334" s="98"/>
      <c r="S334" s="99"/>
      <c r="T334" s="100"/>
      <c r="U334" s="99"/>
      <c r="V334" s="100"/>
      <c r="W334" s="97" t="s">
        <v>105</v>
      </c>
      <c r="X334" s="101"/>
      <c r="Y334" s="64" t="s">
        <v>106</v>
      </c>
      <c r="Z334" s="64" t="str">
        <f t="shared" si="611"/>
        <v>KELURAHAN POYOWA BESAR SATU KOTAMOBAGU</v>
      </c>
      <c r="AA334" s="102"/>
      <c r="AB334" s="102"/>
      <c r="AC334" s="102" t="s">
        <v>70</v>
      </c>
      <c r="AD334" s="64" t="str">
        <f t="shared" ref="AD334" si="623">AD333</f>
        <v>POYOWA BESAR</v>
      </c>
      <c r="AE334" s="103"/>
      <c r="AF334" s="103"/>
      <c r="AG334" s="103"/>
      <c r="AH334" s="103"/>
      <c r="AI334" s="104"/>
      <c r="AJ334" s="11" t="s">
        <v>560</v>
      </c>
      <c r="AK334" s="102" t="s">
        <v>96</v>
      </c>
      <c r="AL334" s="106"/>
      <c r="AM334" s="192"/>
      <c r="AN334" s="192"/>
      <c r="AO334" s="192"/>
      <c r="AP334" s="192"/>
      <c r="AQ334" s="180" t="s">
        <v>97</v>
      </c>
      <c r="AR334" s="70" t="s">
        <v>349</v>
      </c>
      <c r="AS334" s="71" t="str">
        <f t="shared" ref="AS334:AT334" si="624">AS333</f>
        <v>KPBS-1.019</v>
      </c>
      <c r="AT334" s="71" t="str">
        <f t="shared" si="624"/>
        <v>B15</v>
      </c>
      <c r="AU334" s="105"/>
      <c r="AV334" s="202">
        <v>0.71102405899999999</v>
      </c>
      <c r="AW334" s="202">
        <v>124.32239209470001</v>
      </c>
      <c r="AX334" s="106" t="s">
        <v>98</v>
      </c>
      <c r="AY334" s="106" t="s">
        <v>94</v>
      </c>
      <c r="AZ334" s="106" t="s">
        <v>94</v>
      </c>
      <c r="BA334" s="73" t="s">
        <v>77</v>
      </c>
      <c r="BB334" s="106" t="s">
        <v>98</v>
      </c>
      <c r="BC334" s="106">
        <v>31</v>
      </c>
      <c r="BD334" s="106" t="s">
        <v>98</v>
      </c>
      <c r="BE334" s="211" t="str">
        <f t="shared" si="576"/>
        <v>368, POYOWA BESAR,</v>
      </c>
    </row>
    <row r="335" spans="1:57" s="211" customFormat="1" ht="15.75" customHeight="1">
      <c r="A335" s="218"/>
      <c r="B335" s="219"/>
      <c r="C335" s="219"/>
      <c r="D335" s="219"/>
      <c r="E335" s="219"/>
      <c r="F335" s="219"/>
      <c r="G335" s="220"/>
      <c r="H335" s="12">
        <v>6</v>
      </c>
      <c r="I335" s="64" t="str">
        <f t="shared" ref="I335:L335" si="625">I334</f>
        <v>MR.KPBS.P039</v>
      </c>
      <c r="J335" s="64">
        <f t="shared" si="625"/>
        <v>0.71115094810000001</v>
      </c>
      <c r="K335" s="64">
        <f t="shared" si="625"/>
        <v>124.322407653</v>
      </c>
      <c r="L335" s="64" t="str">
        <f t="shared" si="625"/>
        <v>JL. RAYA POYOWA BESAR</v>
      </c>
      <c r="M335" s="64" t="str">
        <f t="shared" si="613"/>
        <v>SULAWESU UTARA</v>
      </c>
      <c r="N335" s="65" t="s">
        <v>105</v>
      </c>
      <c r="O335" s="66" t="s">
        <v>118</v>
      </c>
      <c r="P335" s="65" t="s">
        <v>119</v>
      </c>
      <c r="Q335" s="66">
        <v>95717</v>
      </c>
      <c r="R335" s="98"/>
      <c r="S335" s="99"/>
      <c r="T335" s="100"/>
      <c r="U335" s="99"/>
      <c r="V335" s="100"/>
      <c r="W335" s="97" t="s">
        <v>105</v>
      </c>
      <c r="X335" s="101"/>
      <c r="Y335" s="64" t="s">
        <v>106</v>
      </c>
      <c r="Z335" s="64" t="str">
        <f t="shared" si="611"/>
        <v>KELURAHAN POYOWA BESAR SATU KOTAMOBAGU</v>
      </c>
      <c r="AA335" s="102"/>
      <c r="AB335" s="102"/>
      <c r="AC335" s="102" t="s">
        <v>70</v>
      </c>
      <c r="AD335" s="64" t="str">
        <f t="shared" ref="AD335" si="626">AD334</f>
        <v>POYOWA BESAR</v>
      </c>
      <c r="AE335" s="103"/>
      <c r="AF335" s="103"/>
      <c r="AG335" s="103"/>
      <c r="AH335" s="103"/>
      <c r="AI335" s="104"/>
      <c r="AJ335" s="11" t="s">
        <v>561</v>
      </c>
      <c r="AK335" s="102" t="s">
        <v>96</v>
      </c>
      <c r="AL335" s="106"/>
      <c r="AM335" s="192"/>
      <c r="AN335" s="192"/>
      <c r="AO335" s="192"/>
      <c r="AP335" s="192"/>
      <c r="AQ335" s="180" t="s">
        <v>97</v>
      </c>
      <c r="AR335" s="70" t="s">
        <v>349</v>
      </c>
      <c r="AS335" s="71" t="str">
        <f t="shared" ref="AS335:AT335" si="627">AS334</f>
        <v>KPBS-1.019</v>
      </c>
      <c r="AT335" s="71" t="str">
        <f t="shared" si="627"/>
        <v>B15</v>
      </c>
      <c r="AU335" s="105"/>
      <c r="AV335" s="202">
        <v>0.71114791730000004</v>
      </c>
      <c r="AW335" s="202">
        <v>124.32248733359999</v>
      </c>
      <c r="AX335" s="106" t="s">
        <v>98</v>
      </c>
      <c r="AY335" s="106" t="s">
        <v>94</v>
      </c>
      <c r="AZ335" s="106" t="s">
        <v>94</v>
      </c>
      <c r="BA335" s="73" t="s">
        <v>77</v>
      </c>
      <c r="BB335" s="106" t="s">
        <v>98</v>
      </c>
      <c r="BC335" s="106">
        <v>31</v>
      </c>
      <c r="BD335" s="106" t="s">
        <v>98</v>
      </c>
      <c r="BE335" s="211" t="str">
        <f t="shared" si="576"/>
        <v>358, POYOWA BESAR,</v>
      </c>
    </row>
    <row r="336" spans="1:57" s="211" customFormat="1" ht="15.75" customHeight="1">
      <c r="A336" s="218"/>
      <c r="B336" s="219"/>
      <c r="C336" s="219"/>
      <c r="D336" s="219"/>
      <c r="E336" s="219"/>
      <c r="F336" s="219"/>
      <c r="G336" s="220"/>
      <c r="H336" s="12">
        <v>7</v>
      </c>
      <c r="I336" s="64" t="str">
        <f t="shared" ref="I336:L336" si="628">I335</f>
        <v>MR.KPBS.P039</v>
      </c>
      <c r="J336" s="64">
        <f t="shared" si="628"/>
        <v>0.71115094810000001</v>
      </c>
      <c r="K336" s="64">
        <f t="shared" si="628"/>
        <v>124.322407653</v>
      </c>
      <c r="L336" s="64" t="str">
        <f t="shared" si="628"/>
        <v>JL. RAYA POYOWA BESAR</v>
      </c>
      <c r="M336" s="64" t="str">
        <f t="shared" si="613"/>
        <v>SULAWESU UTARA</v>
      </c>
      <c r="N336" s="65" t="s">
        <v>105</v>
      </c>
      <c r="O336" s="66" t="s">
        <v>118</v>
      </c>
      <c r="P336" s="65" t="s">
        <v>119</v>
      </c>
      <c r="Q336" s="66">
        <v>95717</v>
      </c>
      <c r="R336" s="98"/>
      <c r="S336" s="99"/>
      <c r="T336" s="100"/>
      <c r="U336" s="99"/>
      <c r="V336" s="100"/>
      <c r="W336" s="97" t="s">
        <v>105</v>
      </c>
      <c r="X336" s="101"/>
      <c r="Y336" s="64" t="s">
        <v>106</v>
      </c>
      <c r="Z336" s="64" t="str">
        <f t="shared" si="611"/>
        <v>KELURAHAN POYOWA BESAR SATU KOTAMOBAGU</v>
      </c>
      <c r="AA336" s="102"/>
      <c r="AB336" s="102"/>
      <c r="AC336" s="102" t="s">
        <v>70</v>
      </c>
      <c r="AD336" s="64" t="str">
        <f t="shared" ref="AD336" si="629">AD335</f>
        <v>POYOWA BESAR</v>
      </c>
      <c r="AE336" s="103"/>
      <c r="AF336" s="103"/>
      <c r="AG336" s="103"/>
      <c r="AH336" s="103"/>
      <c r="AI336" s="104"/>
      <c r="AJ336" s="11" t="s">
        <v>562</v>
      </c>
      <c r="AK336" s="102" t="s">
        <v>96</v>
      </c>
      <c r="AL336" s="106"/>
      <c r="AM336" s="192"/>
      <c r="AN336" s="192"/>
      <c r="AO336" s="192"/>
      <c r="AP336" s="192"/>
      <c r="AQ336" s="180" t="s">
        <v>97</v>
      </c>
      <c r="AR336" s="70" t="s">
        <v>349</v>
      </c>
      <c r="AS336" s="71" t="str">
        <f t="shared" ref="AS336:AT336" si="630">AS335</f>
        <v>KPBS-1.019</v>
      </c>
      <c r="AT336" s="71" t="str">
        <f t="shared" si="630"/>
        <v>B15</v>
      </c>
      <c r="AU336" s="105"/>
      <c r="AV336" s="202">
        <v>0.71135382920000001</v>
      </c>
      <c r="AW336" s="202">
        <v>124.3224247221</v>
      </c>
      <c r="AX336" s="106" t="s">
        <v>98</v>
      </c>
      <c r="AY336" s="106" t="s">
        <v>94</v>
      </c>
      <c r="AZ336" s="106" t="s">
        <v>94</v>
      </c>
      <c r="BA336" s="73" t="s">
        <v>77</v>
      </c>
      <c r="BB336" s="106" t="s">
        <v>98</v>
      </c>
      <c r="BC336" s="106">
        <v>31</v>
      </c>
      <c r="BD336" s="106" t="s">
        <v>98</v>
      </c>
      <c r="BE336" s="211" t="str">
        <f t="shared" si="576"/>
        <v>360, POYOWA BESAR,</v>
      </c>
    </row>
    <row r="337" spans="1:57" s="211" customFormat="1" ht="15.75" customHeight="1">
      <c r="A337" s="218"/>
      <c r="B337" s="219"/>
      <c r="C337" s="219"/>
      <c r="D337" s="219"/>
      <c r="E337" s="219"/>
      <c r="F337" s="219"/>
      <c r="G337" s="220"/>
      <c r="H337" s="12">
        <v>8</v>
      </c>
      <c r="I337" s="64" t="str">
        <f t="shared" ref="I337:L337" si="631">I336</f>
        <v>MR.KPBS.P039</v>
      </c>
      <c r="J337" s="64">
        <f t="shared" si="631"/>
        <v>0.71115094810000001</v>
      </c>
      <c r="K337" s="64">
        <f t="shared" si="631"/>
        <v>124.322407653</v>
      </c>
      <c r="L337" s="64" t="str">
        <f t="shared" si="631"/>
        <v>JL. RAYA POYOWA BESAR</v>
      </c>
      <c r="M337" s="64" t="str">
        <f t="shared" si="613"/>
        <v>SULAWESU UTARA</v>
      </c>
      <c r="N337" s="65" t="s">
        <v>105</v>
      </c>
      <c r="O337" s="66" t="s">
        <v>118</v>
      </c>
      <c r="P337" s="65" t="s">
        <v>119</v>
      </c>
      <c r="Q337" s="66">
        <v>95717</v>
      </c>
      <c r="R337" s="98"/>
      <c r="S337" s="99"/>
      <c r="T337" s="100"/>
      <c r="U337" s="99"/>
      <c r="V337" s="100"/>
      <c r="W337" s="97" t="s">
        <v>105</v>
      </c>
      <c r="X337" s="101"/>
      <c r="Y337" s="64" t="s">
        <v>106</v>
      </c>
      <c r="Z337" s="64" t="str">
        <f t="shared" si="611"/>
        <v>KELURAHAN POYOWA BESAR SATU KOTAMOBAGU</v>
      </c>
      <c r="AA337" s="102"/>
      <c r="AB337" s="102"/>
      <c r="AC337" s="102" t="s">
        <v>70</v>
      </c>
      <c r="AD337" s="64" t="str">
        <f t="shared" ref="AD337" si="632">AD336</f>
        <v>POYOWA BESAR</v>
      </c>
      <c r="AE337" s="103"/>
      <c r="AF337" s="103"/>
      <c r="AG337" s="103"/>
      <c r="AH337" s="103"/>
      <c r="AI337" s="104"/>
      <c r="AJ337" s="11" t="s">
        <v>563</v>
      </c>
      <c r="AK337" s="102" t="s">
        <v>96</v>
      </c>
      <c r="AL337" s="106"/>
      <c r="AM337" s="192"/>
      <c r="AN337" s="192"/>
      <c r="AO337" s="192"/>
      <c r="AP337" s="192"/>
      <c r="AQ337" s="180" t="s">
        <v>97</v>
      </c>
      <c r="AR337" s="70" t="s">
        <v>349</v>
      </c>
      <c r="AS337" s="71" t="str">
        <f t="shared" ref="AS337:AT337" si="633">AS336</f>
        <v>KPBS-1.019</v>
      </c>
      <c r="AT337" s="71" t="str">
        <f t="shared" si="633"/>
        <v>B15</v>
      </c>
      <c r="AU337" s="105"/>
      <c r="AV337" s="202">
        <v>0.71128224610000002</v>
      </c>
      <c r="AW337" s="202">
        <v>124.3223559379</v>
      </c>
      <c r="AX337" s="106" t="s">
        <v>98</v>
      </c>
      <c r="AY337" s="106" t="s">
        <v>94</v>
      </c>
      <c r="AZ337" s="106" t="s">
        <v>94</v>
      </c>
      <c r="BA337" s="73" t="s">
        <v>77</v>
      </c>
      <c r="BB337" s="106" t="s">
        <v>98</v>
      </c>
      <c r="BC337" s="106">
        <v>31</v>
      </c>
      <c r="BD337" s="106" t="s">
        <v>98</v>
      </c>
      <c r="BE337" s="211" t="str">
        <f t="shared" si="576"/>
        <v>361, POYOWA BESAR,</v>
      </c>
    </row>
    <row r="338" spans="1:57" s="211" customFormat="1" ht="15.75" customHeight="1">
      <c r="A338" s="218"/>
      <c r="B338" s="219"/>
      <c r="C338" s="219"/>
      <c r="D338" s="219"/>
      <c r="E338" s="219"/>
      <c r="F338" s="219"/>
      <c r="G338" s="220"/>
      <c r="H338" s="12">
        <v>9</v>
      </c>
      <c r="I338" s="64" t="str">
        <f t="shared" ref="I338:L338" si="634">I337</f>
        <v>MR.KPBS.P039</v>
      </c>
      <c r="J338" s="64">
        <f t="shared" si="634"/>
        <v>0.71115094810000001</v>
      </c>
      <c r="K338" s="64">
        <f t="shared" si="634"/>
        <v>124.322407653</v>
      </c>
      <c r="L338" s="64" t="str">
        <f t="shared" si="634"/>
        <v>JL. RAYA POYOWA BESAR</v>
      </c>
      <c r="M338" s="64" t="str">
        <f t="shared" si="613"/>
        <v>SULAWESU UTARA</v>
      </c>
      <c r="N338" s="65" t="s">
        <v>105</v>
      </c>
      <c r="O338" s="66" t="s">
        <v>118</v>
      </c>
      <c r="P338" s="65" t="s">
        <v>119</v>
      </c>
      <c r="Q338" s="66">
        <v>95717</v>
      </c>
      <c r="R338" s="98"/>
      <c r="S338" s="99"/>
      <c r="T338" s="100"/>
      <c r="U338" s="99"/>
      <c r="V338" s="100"/>
      <c r="W338" s="97" t="s">
        <v>105</v>
      </c>
      <c r="X338" s="101"/>
      <c r="Y338" s="64" t="s">
        <v>106</v>
      </c>
      <c r="Z338" s="64" t="str">
        <f t="shared" si="611"/>
        <v>KELURAHAN POYOWA BESAR SATU KOTAMOBAGU</v>
      </c>
      <c r="AA338" s="102"/>
      <c r="AB338" s="102"/>
      <c r="AC338" s="102" t="s">
        <v>70</v>
      </c>
      <c r="AD338" s="64" t="str">
        <f t="shared" ref="AD338" si="635">AD337</f>
        <v>POYOWA BESAR</v>
      </c>
      <c r="AE338" s="103"/>
      <c r="AF338" s="103"/>
      <c r="AG338" s="103"/>
      <c r="AH338" s="103"/>
      <c r="AI338" s="104"/>
      <c r="AJ338" s="11" t="s">
        <v>564</v>
      </c>
      <c r="AK338" s="102" t="s">
        <v>96</v>
      </c>
      <c r="AL338" s="106"/>
      <c r="AM338" s="192"/>
      <c r="AN338" s="192"/>
      <c r="AO338" s="192"/>
      <c r="AP338" s="192"/>
      <c r="AQ338" s="180" t="s">
        <v>97</v>
      </c>
      <c r="AR338" s="70" t="s">
        <v>349</v>
      </c>
      <c r="AS338" s="71" t="str">
        <f t="shared" ref="AS338:AT338" si="636">AS337</f>
        <v>KPBS-1.019</v>
      </c>
      <c r="AT338" s="71" t="str">
        <f t="shared" si="636"/>
        <v>B15</v>
      </c>
      <c r="AU338" s="105"/>
      <c r="AV338" s="202">
        <v>0.71127694370000005</v>
      </c>
      <c r="AW338" s="202">
        <v>124.3222748077</v>
      </c>
      <c r="AX338" s="106" t="s">
        <v>98</v>
      </c>
      <c r="AY338" s="106" t="s">
        <v>94</v>
      </c>
      <c r="AZ338" s="106" t="s">
        <v>94</v>
      </c>
      <c r="BA338" s="73" t="s">
        <v>77</v>
      </c>
      <c r="BB338" s="106" t="s">
        <v>98</v>
      </c>
      <c r="BC338" s="106">
        <v>31</v>
      </c>
      <c r="BD338" s="106" t="s">
        <v>98</v>
      </c>
      <c r="BE338" s="211" t="str">
        <f t="shared" si="576"/>
        <v>362, POYOWA BESAR,</v>
      </c>
    </row>
    <row r="339" spans="1:57" s="211" customFormat="1" ht="15.75" customHeight="1">
      <c r="A339" s="218"/>
      <c r="B339" s="219"/>
      <c r="C339" s="219"/>
      <c r="D339" s="219"/>
      <c r="E339" s="219"/>
      <c r="F339" s="219"/>
      <c r="G339" s="220"/>
      <c r="H339" s="12">
        <v>10</v>
      </c>
      <c r="I339" s="64" t="str">
        <f t="shared" ref="I339:L339" si="637">I338</f>
        <v>MR.KPBS.P039</v>
      </c>
      <c r="J339" s="64">
        <f t="shared" si="637"/>
        <v>0.71115094810000001</v>
      </c>
      <c r="K339" s="64">
        <f t="shared" si="637"/>
        <v>124.322407653</v>
      </c>
      <c r="L339" s="64" t="str">
        <f t="shared" si="637"/>
        <v>JL. RAYA POYOWA BESAR</v>
      </c>
      <c r="M339" s="64" t="str">
        <f t="shared" si="613"/>
        <v>SULAWESU UTARA</v>
      </c>
      <c r="N339" s="65" t="s">
        <v>105</v>
      </c>
      <c r="O339" s="66" t="s">
        <v>118</v>
      </c>
      <c r="P339" s="65" t="s">
        <v>119</v>
      </c>
      <c r="Q339" s="66">
        <v>95717</v>
      </c>
      <c r="R339" s="98"/>
      <c r="S339" s="99"/>
      <c r="T339" s="100"/>
      <c r="U339" s="99"/>
      <c r="V339" s="100"/>
      <c r="W339" s="97" t="s">
        <v>105</v>
      </c>
      <c r="X339" s="101"/>
      <c r="Y339" s="64" t="s">
        <v>106</v>
      </c>
      <c r="Z339" s="64" t="str">
        <f t="shared" si="611"/>
        <v>KELURAHAN POYOWA BESAR SATU KOTAMOBAGU</v>
      </c>
      <c r="AA339" s="102"/>
      <c r="AB339" s="102"/>
      <c r="AC339" s="102" t="s">
        <v>70</v>
      </c>
      <c r="AD339" s="64" t="str">
        <f t="shared" ref="AD339" si="638">AD338</f>
        <v>POYOWA BESAR</v>
      </c>
      <c r="AE339" s="103"/>
      <c r="AF339" s="103"/>
      <c r="AG339" s="103"/>
      <c r="AH339" s="103"/>
      <c r="AI339" s="104"/>
      <c r="AJ339" s="11" t="s">
        <v>565</v>
      </c>
      <c r="AK339" s="102" t="s">
        <v>96</v>
      </c>
      <c r="AL339" s="106"/>
      <c r="AM339" s="192"/>
      <c r="AN339" s="192"/>
      <c r="AO339" s="192"/>
      <c r="AP339" s="192"/>
      <c r="AQ339" s="180" t="s">
        <v>97</v>
      </c>
      <c r="AR339" s="70" t="s">
        <v>349</v>
      </c>
      <c r="AS339" s="71" t="str">
        <f t="shared" ref="AS339:AT339" si="639">AS334</f>
        <v>KPBS-1.019</v>
      </c>
      <c r="AT339" s="71" t="str">
        <f t="shared" si="639"/>
        <v>B15</v>
      </c>
      <c r="AU339" s="105"/>
      <c r="AV339" s="202">
        <v>0.71101787279999995</v>
      </c>
      <c r="AW339" s="202">
        <v>124.32230743700001</v>
      </c>
      <c r="AX339" s="106" t="s">
        <v>98</v>
      </c>
      <c r="AY339" s="106" t="s">
        <v>94</v>
      </c>
      <c r="AZ339" s="106" t="s">
        <v>94</v>
      </c>
      <c r="BA339" s="73" t="s">
        <v>77</v>
      </c>
      <c r="BB339" s="106" t="s">
        <v>98</v>
      </c>
      <c r="BC339" s="106">
        <v>31</v>
      </c>
      <c r="BD339" s="106" t="s">
        <v>98</v>
      </c>
      <c r="BE339" s="211" t="str">
        <f t="shared" si="576"/>
        <v>367, POYOWA BESAR,</v>
      </c>
    </row>
    <row r="340" spans="1:57" s="211" customFormat="1" ht="15.75" customHeight="1">
      <c r="A340" s="218"/>
      <c r="B340" s="219"/>
      <c r="C340" s="219"/>
      <c r="D340" s="219"/>
      <c r="E340" s="219"/>
      <c r="F340" s="219"/>
      <c r="G340" s="220"/>
      <c r="H340" s="12">
        <v>11</v>
      </c>
      <c r="I340" s="64" t="str">
        <f t="shared" ref="I340:L340" si="640">I339</f>
        <v>MR.KPBS.P039</v>
      </c>
      <c r="J340" s="64">
        <f t="shared" si="640"/>
        <v>0.71115094810000001</v>
      </c>
      <c r="K340" s="64">
        <f t="shared" si="640"/>
        <v>124.322407653</v>
      </c>
      <c r="L340" s="64" t="str">
        <f t="shared" si="640"/>
        <v>JL. RAYA POYOWA BESAR</v>
      </c>
      <c r="M340" s="64" t="str">
        <f t="shared" si="613"/>
        <v>SULAWESU UTARA</v>
      </c>
      <c r="N340" s="65" t="s">
        <v>105</v>
      </c>
      <c r="O340" s="66" t="s">
        <v>118</v>
      </c>
      <c r="P340" s="65" t="s">
        <v>119</v>
      </c>
      <c r="Q340" s="66">
        <v>95717</v>
      </c>
      <c r="R340" s="98"/>
      <c r="S340" s="99"/>
      <c r="T340" s="100"/>
      <c r="U340" s="99"/>
      <c r="V340" s="100"/>
      <c r="W340" s="97" t="s">
        <v>105</v>
      </c>
      <c r="X340" s="101"/>
      <c r="Y340" s="64" t="s">
        <v>106</v>
      </c>
      <c r="Z340" s="64" t="str">
        <f t="shared" si="611"/>
        <v>KELURAHAN POYOWA BESAR SATU KOTAMOBAGU</v>
      </c>
      <c r="AA340" s="102"/>
      <c r="AB340" s="102"/>
      <c r="AC340" s="102" t="s">
        <v>70</v>
      </c>
      <c r="AD340" s="64" t="str">
        <f t="shared" ref="AD340" si="641">AD339</f>
        <v>POYOWA BESAR</v>
      </c>
      <c r="AE340" s="103"/>
      <c r="AF340" s="103"/>
      <c r="AG340" s="103"/>
      <c r="AH340" s="103"/>
      <c r="AI340" s="104"/>
      <c r="AJ340" s="11" t="s">
        <v>566</v>
      </c>
      <c r="AK340" s="102" t="s">
        <v>96</v>
      </c>
      <c r="AL340" s="106"/>
      <c r="AM340" s="192"/>
      <c r="AN340" s="192"/>
      <c r="AO340" s="192"/>
      <c r="AP340" s="192"/>
      <c r="AQ340" s="180" t="s">
        <v>97</v>
      </c>
      <c r="AR340" s="70" t="s">
        <v>349</v>
      </c>
      <c r="AS340" s="71" t="str">
        <f t="shared" ref="AS340:AT340" si="642">AS339</f>
        <v>KPBS-1.019</v>
      </c>
      <c r="AT340" s="71" t="str">
        <f t="shared" si="642"/>
        <v>B15</v>
      </c>
      <c r="AU340" s="105"/>
      <c r="AV340" s="202">
        <v>0.71098429060000001</v>
      </c>
      <c r="AW340" s="202">
        <v>124.322219252</v>
      </c>
      <c r="AX340" s="106" t="s">
        <v>98</v>
      </c>
      <c r="AY340" s="106" t="s">
        <v>94</v>
      </c>
      <c r="AZ340" s="106" t="s">
        <v>94</v>
      </c>
      <c r="BA340" s="73" t="s">
        <v>77</v>
      </c>
      <c r="BB340" s="106" t="s">
        <v>98</v>
      </c>
      <c r="BC340" s="106">
        <v>31</v>
      </c>
      <c r="BD340" s="106" t="s">
        <v>98</v>
      </c>
      <c r="BE340" s="211" t="str">
        <f t="shared" si="576"/>
        <v>366, POYOWA BESAR,</v>
      </c>
    </row>
    <row r="341" spans="1:57" s="211" customFormat="1" ht="15.75" customHeight="1">
      <c r="A341" s="218"/>
      <c r="B341" s="219"/>
      <c r="C341" s="219"/>
      <c r="D341" s="219"/>
      <c r="E341" s="219"/>
      <c r="F341" s="219"/>
      <c r="G341" s="220"/>
      <c r="H341" s="12">
        <v>12</v>
      </c>
      <c r="I341" s="64" t="str">
        <f t="shared" ref="I341:L341" si="643">I340</f>
        <v>MR.KPBS.P039</v>
      </c>
      <c r="J341" s="64">
        <f t="shared" si="643"/>
        <v>0.71115094810000001</v>
      </c>
      <c r="K341" s="64">
        <f t="shared" si="643"/>
        <v>124.322407653</v>
      </c>
      <c r="L341" s="64" t="str">
        <f t="shared" si="643"/>
        <v>JL. RAYA POYOWA BESAR</v>
      </c>
      <c r="M341" s="64" t="str">
        <f t="shared" si="613"/>
        <v>SULAWESU UTARA</v>
      </c>
      <c r="N341" s="65" t="s">
        <v>105</v>
      </c>
      <c r="O341" s="66" t="s">
        <v>118</v>
      </c>
      <c r="P341" s="65" t="s">
        <v>119</v>
      </c>
      <c r="Q341" s="66">
        <v>95717</v>
      </c>
      <c r="R341" s="98"/>
      <c r="S341" s="99"/>
      <c r="T341" s="100"/>
      <c r="U341" s="99"/>
      <c r="V341" s="100"/>
      <c r="W341" s="97" t="s">
        <v>105</v>
      </c>
      <c r="X341" s="101"/>
      <c r="Y341" s="64" t="s">
        <v>106</v>
      </c>
      <c r="Z341" s="64" t="str">
        <f t="shared" si="611"/>
        <v>KELURAHAN POYOWA BESAR SATU KOTAMOBAGU</v>
      </c>
      <c r="AA341" s="102"/>
      <c r="AB341" s="102"/>
      <c r="AC341" s="102" t="s">
        <v>70</v>
      </c>
      <c r="AD341" s="64" t="str">
        <f t="shared" ref="AD341" si="644">AD340</f>
        <v>POYOWA BESAR</v>
      </c>
      <c r="AE341" s="103"/>
      <c r="AF341" s="103"/>
      <c r="AG341" s="103"/>
      <c r="AH341" s="103"/>
      <c r="AI341" s="104"/>
      <c r="AJ341" s="11" t="s">
        <v>567</v>
      </c>
      <c r="AK341" s="102" t="s">
        <v>96</v>
      </c>
      <c r="AL341" s="106"/>
      <c r="AM341" s="192"/>
      <c r="AN341" s="192"/>
      <c r="AO341" s="192"/>
      <c r="AP341" s="192"/>
      <c r="AQ341" s="180" t="s">
        <v>97</v>
      </c>
      <c r="AR341" s="70" t="s">
        <v>349</v>
      </c>
      <c r="AS341" s="71" t="str">
        <f t="shared" ref="AS341:AT341" si="645">AS340</f>
        <v>KPBS-1.019</v>
      </c>
      <c r="AT341" s="71" t="str">
        <f t="shared" si="645"/>
        <v>B15</v>
      </c>
      <c r="AU341" s="105"/>
      <c r="AV341" s="202">
        <v>0.71126898999999999</v>
      </c>
      <c r="AW341" s="202">
        <v>124.3221830951</v>
      </c>
      <c r="AX341" s="106" t="s">
        <v>98</v>
      </c>
      <c r="AY341" s="106" t="s">
        <v>94</v>
      </c>
      <c r="AZ341" s="106" t="s">
        <v>94</v>
      </c>
      <c r="BA341" s="73" t="s">
        <v>77</v>
      </c>
      <c r="BB341" s="106" t="s">
        <v>98</v>
      </c>
      <c r="BC341" s="106">
        <v>31</v>
      </c>
      <c r="BD341" s="106" t="s">
        <v>98</v>
      </c>
      <c r="BE341" s="211" t="str">
        <f t="shared" si="576"/>
        <v>363, POYOWA BESAR,</v>
      </c>
    </row>
    <row r="342" spans="1:57" s="211" customFormat="1" ht="15.75" customHeight="1">
      <c r="A342" s="218"/>
      <c r="B342" s="219"/>
      <c r="C342" s="219"/>
      <c r="D342" s="219"/>
      <c r="E342" s="219"/>
      <c r="F342" s="219"/>
      <c r="G342" s="220"/>
      <c r="H342" s="12">
        <v>13</v>
      </c>
      <c r="I342" s="64" t="str">
        <f t="shared" ref="I342:L342" si="646">I341</f>
        <v>MR.KPBS.P039</v>
      </c>
      <c r="J342" s="64">
        <f t="shared" si="646"/>
        <v>0.71115094810000001</v>
      </c>
      <c r="K342" s="64">
        <f t="shared" si="646"/>
        <v>124.322407653</v>
      </c>
      <c r="L342" s="64" t="str">
        <f t="shared" si="646"/>
        <v>JL. RAYA POYOWA BESAR</v>
      </c>
      <c r="M342" s="64" t="str">
        <f t="shared" si="613"/>
        <v>SULAWESU UTARA</v>
      </c>
      <c r="N342" s="65" t="s">
        <v>105</v>
      </c>
      <c r="O342" s="66" t="s">
        <v>118</v>
      </c>
      <c r="P342" s="65" t="s">
        <v>119</v>
      </c>
      <c r="Q342" s="66">
        <v>95717</v>
      </c>
      <c r="R342" s="98"/>
      <c r="S342" s="99"/>
      <c r="T342" s="100"/>
      <c r="U342" s="99"/>
      <c r="V342" s="100"/>
      <c r="W342" s="97" t="s">
        <v>105</v>
      </c>
      <c r="X342" s="101"/>
      <c r="Y342" s="64" t="s">
        <v>106</v>
      </c>
      <c r="Z342" s="64" t="str">
        <f t="shared" si="611"/>
        <v>KELURAHAN POYOWA BESAR SATU KOTAMOBAGU</v>
      </c>
      <c r="AA342" s="102"/>
      <c r="AB342" s="102"/>
      <c r="AC342" s="102" t="s">
        <v>70</v>
      </c>
      <c r="AD342" s="64" t="str">
        <f t="shared" ref="AD342" si="647">AD341</f>
        <v>POYOWA BESAR</v>
      </c>
      <c r="AE342" s="103"/>
      <c r="AF342" s="103"/>
      <c r="AG342" s="103"/>
      <c r="AH342" s="103"/>
      <c r="AI342" s="104"/>
      <c r="AJ342" s="11" t="s">
        <v>568</v>
      </c>
      <c r="AK342" s="102" t="s">
        <v>96</v>
      </c>
      <c r="AL342" s="106"/>
      <c r="AM342" s="106"/>
      <c r="AN342" s="106"/>
      <c r="AO342" s="106"/>
      <c r="AP342" s="106"/>
      <c r="AQ342" s="180" t="s">
        <v>97</v>
      </c>
      <c r="AR342" s="70" t="s">
        <v>349</v>
      </c>
      <c r="AS342" s="71" t="str">
        <f t="shared" ref="AS342:AT342" si="648">AS341</f>
        <v>KPBS-1.019</v>
      </c>
      <c r="AT342" s="71" t="str">
        <f t="shared" si="648"/>
        <v>B15</v>
      </c>
      <c r="AU342" s="105"/>
      <c r="AV342" s="202">
        <v>0.7112548501</v>
      </c>
      <c r="AW342" s="202">
        <v>124.32209138259999</v>
      </c>
      <c r="AX342" s="106" t="s">
        <v>98</v>
      </c>
      <c r="AY342" s="106" t="s">
        <v>94</v>
      </c>
      <c r="AZ342" s="106" t="s">
        <v>94</v>
      </c>
      <c r="BA342" s="73" t="s">
        <v>77</v>
      </c>
      <c r="BB342" s="106" t="s">
        <v>98</v>
      </c>
      <c r="BC342" s="106">
        <v>31</v>
      </c>
      <c r="BD342" s="106" t="s">
        <v>98</v>
      </c>
      <c r="BE342" s="211" t="str">
        <f t="shared" si="576"/>
        <v>364, POYOWA BESAR,</v>
      </c>
    </row>
    <row r="343" spans="1:57" s="211" customFormat="1" ht="15.75" customHeight="1">
      <c r="A343" s="218"/>
      <c r="B343" s="219"/>
      <c r="C343" s="219"/>
      <c r="D343" s="219"/>
      <c r="E343" s="219"/>
      <c r="F343" s="219"/>
      <c r="G343" s="220"/>
      <c r="H343" s="12">
        <v>14</v>
      </c>
      <c r="I343" s="64" t="str">
        <f t="shared" ref="I343:L343" si="649">I342</f>
        <v>MR.KPBS.P039</v>
      </c>
      <c r="J343" s="64">
        <f t="shared" si="649"/>
        <v>0.71115094810000001</v>
      </c>
      <c r="K343" s="64">
        <f t="shared" si="649"/>
        <v>124.322407653</v>
      </c>
      <c r="L343" s="64" t="str">
        <f t="shared" si="649"/>
        <v>JL. RAYA POYOWA BESAR</v>
      </c>
      <c r="M343" s="64" t="str">
        <f t="shared" si="613"/>
        <v>SULAWESU UTARA</v>
      </c>
      <c r="N343" s="65" t="s">
        <v>105</v>
      </c>
      <c r="O343" s="66" t="s">
        <v>118</v>
      </c>
      <c r="P343" s="65" t="s">
        <v>119</v>
      </c>
      <c r="Q343" s="66">
        <v>95717</v>
      </c>
      <c r="R343" s="98"/>
      <c r="S343" s="99"/>
      <c r="T343" s="100"/>
      <c r="U343" s="99"/>
      <c r="V343" s="100"/>
      <c r="W343" s="97" t="s">
        <v>105</v>
      </c>
      <c r="X343" s="101"/>
      <c r="Y343" s="64" t="s">
        <v>106</v>
      </c>
      <c r="Z343" s="64" t="str">
        <f t="shared" si="611"/>
        <v>KELURAHAN POYOWA BESAR SATU KOTAMOBAGU</v>
      </c>
      <c r="AA343" s="102"/>
      <c r="AB343" s="102"/>
      <c r="AC343" s="102" t="s">
        <v>70</v>
      </c>
      <c r="AD343" s="64" t="str">
        <f t="shared" ref="AD343" si="650">AD342</f>
        <v>POYOWA BESAR</v>
      </c>
      <c r="AE343" s="103"/>
      <c r="AF343" s="103"/>
      <c r="AG343" s="103"/>
      <c r="AH343" s="103"/>
      <c r="AI343" s="104"/>
      <c r="AJ343" s="11" t="s">
        <v>569</v>
      </c>
      <c r="AK343" s="102" t="s">
        <v>96</v>
      </c>
      <c r="AL343" s="106"/>
      <c r="AM343" s="106"/>
      <c r="AN343" s="106"/>
      <c r="AO343" s="106"/>
      <c r="AP343" s="106"/>
      <c r="AQ343" s="180" t="s">
        <v>97</v>
      </c>
      <c r="AR343" s="70" t="s">
        <v>349</v>
      </c>
      <c r="AS343" s="71" t="str">
        <f t="shared" ref="AS343:AT343" si="651">AS342</f>
        <v>KPBS-1.019</v>
      </c>
      <c r="AT343" s="71" t="str">
        <f t="shared" si="651"/>
        <v>B15</v>
      </c>
      <c r="AU343" s="105"/>
      <c r="AV343" s="202">
        <v>0.71098252309999999</v>
      </c>
      <c r="AW343" s="202">
        <v>124.322142531</v>
      </c>
      <c r="AX343" s="106" t="s">
        <v>98</v>
      </c>
      <c r="AY343" s="106" t="s">
        <v>94</v>
      </c>
      <c r="AZ343" s="106" t="s">
        <v>94</v>
      </c>
      <c r="BA343" s="73" t="s">
        <v>77</v>
      </c>
      <c r="BB343" s="106" t="s">
        <v>98</v>
      </c>
      <c r="BC343" s="106">
        <v>31</v>
      </c>
      <c r="BD343" s="106" t="s">
        <v>98</v>
      </c>
      <c r="BE343" s="211" t="str">
        <f t="shared" si="576"/>
        <v>365, POYOWA BESAR,</v>
      </c>
    </row>
    <row r="344" spans="1:57" s="211" customFormat="1" ht="15.75" customHeight="1">
      <c r="A344" s="34" t="s">
        <v>104</v>
      </c>
      <c r="B344" s="34">
        <f>B330+1</f>
        <v>24</v>
      </c>
      <c r="C344" s="33" t="s">
        <v>350</v>
      </c>
      <c r="D344" s="33" t="s">
        <v>348</v>
      </c>
      <c r="E344" s="33">
        <v>1</v>
      </c>
      <c r="F344" s="33">
        <v>1</v>
      </c>
      <c r="G344" s="213" t="s">
        <v>255</v>
      </c>
      <c r="H344" s="35">
        <v>1</v>
      </c>
      <c r="I344" s="48" t="s">
        <v>319</v>
      </c>
      <c r="J344" s="139">
        <v>0.71360364620000005</v>
      </c>
      <c r="K344" s="139">
        <v>124.32482829769999</v>
      </c>
      <c r="L344" s="116" t="s">
        <v>116</v>
      </c>
      <c r="M344" s="48" t="s">
        <v>117</v>
      </c>
      <c r="N344" s="50" t="s">
        <v>105</v>
      </c>
      <c r="O344" s="114" t="s">
        <v>118</v>
      </c>
      <c r="P344" s="50" t="s">
        <v>119</v>
      </c>
      <c r="Q344" s="49">
        <v>95717</v>
      </c>
      <c r="R344" s="51"/>
      <c r="S344" s="52"/>
      <c r="T344" s="53"/>
      <c r="U344" s="52"/>
      <c r="V344" s="53"/>
      <c r="W344" s="50" t="s">
        <v>105</v>
      </c>
      <c r="X344" s="54"/>
      <c r="Y344" s="54" t="s">
        <v>106</v>
      </c>
      <c r="Z344" s="54" t="s">
        <v>106</v>
      </c>
      <c r="AA344" s="55"/>
      <c r="AB344" s="55"/>
      <c r="AC344" s="55" t="s">
        <v>70</v>
      </c>
      <c r="AD344" s="116" t="s">
        <v>119</v>
      </c>
      <c r="AE344" s="57"/>
      <c r="AF344" s="57"/>
      <c r="AG344" s="57"/>
      <c r="AH344" s="57"/>
      <c r="AI344" s="58"/>
      <c r="AJ344" s="114" t="s">
        <v>570</v>
      </c>
      <c r="AK344" s="55" t="s">
        <v>96</v>
      </c>
      <c r="AL344" s="196"/>
      <c r="AM344" s="196"/>
      <c r="AN344" s="62"/>
      <c r="AO344" s="62"/>
      <c r="AP344" s="62"/>
      <c r="AQ344" s="185" t="s">
        <v>97</v>
      </c>
      <c r="AR344" s="59" t="s">
        <v>349</v>
      </c>
      <c r="AS344" s="60" t="str">
        <f>D6</f>
        <v>KPBS-1.019</v>
      </c>
      <c r="AT344" s="60" t="str">
        <f>G344</f>
        <v>C01</v>
      </c>
      <c r="AU344" s="61"/>
      <c r="AV344" s="201">
        <v>0.71384630709999997</v>
      </c>
      <c r="AW344" s="201">
        <v>124.325165566</v>
      </c>
      <c r="AX344" s="62" t="s">
        <v>98</v>
      </c>
      <c r="AY344" s="62" t="s">
        <v>94</v>
      </c>
      <c r="AZ344" s="62" t="s">
        <v>94</v>
      </c>
      <c r="BA344" s="63" t="s">
        <v>77</v>
      </c>
      <c r="BB344" s="62" t="s">
        <v>98</v>
      </c>
      <c r="BC344" s="62">
        <v>31</v>
      </c>
      <c r="BD344" s="62" t="s">
        <v>98</v>
      </c>
      <c r="BE344" s="211" t="str">
        <f>AJ344&amp;", "&amp;AD344&amp;","&amp;AI344</f>
        <v>183, POYOWA BESAR,</v>
      </c>
    </row>
    <row r="345" spans="1:57" s="211" customFormat="1" ht="15.75" customHeight="1">
      <c r="A345" s="45"/>
      <c r="B345" s="45"/>
      <c r="C345" s="22" t="s">
        <v>350</v>
      </c>
      <c r="D345" s="22" t="s">
        <v>348</v>
      </c>
      <c r="E345" s="33">
        <v>1</v>
      </c>
      <c r="F345" s="22">
        <f>F344+1</f>
        <v>2</v>
      </c>
      <c r="G345" s="213"/>
      <c r="H345" s="23">
        <v>2</v>
      </c>
      <c r="I345" s="64" t="str">
        <f>I344</f>
        <v>MR.KPBS.P040</v>
      </c>
      <c r="J345" s="64">
        <f t="shared" ref="J345:M347" si="652">J344</f>
        <v>0.71360364620000005</v>
      </c>
      <c r="K345" s="64">
        <f t="shared" si="652"/>
        <v>124.32482829769999</v>
      </c>
      <c r="L345" s="64" t="str">
        <f>L344</f>
        <v>JL. RAYA POYOWA BESAR</v>
      </c>
      <c r="M345" s="64" t="str">
        <f>M344</f>
        <v>SULAWESI UTARA</v>
      </c>
      <c r="N345" s="65" t="s">
        <v>105</v>
      </c>
      <c r="O345" s="66" t="s">
        <v>118</v>
      </c>
      <c r="P345" s="65" t="s">
        <v>119</v>
      </c>
      <c r="Q345" s="66">
        <v>95717</v>
      </c>
      <c r="R345" s="67"/>
      <c r="S345" s="68"/>
      <c r="T345" s="68"/>
      <c r="U345" s="68"/>
      <c r="V345" s="68"/>
      <c r="W345" s="65" t="s">
        <v>105</v>
      </c>
      <c r="X345" s="64"/>
      <c r="Y345" s="64" t="s">
        <v>106</v>
      </c>
      <c r="Z345" s="64" t="str">
        <f t="shared" ref="Z345:Z378" si="653">Z344</f>
        <v>KELURAHAN POYOWA BESAR SATU KOTAMOBAGU</v>
      </c>
      <c r="AA345" s="65"/>
      <c r="AB345" s="65"/>
      <c r="AC345" s="65" t="s">
        <v>70</v>
      </c>
      <c r="AD345" s="64" t="str">
        <f>AD344</f>
        <v>POYOWA BESAR</v>
      </c>
      <c r="AE345" s="67"/>
      <c r="AF345" s="67"/>
      <c r="AG345" s="67"/>
      <c r="AH345" s="67"/>
      <c r="AI345" s="69"/>
      <c r="AJ345" s="11" t="s">
        <v>571</v>
      </c>
      <c r="AK345" s="65" t="s">
        <v>96</v>
      </c>
      <c r="AL345" s="65"/>
      <c r="AM345" s="65"/>
      <c r="AN345" s="65"/>
      <c r="AO345" s="65"/>
      <c r="AP345" s="65"/>
      <c r="AQ345" s="177" t="s">
        <v>97</v>
      </c>
      <c r="AR345" s="70" t="s">
        <v>349</v>
      </c>
      <c r="AS345" s="71" t="str">
        <f>AS344</f>
        <v>KPBS-1.019</v>
      </c>
      <c r="AT345" s="71" t="str">
        <f>AT344</f>
        <v>C01</v>
      </c>
      <c r="AU345" s="72"/>
      <c r="AV345" s="202">
        <v>0.71360295309999899</v>
      </c>
      <c r="AW345" s="202">
        <v>124.3247067305</v>
      </c>
      <c r="AX345" s="65" t="s">
        <v>98</v>
      </c>
      <c r="AY345" s="65" t="s">
        <v>94</v>
      </c>
      <c r="AZ345" s="65" t="s">
        <v>94</v>
      </c>
      <c r="BA345" s="73" t="s">
        <v>77</v>
      </c>
      <c r="BB345" s="65" t="s">
        <v>98</v>
      </c>
      <c r="BC345" s="65">
        <v>31</v>
      </c>
      <c r="BD345" s="65" t="s">
        <v>98</v>
      </c>
      <c r="BE345" s="211" t="str">
        <f t="shared" ref="BE345:BE400" si="654">AJ345&amp;", "&amp;AD345&amp;","&amp;AI345</f>
        <v>171, POYOWA BESAR,</v>
      </c>
    </row>
    <row r="346" spans="1:57" s="211" customFormat="1" ht="15.75" customHeight="1">
      <c r="A346" s="221"/>
      <c r="B346" s="222"/>
      <c r="C346" s="222"/>
      <c r="D346" s="222"/>
      <c r="E346" s="222"/>
      <c r="F346" s="222"/>
      <c r="G346" s="223"/>
      <c r="H346" s="23">
        <v>3</v>
      </c>
      <c r="I346" s="64" t="str">
        <f t="shared" ref="I346:M357" si="655">I345</f>
        <v>MR.KPBS.P040</v>
      </c>
      <c r="J346" s="64">
        <f t="shared" si="655"/>
        <v>0.71360364620000005</v>
      </c>
      <c r="K346" s="64">
        <f t="shared" si="652"/>
        <v>124.32482829769999</v>
      </c>
      <c r="L346" s="64" t="str">
        <f t="shared" si="652"/>
        <v>JL. RAYA POYOWA BESAR</v>
      </c>
      <c r="M346" s="64" t="str">
        <f t="shared" si="652"/>
        <v>SULAWESI UTARA</v>
      </c>
      <c r="N346" s="65" t="s">
        <v>105</v>
      </c>
      <c r="O346" s="66" t="s">
        <v>118</v>
      </c>
      <c r="P346" s="65" t="s">
        <v>119</v>
      </c>
      <c r="Q346" s="66">
        <v>95717</v>
      </c>
      <c r="R346" s="67"/>
      <c r="S346" s="68"/>
      <c r="T346" s="68"/>
      <c r="U346" s="68"/>
      <c r="V346" s="68"/>
      <c r="W346" s="65" t="s">
        <v>105</v>
      </c>
      <c r="X346" s="64"/>
      <c r="Y346" s="64" t="s">
        <v>106</v>
      </c>
      <c r="Z346" s="64" t="str">
        <f t="shared" si="653"/>
        <v>KELURAHAN POYOWA BESAR SATU KOTAMOBAGU</v>
      </c>
      <c r="AA346" s="65"/>
      <c r="AB346" s="65"/>
      <c r="AC346" s="65" t="s">
        <v>70</v>
      </c>
      <c r="AD346" s="64" t="str">
        <f t="shared" ref="AD346:AD359" si="656">AD345</f>
        <v>POYOWA BESAR</v>
      </c>
      <c r="AE346" s="67"/>
      <c r="AF346" s="67"/>
      <c r="AG346" s="67"/>
      <c r="AH346" s="67"/>
      <c r="AI346" s="69"/>
      <c r="AJ346" s="11" t="s">
        <v>572</v>
      </c>
      <c r="AK346" s="65" t="s">
        <v>96</v>
      </c>
      <c r="AL346" s="65"/>
      <c r="AM346" s="65"/>
      <c r="AN346" s="65"/>
      <c r="AO346" s="65"/>
      <c r="AP346" s="65"/>
      <c r="AQ346" s="177" t="s">
        <v>97</v>
      </c>
      <c r="AR346" s="70" t="s">
        <v>349</v>
      </c>
      <c r="AS346" s="71" t="str">
        <f t="shared" ref="AS346:AT361" si="657">AS345</f>
        <v>KPBS-1.019</v>
      </c>
      <c r="AT346" s="71" t="str">
        <f t="shared" si="657"/>
        <v>C01</v>
      </c>
      <c r="AU346" s="72"/>
      <c r="AV346" s="202">
        <v>0.71384630709999997</v>
      </c>
      <c r="AW346" s="202">
        <v>124.32483976570001</v>
      </c>
      <c r="AX346" s="65" t="s">
        <v>98</v>
      </c>
      <c r="AY346" s="65" t="s">
        <v>94</v>
      </c>
      <c r="AZ346" s="65" t="s">
        <v>94</v>
      </c>
      <c r="BA346" s="73" t="s">
        <v>77</v>
      </c>
      <c r="BB346" s="65" t="s">
        <v>98</v>
      </c>
      <c r="BC346" s="65">
        <v>31</v>
      </c>
      <c r="BD346" s="65" t="s">
        <v>98</v>
      </c>
      <c r="BE346" s="211" t="str">
        <f t="shared" si="654"/>
        <v>173, POYOWA BESAR,</v>
      </c>
    </row>
    <row r="347" spans="1:57" s="211" customFormat="1" ht="15.75" customHeight="1">
      <c r="A347" s="224"/>
      <c r="B347" s="225"/>
      <c r="C347" s="225"/>
      <c r="D347" s="225"/>
      <c r="E347" s="225"/>
      <c r="F347" s="225"/>
      <c r="G347" s="226"/>
      <c r="H347" s="23">
        <v>4</v>
      </c>
      <c r="I347" s="64" t="str">
        <f t="shared" si="655"/>
        <v>MR.KPBS.P040</v>
      </c>
      <c r="J347" s="64">
        <f t="shared" si="655"/>
        <v>0.71360364620000005</v>
      </c>
      <c r="K347" s="64">
        <f t="shared" si="652"/>
        <v>124.32482829769999</v>
      </c>
      <c r="L347" s="64" t="str">
        <f t="shared" si="652"/>
        <v>JL. RAYA POYOWA BESAR</v>
      </c>
      <c r="M347" s="64" t="str">
        <f t="shared" si="652"/>
        <v>SULAWESI UTARA</v>
      </c>
      <c r="N347" s="65" t="s">
        <v>105</v>
      </c>
      <c r="O347" s="66" t="s">
        <v>118</v>
      </c>
      <c r="P347" s="65" t="s">
        <v>119</v>
      </c>
      <c r="Q347" s="66">
        <v>95717</v>
      </c>
      <c r="R347" s="67"/>
      <c r="S347" s="68"/>
      <c r="T347" s="68"/>
      <c r="U347" s="68"/>
      <c r="V347" s="68"/>
      <c r="W347" s="65" t="s">
        <v>105</v>
      </c>
      <c r="X347" s="64"/>
      <c r="Y347" s="64" t="s">
        <v>106</v>
      </c>
      <c r="Z347" s="64" t="str">
        <f t="shared" si="653"/>
        <v>KELURAHAN POYOWA BESAR SATU KOTAMOBAGU</v>
      </c>
      <c r="AA347" s="65"/>
      <c r="AB347" s="65"/>
      <c r="AC347" s="65" t="s">
        <v>70</v>
      </c>
      <c r="AD347" s="64" t="str">
        <f t="shared" si="656"/>
        <v>POYOWA BESAR</v>
      </c>
      <c r="AE347" s="69"/>
      <c r="AF347" s="69"/>
      <c r="AG347" s="69"/>
      <c r="AH347" s="69"/>
      <c r="AI347" s="69"/>
      <c r="AJ347" s="11" t="s">
        <v>573</v>
      </c>
      <c r="AK347" s="65" t="s">
        <v>96</v>
      </c>
      <c r="AL347" s="65"/>
      <c r="AM347" s="65"/>
      <c r="AN347" s="65"/>
      <c r="AO347" s="65"/>
      <c r="AP347" s="65"/>
      <c r="AQ347" s="177" t="s">
        <v>97</v>
      </c>
      <c r="AR347" s="70" t="s">
        <v>349</v>
      </c>
      <c r="AS347" s="71" t="str">
        <f t="shared" si="657"/>
        <v>KPBS-1.019</v>
      </c>
      <c r="AT347" s="71" t="str">
        <f t="shared" si="657"/>
        <v>C01</v>
      </c>
      <c r="AU347" s="72"/>
      <c r="AV347" s="202">
        <v>0.71376484220000003</v>
      </c>
      <c r="AW347" s="202">
        <v>124.3248044706</v>
      </c>
      <c r="AX347" s="65" t="s">
        <v>98</v>
      </c>
      <c r="AY347" s="65" t="s">
        <v>94</v>
      </c>
      <c r="AZ347" s="65" t="s">
        <v>94</v>
      </c>
      <c r="BA347" s="73" t="s">
        <v>77</v>
      </c>
      <c r="BB347" s="65" t="s">
        <v>98</v>
      </c>
      <c r="BC347" s="65">
        <v>31</v>
      </c>
      <c r="BD347" s="65" t="s">
        <v>98</v>
      </c>
      <c r="BE347" s="211" t="str">
        <f t="shared" si="654"/>
        <v>172, POYOWA BESAR,</v>
      </c>
    </row>
    <row r="348" spans="1:57" s="211" customFormat="1" ht="15.75" customHeight="1">
      <c r="A348" s="224"/>
      <c r="B348" s="225"/>
      <c r="C348" s="225"/>
      <c r="D348" s="225"/>
      <c r="E348" s="225"/>
      <c r="F348" s="225"/>
      <c r="G348" s="226"/>
      <c r="H348" s="23">
        <v>5</v>
      </c>
      <c r="I348" s="64" t="str">
        <f t="shared" si="655"/>
        <v>MR.KPBS.P040</v>
      </c>
      <c r="J348" s="64">
        <f t="shared" si="655"/>
        <v>0.71360364620000005</v>
      </c>
      <c r="K348" s="64">
        <f t="shared" si="655"/>
        <v>124.32482829769999</v>
      </c>
      <c r="L348" s="64" t="str">
        <f t="shared" si="655"/>
        <v>JL. RAYA POYOWA BESAR</v>
      </c>
      <c r="M348" s="64" t="str">
        <f t="shared" si="655"/>
        <v>SULAWESI UTARA</v>
      </c>
      <c r="N348" s="65" t="s">
        <v>105</v>
      </c>
      <c r="O348" s="66" t="s">
        <v>118</v>
      </c>
      <c r="P348" s="65" t="s">
        <v>119</v>
      </c>
      <c r="Q348" s="66">
        <v>95717</v>
      </c>
      <c r="R348" s="67"/>
      <c r="S348" s="68"/>
      <c r="T348" s="68"/>
      <c r="U348" s="68"/>
      <c r="V348" s="68"/>
      <c r="W348" s="65" t="s">
        <v>105</v>
      </c>
      <c r="X348" s="64"/>
      <c r="Y348" s="64" t="s">
        <v>106</v>
      </c>
      <c r="Z348" s="64" t="str">
        <f t="shared" si="653"/>
        <v>KELURAHAN POYOWA BESAR SATU KOTAMOBAGU</v>
      </c>
      <c r="AA348" s="65"/>
      <c r="AB348" s="65"/>
      <c r="AC348" s="65" t="s">
        <v>70</v>
      </c>
      <c r="AD348" s="64" t="str">
        <f t="shared" si="656"/>
        <v>POYOWA BESAR</v>
      </c>
      <c r="AE348" s="67"/>
      <c r="AF348" s="67"/>
      <c r="AG348" s="67"/>
      <c r="AH348" s="67"/>
      <c r="AI348" s="69"/>
      <c r="AJ348" s="11" t="s">
        <v>574</v>
      </c>
      <c r="AK348" s="65" t="s">
        <v>96</v>
      </c>
      <c r="AL348" s="65"/>
      <c r="AM348" s="65"/>
      <c r="AN348" s="65"/>
      <c r="AO348" s="65"/>
      <c r="AP348" s="65"/>
      <c r="AQ348" s="177" t="s">
        <v>97</v>
      </c>
      <c r="AR348" s="70" t="s">
        <v>349</v>
      </c>
      <c r="AS348" s="71" t="str">
        <f t="shared" si="657"/>
        <v>KPBS-1.019</v>
      </c>
      <c r="AT348" s="71" t="str">
        <f t="shared" si="657"/>
        <v>C01</v>
      </c>
      <c r="AU348" s="72"/>
      <c r="AV348" s="202">
        <v>0.71343931360000001</v>
      </c>
      <c r="AW348" s="202">
        <v>124.3247691247</v>
      </c>
      <c r="AX348" s="65" t="s">
        <v>98</v>
      </c>
      <c r="AY348" s="65" t="s">
        <v>94</v>
      </c>
      <c r="AZ348" s="65" t="s">
        <v>94</v>
      </c>
      <c r="BA348" s="73" t="s">
        <v>77</v>
      </c>
      <c r="BB348" s="65" t="s">
        <v>98</v>
      </c>
      <c r="BC348" s="65">
        <v>31</v>
      </c>
      <c r="BD348" s="65" t="s">
        <v>98</v>
      </c>
      <c r="BE348" s="211" t="str">
        <f t="shared" si="654"/>
        <v>170, POYOWA BESAR,</v>
      </c>
    </row>
    <row r="349" spans="1:57" s="211" customFormat="1" ht="15.75" customHeight="1">
      <c r="A349" s="224"/>
      <c r="B349" s="225"/>
      <c r="C349" s="225"/>
      <c r="D349" s="225"/>
      <c r="E349" s="225"/>
      <c r="F349" s="225"/>
      <c r="G349" s="226"/>
      <c r="H349" s="23">
        <v>6</v>
      </c>
      <c r="I349" s="64" t="str">
        <f t="shared" si="655"/>
        <v>MR.KPBS.P040</v>
      </c>
      <c r="J349" s="64">
        <f t="shared" si="655"/>
        <v>0.71360364620000005</v>
      </c>
      <c r="K349" s="64">
        <f t="shared" si="655"/>
        <v>124.32482829769999</v>
      </c>
      <c r="L349" s="64" t="str">
        <f t="shared" si="655"/>
        <v>JL. RAYA POYOWA BESAR</v>
      </c>
      <c r="M349" s="64" t="str">
        <f t="shared" si="655"/>
        <v>SULAWESI UTARA</v>
      </c>
      <c r="N349" s="65" t="s">
        <v>105</v>
      </c>
      <c r="O349" s="66" t="s">
        <v>118</v>
      </c>
      <c r="P349" s="65" t="s">
        <v>119</v>
      </c>
      <c r="Q349" s="66">
        <v>95717</v>
      </c>
      <c r="R349" s="67"/>
      <c r="S349" s="68"/>
      <c r="T349" s="68"/>
      <c r="U349" s="68"/>
      <c r="V349" s="68"/>
      <c r="W349" s="65" t="s">
        <v>105</v>
      </c>
      <c r="X349" s="64"/>
      <c r="Y349" s="64" t="s">
        <v>106</v>
      </c>
      <c r="Z349" s="64" t="str">
        <f t="shared" si="653"/>
        <v>KELURAHAN POYOWA BESAR SATU KOTAMOBAGU</v>
      </c>
      <c r="AA349" s="65"/>
      <c r="AB349" s="65"/>
      <c r="AC349" s="65" t="s">
        <v>70</v>
      </c>
      <c r="AD349" s="64" t="str">
        <f t="shared" si="656"/>
        <v>POYOWA BESAR</v>
      </c>
      <c r="AE349" s="67"/>
      <c r="AF349" s="67"/>
      <c r="AG349" s="67"/>
      <c r="AH349" s="67"/>
      <c r="AI349" s="69"/>
      <c r="AJ349" s="11" t="s">
        <v>575</v>
      </c>
      <c r="AK349" s="65" t="s">
        <v>96</v>
      </c>
      <c r="AL349" s="65"/>
      <c r="AM349" s="65"/>
      <c r="AN349" s="65"/>
      <c r="AO349" s="65"/>
      <c r="AP349" s="65"/>
      <c r="AQ349" s="177" t="s">
        <v>97</v>
      </c>
      <c r="AR349" s="70" t="s">
        <v>349</v>
      </c>
      <c r="AS349" s="71" t="str">
        <f t="shared" ref="AS349:AT349" si="658">AS348</f>
        <v>KPBS-1.019</v>
      </c>
      <c r="AT349" s="71" t="str">
        <f t="shared" si="658"/>
        <v>C01</v>
      </c>
      <c r="AU349" s="72"/>
      <c r="AV349" s="202">
        <v>0.71347219979999998</v>
      </c>
      <c r="AW349" s="202">
        <v>124.3248709882</v>
      </c>
      <c r="AX349" s="65" t="s">
        <v>98</v>
      </c>
      <c r="AY349" s="65" t="s">
        <v>94</v>
      </c>
      <c r="AZ349" s="65" t="s">
        <v>94</v>
      </c>
      <c r="BA349" s="73" t="s">
        <v>77</v>
      </c>
      <c r="BB349" s="65" t="s">
        <v>98</v>
      </c>
      <c r="BC349" s="65">
        <v>32</v>
      </c>
      <c r="BD349" s="65" t="s">
        <v>98</v>
      </c>
      <c r="BE349" s="211" t="str">
        <f t="shared" ref="BE349:BE356" si="659">AJ349&amp;", "&amp;AD349&amp;","&amp;AI349</f>
        <v>176, POYOWA BESAR,</v>
      </c>
    </row>
    <row r="350" spans="1:57" s="211" customFormat="1" ht="15.75" customHeight="1">
      <c r="A350" s="224"/>
      <c r="B350" s="225"/>
      <c r="C350" s="225"/>
      <c r="D350" s="225"/>
      <c r="E350" s="225"/>
      <c r="F350" s="225"/>
      <c r="G350" s="226"/>
      <c r="H350" s="23">
        <v>7</v>
      </c>
      <c r="I350" s="64" t="str">
        <f t="shared" si="655"/>
        <v>MR.KPBS.P040</v>
      </c>
      <c r="J350" s="64">
        <f t="shared" si="655"/>
        <v>0.71360364620000005</v>
      </c>
      <c r="K350" s="64">
        <f t="shared" si="655"/>
        <v>124.32482829769999</v>
      </c>
      <c r="L350" s="64" t="str">
        <f t="shared" si="655"/>
        <v>JL. RAYA POYOWA BESAR</v>
      </c>
      <c r="M350" s="64" t="str">
        <f t="shared" si="655"/>
        <v>SULAWESI UTARA</v>
      </c>
      <c r="N350" s="65" t="s">
        <v>105</v>
      </c>
      <c r="O350" s="66" t="s">
        <v>118</v>
      </c>
      <c r="P350" s="65" t="s">
        <v>119</v>
      </c>
      <c r="Q350" s="66">
        <v>95717</v>
      </c>
      <c r="R350" s="67"/>
      <c r="S350" s="68"/>
      <c r="T350" s="68"/>
      <c r="U350" s="68"/>
      <c r="V350" s="68"/>
      <c r="W350" s="65" t="s">
        <v>105</v>
      </c>
      <c r="X350" s="64"/>
      <c r="Y350" s="64" t="s">
        <v>106</v>
      </c>
      <c r="Z350" s="64" t="str">
        <f t="shared" si="653"/>
        <v>KELURAHAN POYOWA BESAR SATU KOTAMOBAGU</v>
      </c>
      <c r="AA350" s="65"/>
      <c r="AB350" s="65"/>
      <c r="AC350" s="65" t="s">
        <v>70</v>
      </c>
      <c r="AD350" s="64" t="str">
        <f t="shared" si="656"/>
        <v>POYOWA BESAR</v>
      </c>
      <c r="AE350" s="67"/>
      <c r="AF350" s="67"/>
      <c r="AG350" s="67"/>
      <c r="AH350" s="67"/>
      <c r="AI350" s="69"/>
      <c r="AJ350" s="11" t="s">
        <v>576</v>
      </c>
      <c r="AK350" s="65" t="s">
        <v>96</v>
      </c>
      <c r="AL350" s="65"/>
      <c r="AM350" s="65"/>
      <c r="AN350" s="65"/>
      <c r="AO350" s="65"/>
      <c r="AP350" s="65"/>
      <c r="AQ350" s="177" t="s">
        <v>97</v>
      </c>
      <c r="AR350" s="70" t="s">
        <v>349</v>
      </c>
      <c r="AS350" s="71" t="str">
        <f t="shared" ref="AS350:AT350" si="660">AS349</f>
        <v>KPBS-1.019</v>
      </c>
      <c r="AT350" s="71" t="str">
        <f t="shared" si="660"/>
        <v>C01</v>
      </c>
      <c r="AU350" s="72"/>
      <c r="AV350" s="202">
        <v>0.71363288209999998</v>
      </c>
      <c r="AW350" s="202">
        <v>124.3247800355</v>
      </c>
      <c r="AX350" s="65" t="s">
        <v>98</v>
      </c>
      <c r="AY350" s="65" t="s">
        <v>94</v>
      </c>
      <c r="AZ350" s="65" t="s">
        <v>94</v>
      </c>
      <c r="BA350" s="73" t="s">
        <v>77</v>
      </c>
      <c r="BB350" s="65" t="s">
        <v>98</v>
      </c>
      <c r="BC350" s="65">
        <v>33</v>
      </c>
      <c r="BD350" s="65" t="s">
        <v>98</v>
      </c>
      <c r="BE350" s="211" t="str">
        <f t="shared" si="659"/>
        <v>174, POYOWA BESAR,</v>
      </c>
    </row>
    <row r="351" spans="1:57" s="211" customFormat="1" ht="15.75" customHeight="1">
      <c r="A351" s="224"/>
      <c r="B351" s="225"/>
      <c r="C351" s="225"/>
      <c r="D351" s="225"/>
      <c r="E351" s="225"/>
      <c r="F351" s="225"/>
      <c r="G351" s="226"/>
      <c r="H351" s="23">
        <v>8</v>
      </c>
      <c r="I351" s="64" t="str">
        <f t="shared" si="655"/>
        <v>MR.KPBS.P040</v>
      </c>
      <c r="J351" s="64">
        <f t="shared" si="655"/>
        <v>0.71360364620000005</v>
      </c>
      <c r="K351" s="64">
        <f t="shared" si="655"/>
        <v>124.32482829769999</v>
      </c>
      <c r="L351" s="64" t="str">
        <f t="shared" si="655"/>
        <v>JL. RAYA POYOWA BESAR</v>
      </c>
      <c r="M351" s="64" t="str">
        <f t="shared" si="655"/>
        <v>SULAWESI UTARA</v>
      </c>
      <c r="N351" s="65" t="s">
        <v>105</v>
      </c>
      <c r="O351" s="66" t="s">
        <v>118</v>
      </c>
      <c r="P351" s="65" t="s">
        <v>119</v>
      </c>
      <c r="Q351" s="66">
        <v>95717</v>
      </c>
      <c r="R351" s="67"/>
      <c r="S351" s="68"/>
      <c r="T351" s="68"/>
      <c r="U351" s="68"/>
      <c r="V351" s="68"/>
      <c r="W351" s="65" t="s">
        <v>105</v>
      </c>
      <c r="X351" s="64"/>
      <c r="Y351" s="64" t="s">
        <v>106</v>
      </c>
      <c r="Z351" s="64" t="str">
        <f t="shared" si="653"/>
        <v>KELURAHAN POYOWA BESAR SATU KOTAMOBAGU</v>
      </c>
      <c r="AA351" s="65"/>
      <c r="AB351" s="65"/>
      <c r="AC351" s="65" t="s">
        <v>70</v>
      </c>
      <c r="AD351" s="64" t="str">
        <f t="shared" si="656"/>
        <v>POYOWA BESAR</v>
      </c>
      <c r="AE351" s="67"/>
      <c r="AF351" s="67"/>
      <c r="AG351" s="67"/>
      <c r="AH351" s="67"/>
      <c r="AI351" s="69"/>
      <c r="AJ351" s="11" t="s">
        <v>577</v>
      </c>
      <c r="AK351" s="65" t="s">
        <v>96</v>
      </c>
      <c r="AL351" s="65"/>
      <c r="AM351" s="65"/>
      <c r="AN351" s="65"/>
      <c r="AO351" s="65"/>
      <c r="AP351" s="65"/>
      <c r="AQ351" s="177" t="s">
        <v>97</v>
      </c>
      <c r="AR351" s="70" t="s">
        <v>349</v>
      </c>
      <c r="AS351" s="71" t="str">
        <f t="shared" ref="AS351:AT351" si="661">AS350</f>
        <v>KPBS-1.019</v>
      </c>
      <c r="AT351" s="71" t="str">
        <f t="shared" si="661"/>
        <v>C01</v>
      </c>
      <c r="AU351" s="72"/>
      <c r="AV351" s="202">
        <v>0.71367082010000005</v>
      </c>
      <c r="AW351" s="202">
        <v>124.3248709882</v>
      </c>
      <c r="AX351" s="65" t="s">
        <v>98</v>
      </c>
      <c r="AY351" s="65" t="s">
        <v>94</v>
      </c>
      <c r="AZ351" s="65" t="s">
        <v>94</v>
      </c>
      <c r="BA351" s="73" t="s">
        <v>77</v>
      </c>
      <c r="BB351" s="65" t="s">
        <v>98</v>
      </c>
      <c r="BC351" s="65">
        <v>34</v>
      </c>
      <c r="BD351" s="65" t="s">
        <v>98</v>
      </c>
      <c r="BE351" s="211" t="str">
        <f t="shared" si="659"/>
        <v>175, POYOWA BESAR,</v>
      </c>
    </row>
    <row r="352" spans="1:57" s="211" customFormat="1" ht="15.75" customHeight="1">
      <c r="A352" s="224"/>
      <c r="B352" s="225"/>
      <c r="C352" s="225"/>
      <c r="D352" s="225"/>
      <c r="E352" s="225"/>
      <c r="F352" s="225"/>
      <c r="G352" s="226"/>
      <c r="H352" s="23">
        <v>9</v>
      </c>
      <c r="I352" s="64" t="str">
        <f t="shared" si="655"/>
        <v>MR.KPBS.P040</v>
      </c>
      <c r="J352" s="64">
        <f t="shared" si="655"/>
        <v>0.71360364620000005</v>
      </c>
      <c r="K352" s="64">
        <f t="shared" si="655"/>
        <v>124.32482829769999</v>
      </c>
      <c r="L352" s="64" t="str">
        <f t="shared" si="655"/>
        <v>JL. RAYA POYOWA BESAR</v>
      </c>
      <c r="M352" s="64" t="str">
        <f t="shared" si="655"/>
        <v>SULAWESI UTARA</v>
      </c>
      <c r="N352" s="65" t="s">
        <v>105</v>
      </c>
      <c r="O352" s="66" t="s">
        <v>118</v>
      </c>
      <c r="P352" s="65" t="s">
        <v>119</v>
      </c>
      <c r="Q352" s="66">
        <v>95717</v>
      </c>
      <c r="R352" s="67"/>
      <c r="S352" s="68"/>
      <c r="T352" s="68"/>
      <c r="U352" s="68"/>
      <c r="V352" s="68"/>
      <c r="W352" s="65" t="s">
        <v>105</v>
      </c>
      <c r="X352" s="64"/>
      <c r="Y352" s="64" t="s">
        <v>106</v>
      </c>
      <c r="Z352" s="64" t="str">
        <f t="shared" si="653"/>
        <v>KELURAHAN POYOWA BESAR SATU KOTAMOBAGU</v>
      </c>
      <c r="AA352" s="65"/>
      <c r="AB352" s="65"/>
      <c r="AC352" s="65" t="s">
        <v>70</v>
      </c>
      <c r="AD352" s="64" t="str">
        <f t="shared" si="656"/>
        <v>POYOWA BESAR</v>
      </c>
      <c r="AE352" s="67"/>
      <c r="AF352" s="67"/>
      <c r="AG352" s="67"/>
      <c r="AH352" s="67"/>
      <c r="AI352" s="69"/>
      <c r="AJ352" s="11" t="s">
        <v>578</v>
      </c>
      <c r="AK352" s="65" t="s">
        <v>96</v>
      </c>
      <c r="AL352" s="65"/>
      <c r="AM352" s="65"/>
      <c r="AN352" s="65"/>
      <c r="AO352" s="65"/>
      <c r="AP352" s="65"/>
      <c r="AQ352" s="177" t="s">
        <v>97</v>
      </c>
      <c r="AR352" s="70" t="s">
        <v>349</v>
      </c>
      <c r="AS352" s="71" t="str">
        <f t="shared" ref="AS352:AT352" si="662">AS351</f>
        <v>KPBS-1.019</v>
      </c>
      <c r="AT352" s="71" t="str">
        <f t="shared" si="662"/>
        <v>C01</v>
      </c>
      <c r="AU352" s="72"/>
      <c r="AV352" s="202">
        <v>0.71343290140000004</v>
      </c>
      <c r="AW352" s="202">
        <v>124.32496058309999</v>
      </c>
      <c r="AX352" s="65" t="s">
        <v>98</v>
      </c>
      <c r="AY352" s="65" t="s">
        <v>94</v>
      </c>
      <c r="AZ352" s="65" t="s">
        <v>94</v>
      </c>
      <c r="BA352" s="73" t="s">
        <v>77</v>
      </c>
      <c r="BB352" s="65" t="s">
        <v>98</v>
      </c>
      <c r="BC352" s="65">
        <v>35</v>
      </c>
      <c r="BD352" s="65" t="s">
        <v>98</v>
      </c>
      <c r="BE352" s="211" t="str">
        <f t="shared" si="659"/>
        <v>177, POYOWA BESAR,</v>
      </c>
    </row>
    <row r="353" spans="1:57" s="211" customFormat="1" ht="15.75" customHeight="1">
      <c r="A353" s="224"/>
      <c r="B353" s="225"/>
      <c r="C353" s="225"/>
      <c r="D353" s="225"/>
      <c r="E353" s="225"/>
      <c r="F353" s="225"/>
      <c r="G353" s="226"/>
      <c r="H353" s="23">
        <v>10</v>
      </c>
      <c r="I353" s="64" t="str">
        <f t="shared" si="655"/>
        <v>MR.KPBS.P040</v>
      </c>
      <c r="J353" s="64">
        <f t="shared" si="655"/>
        <v>0.71360364620000005</v>
      </c>
      <c r="K353" s="64">
        <f t="shared" si="655"/>
        <v>124.32482829769999</v>
      </c>
      <c r="L353" s="64" t="str">
        <f t="shared" si="655"/>
        <v>JL. RAYA POYOWA BESAR</v>
      </c>
      <c r="M353" s="64" t="str">
        <f t="shared" si="655"/>
        <v>SULAWESI UTARA</v>
      </c>
      <c r="N353" s="65" t="s">
        <v>105</v>
      </c>
      <c r="O353" s="66" t="s">
        <v>118</v>
      </c>
      <c r="P353" s="65" t="s">
        <v>119</v>
      </c>
      <c r="Q353" s="66">
        <v>95717</v>
      </c>
      <c r="R353" s="67"/>
      <c r="S353" s="68"/>
      <c r="T353" s="68"/>
      <c r="U353" s="68"/>
      <c r="V353" s="68"/>
      <c r="W353" s="65" t="s">
        <v>105</v>
      </c>
      <c r="X353" s="64"/>
      <c r="Y353" s="64" t="s">
        <v>106</v>
      </c>
      <c r="Z353" s="64" t="str">
        <f t="shared" si="653"/>
        <v>KELURAHAN POYOWA BESAR SATU KOTAMOBAGU</v>
      </c>
      <c r="AA353" s="65"/>
      <c r="AB353" s="65"/>
      <c r="AC353" s="65" t="s">
        <v>70</v>
      </c>
      <c r="AD353" s="64" t="str">
        <f t="shared" si="656"/>
        <v>POYOWA BESAR</v>
      </c>
      <c r="AE353" s="67"/>
      <c r="AF353" s="67"/>
      <c r="AG353" s="67"/>
      <c r="AH353" s="67"/>
      <c r="AI353" s="69"/>
      <c r="AJ353" s="11" t="s">
        <v>579</v>
      </c>
      <c r="AK353" s="65" t="s">
        <v>96</v>
      </c>
      <c r="AL353" s="65"/>
      <c r="AM353" s="65"/>
      <c r="AN353" s="65"/>
      <c r="AO353" s="65"/>
      <c r="AP353" s="65"/>
      <c r="AQ353" s="177" t="s">
        <v>97</v>
      </c>
      <c r="AR353" s="70" t="s">
        <v>349</v>
      </c>
      <c r="AS353" s="71" t="str">
        <f t="shared" ref="AS353:AT353" si="663">AS352</f>
        <v>KPBS-1.019</v>
      </c>
      <c r="AT353" s="71" t="str">
        <f t="shared" si="663"/>
        <v>C01</v>
      </c>
      <c r="AU353" s="72"/>
      <c r="AV353" s="202">
        <v>0.71348852470000002</v>
      </c>
      <c r="AW353" s="202">
        <v>124.32506103830001</v>
      </c>
      <c r="AX353" s="65" t="s">
        <v>98</v>
      </c>
      <c r="AY353" s="65" t="s">
        <v>94</v>
      </c>
      <c r="AZ353" s="65" t="s">
        <v>94</v>
      </c>
      <c r="BA353" s="73" t="s">
        <v>77</v>
      </c>
      <c r="BB353" s="65" t="s">
        <v>98</v>
      </c>
      <c r="BC353" s="65">
        <v>36</v>
      </c>
      <c r="BD353" s="65" t="s">
        <v>98</v>
      </c>
      <c r="BE353" s="211" t="str">
        <f t="shared" si="659"/>
        <v>179, POYOWA BESAR,</v>
      </c>
    </row>
    <row r="354" spans="1:57" s="211" customFormat="1" ht="15.75" customHeight="1">
      <c r="A354" s="224"/>
      <c r="B354" s="225"/>
      <c r="C354" s="225"/>
      <c r="D354" s="225"/>
      <c r="E354" s="225"/>
      <c r="F354" s="225"/>
      <c r="G354" s="226"/>
      <c r="H354" s="23">
        <v>11</v>
      </c>
      <c r="I354" s="64" t="str">
        <f t="shared" si="655"/>
        <v>MR.KPBS.P040</v>
      </c>
      <c r="J354" s="64">
        <f t="shared" si="655"/>
        <v>0.71360364620000005</v>
      </c>
      <c r="K354" s="64">
        <f t="shared" si="655"/>
        <v>124.32482829769999</v>
      </c>
      <c r="L354" s="64" t="str">
        <f t="shared" si="655"/>
        <v>JL. RAYA POYOWA BESAR</v>
      </c>
      <c r="M354" s="64" t="str">
        <f t="shared" si="655"/>
        <v>SULAWESI UTARA</v>
      </c>
      <c r="N354" s="65" t="s">
        <v>105</v>
      </c>
      <c r="O354" s="66" t="s">
        <v>118</v>
      </c>
      <c r="P354" s="65" t="s">
        <v>119</v>
      </c>
      <c r="Q354" s="66">
        <v>95717</v>
      </c>
      <c r="R354" s="67"/>
      <c r="S354" s="68"/>
      <c r="T354" s="68"/>
      <c r="U354" s="68"/>
      <c r="V354" s="68"/>
      <c r="W354" s="65" t="s">
        <v>105</v>
      </c>
      <c r="X354" s="64"/>
      <c r="Y354" s="64" t="s">
        <v>106</v>
      </c>
      <c r="Z354" s="64" t="str">
        <f t="shared" si="653"/>
        <v>KELURAHAN POYOWA BESAR SATU KOTAMOBAGU</v>
      </c>
      <c r="AA354" s="65"/>
      <c r="AB354" s="65"/>
      <c r="AC354" s="65" t="s">
        <v>70</v>
      </c>
      <c r="AD354" s="64" t="str">
        <f t="shared" si="656"/>
        <v>POYOWA BESAR</v>
      </c>
      <c r="AE354" s="67"/>
      <c r="AF354" s="67"/>
      <c r="AG354" s="67"/>
      <c r="AH354" s="67"/>
      <c r="AI354" s="69"/>
      <c r="AJ354" s="11" t="s">
        <v>580</v>
      </c>
      <c r="AK354" s="65" t="s">
        <v>96</v>
      </c>
      <c r="AL354" s="65"/>
      <c r="AM354" s="65"/>
      <c r="AN354" s="65"/>
      <c r="AO354" s="65"/>
      <c r="AP354" s="65"/>
      <c r="AQ354" s="177" t="s">
        <v>97</v>
      </c>
      <c r="AR354" s="70" t="s">
        <v>349</v>
      </c>
      <c r="AS354" s="71" t="str">
        <f t="shared" ref="AS354:AT354" si="664">AS353</f>
        <v>KPBS-1.019</v>
      </c>
      <c r="AT354" s="71" t="str">
        <f t="shared" si="664"/>
        <v>C01</v>
      </c>
      <c r="AU354" s="72"/>
      <c r="AV354" s="202">
        <v>0.713499407999999</v>
      </c>
      <c r="AW354" s="202">
        <v>124.3251329858</v>
      </c>
      <c r="AX354" s="65" t="s">
        <v>98</v>
      </c>
      <c r="AY354" s="65" t="s">
        <v>94</v>
      </c>
      <c r="AZ354" s="65" t="s">
        <v>94</v>
      </c>
      <c r="BA354" s="73" t="s">
        <v>77</v>
      </c>
      <c r="BB354" s="65" t="s">
        <v>98</v>
      </c>
      <c r="BC354" s="65">
        <v>37</v>
      </c>
      <c r="BD354" s="65" t="s">
        <v>98</v>
      </c>
      <c r="BE354" s="211" t="str">
        <f t="shared" si="659"/>
        <v>181, POYOWA BESAR,</v>
      </c>
    </row>
    <row r="355" spans="1:57" s="211" customFormat="1" ht="15.75" customHeight="1">
      <c r="A355" s="224"/>
      <c r="B355" s="225"/>
      <c r="C355" s="225"/>
      <c r="D355" s="225"/>
      <c r="E355" s="225"/>
      <c r="F355" s="225"/>
      <c r="G355" s="226"/>
      <c r="H355" s="23">
        <v>12</v>
      </c>
      <c r="I355" s="64" t="str">
        <f t="shared" si="655"/>
        <v>MR.KPBS.P040</v>
      </c>
      <c r="J355" s="64">
        <f t="shared" si="655"/>
        <v>0.71360364620000005</v>
      </c>
      <c r="K355" s="64">
        <f t="shared" si="655"/>
        <v>124.32482829769999</v>
      </c>
      <c r="L355" s="64" t="str">
        <f t="shared" si="655"/>
        <v>JL. RAYA POYOWA BESAR</v>
      </c>
      <c r="M355" s="64" t="str">
        <f t="shared" si="655"/>
        <v>SULAWESI UTARA</v>
      </c>
      <c r="N355" s="65" t="s">
        <v>105</v>
      </c>
      <c r="O355" s="66" t="s">
        <v>118</v>
      </c>
      <c r="P355" s="65" t="s">
        <v>119</v>
      </c>
      <c r="Q355" s="66">
        <v>95717</v>
      </c>
      <c r="R355" s="67"/>
      <c r="S355" s="68"/>
      <c r="T355" s="68"/>
      <c r="U355" s="68"/>
      <c r="V355" s="68"/>
      <c r="W355" s="65" t="s">
        <v>105</v>
      </c>
      <c r="X355" s="64"/>
      <c r="Y355" s="64" t="s">
        <v>106</v>
      </c>
      <c r="Z355" s="64" t="str">
        <f t="shared" si="653"/>
        <v>KELURAHAN POYOWA BESAR SATU KOTAMOBAGU</v>
      </c>
      <c r="AA355" s="65"/>
      <c r="AB355" s="65"/>
      <c r="AC355" s="65" t="s">
        <v>70</v>
      </c>
      <c r="AD355" s="64" t="str">
        <f t="shared" si="656"/>
        <v>POYOWA BESAR</v>
      </c>
      <c r="AE355" s="67"/>
      <c r="AF355" s="67"/>
      <c r="AG355" s="67"/>
      <c r="AH355" s="67"/>
      <c r="AI355" s="69"/>
      <c r="AJ355" s="11" t="s">
        <v>581</v>
      </c>
      <c r="AK355" s="65" t="s">
        <v>96</v>
      </c>
      <c r="AL355" s="65"/>
      <c r="AM355" s="65"/>
      <c r="AN355" s="65"/>
      <c r="AO355" s="65"/>
      <c r="AP355" s="65"/>
      <c r="AQ355" s="177" t="s">
        <v>97</v>
      </c>
      <c r="AR355" s="70" t="s">
        <v>349</v>
      </c>
      <c r="AS355" s="71" t="str">
        <f t="shared" ref="AS355:AT355" si="665">AS354</f>
        <v>KPBS-1.019</v>
      </c>
      <c r="AT355" s="71" t="str">
        <f t="shared" si="665"/>
        <v>C01</v>
      </c>
      <c r="AU355" s="72"/>
      <c r="AV355" s="202">
        <v>0.71374739270005005</v>
      </c>
      <c r="AW355" s="202">
        <v>124.325183545953</v>
      </c>
      <c r="AX355" s="65" t="s">
        <v>98</v>
      </c>
      <c r="AY355" s="65" t="s">
        <v>94</v>
      </c>
      <c r="AZ355" s="65" t="s">
        <v>94</v>
      </c>
      <c r="BA355" s="73" t="s">
        <v>77</v>
      </c>
      <c r="BB355" s="65" t="s">
        <v>98</v>
      </c>
      <c r="BC355" s="65">
        <v>38</v>
      </c>
      <c r="BD355" s="65" t="s">
        <v>98</v>
      </c>
      <c r="BE355" s="211" t="str">
        <f t="shared" si="659"/>
        <v>183A, POYOWA BESAR,</v>
      </c>
    </row>
    <row r="356" spans="1:57" s="211" customFormat="1" ht="15.75" customHeight="1">
      <c r="A356" s="224"/>
      <c r="B356" s="225"/>
      <c r="C356" s="225"/>
      <c r="D356" s="225"/>
      <c r="E356" s="225"/>
      <c r="F356" s="225"/>
      <c r="G356" s="226"/>
      <c r="H356" s="23">
        <v>13</v>
      </c>
      <c r="I356" s="64" t="str">
        <f t="shared" si="655"/>
        <v>MR.KPBS.P040</v>
      </c>
      <c r="J356" s="64">
        <f t="shared" si="655"/>
        <v>0.71360364620000005</v>
      </c>
      <c r="K356" s="64">
        <f t="shared" si="655"/>
        <v>124.32482829769999</v>
      </c>
      <c r="L356" s="64" t="str">
        <f t="shared" si="655"/>
        <v>JL. RAYA POYOWA BESAR</v>
      </c>
      <c r="M356" s="64" t="str">
        <f t="shared" si="655"/>
        <v>SULAWESI UTARA</v>
      </c>
      <c r="N356" s="65" t="s">
        <v>105</v>
      </c>
      <c r="O356" s="66" t="s">
        <v>118</v>
      </c>
      <c r="P356" s="65" t="s">
        <v>119</v>
      </c>
      <c r="Q356" s="66">
        <v>95717</v>
      </c>
      <c r="R356" s="67"/>
      <c r="S356" s="68"/>
      <c r="T356" s="68"/>
      <c r="U356" s="68"/>
      <c r="V356" s="68"/>
      <c r="W356" s="65" t="s">
        <v>105</v>
      </c>
      <c r="X356" s="64"/>
      <c r="Y356" s="64" t="s">
        <v>106</v>
      </c>
      <c r="Z356" s="64" t="str">
        <f t="shared" si="653"/>
        <v>KELURAHAN POYOWA BESAR SATU KOTAMOBAGU</v>
      </c>
      <c r="AA356" s="65"/>
      <c r="AB356" s="65"/>
      <c r="AC356" s="65" t="s">
        <v>70</v>
      </c>
      <c r="AD356" s="64" t="str">
        <f t="shared" si="656"/>
        <v>POYOWA BESAR</v>
      </c>
      <c r="AE356" s="67"/>
      <c r="AF356" s="67"/>
      <c r="AG356" s="67"/>
      <c r="AH356" s="67"/>
      <c r="AI356" s="69"/>
      <c r="AJ356" s="11" t="s">
        <v>582</v>
      </c>
      <c r="AK356" s="65" t="s">
        <v>96</v>
      </c>
      <c r="AL356" s="65"/>
      <c r="AM356" s="65"/>
      <c r="AN356" s="65"/>
      <c r="AO356" s="65"/>
      <c r="AP356" s="65"/>
      <c r="AQ356" s="177" t="s">
        <v>97</v>
      </c>
      <c r="AR356" s="70" t="s">
        <v>349</v>
      </c>
      <c r="AS356" s="71" t="str">
        <f t="shared" ref="AS356:AT356" si="666">AS355</f>
        <v>KPBS-1.019</v>
      </c>
      <c r="AT356" s="71" t="str">
        <f t="shared" si="666"/>
        <v>C01</v>
      </c>
      <c r="AU356" s="72"/>
      <c r="AV356" s="202">
        <v>0.7137129928</v>
      </c>
      <c r="AW356" s="202">
        <v>124.32495651070001</v>
      </c>
      <c r="AX356" s="65" t="s">
        <v>98</v>
      </c>
      <c r="AY356" s="65" t="s">
        <v>94</v>
      </c>
      <c r="AZ356" s="65" t="s">
        <v>94</v>
      </c>
      <c r="BA356" s="73" t="s">
        <v>77</v>
      </c>
      <c r="BB356" s="65" t="s">
        <v>98</v>
      </c>
      <c r="BC356" s="65">
        <v>39</v>
      </c>
      <c r="BD356" s="65" t="s">
        <v>98</v>
      </c>
      <c r="BE356" s="211" t="str">
        <f t="shared" si="659"/>
        <v>178, POYOWA BESAR,</v>
      </c>
    </row>
    <row r="357" spans="1:57" s="211" customFormat="1" ht="15.75" customHeight="1">
      <c r="A357" s="224"/>
      <c r="B357" s="225"/>
      <c r="C357" s="225"/>
      <c r="D357" s="225"/>
      <c r="E357" s="225"/>
      <c r="F357" s="225"/>
      <c r="G357" s="226"/>
      <c r="H357" s="23">
        <v>14</v>
      </c>
      <c r="I357" s="64" t="str">
        <f t="shared" si="655"/>
        <v>MR.KPBS.P040</v>
      </c>
      <c r="J357" s="64">
        <f t="shared" si="655"/>
        <v>0.71360364620000005</v>
      </c>
      <c r="K357" s="64">
        <f t="shared" si="655"/>
        <v>124.32482829769999</v>
      </c>
      <c r="L357" s="64" t="str">
        <f t="shared" si="655"/>
        <v>JL. RAYA POYOWA BESAR</v>
      </c>
      <c r="M357" s="64" t="str">
        <f t="shared" si="655"/>
        <v>SULAWESI UTARA</v>
      </c>
      <c r="N357" s="65" t="s">
        <v>105</v>
      </c>
      <c r="O357" s="66" t="s">
        <v>118</v>
      </c>
      <c r="P357" s="65" t="s">
        <v>119</v>
      </c>
      <c r="Q357" s="66">
        <v>95717</v>
      </c>
      <c r="R357" s="67"/>
      <c r="S357" s="68"/>
      <c r="T357" s="68"/>
      <c r="U357" s="68"/>
      <c r="V357" s="68"/>
      <c r="W357" s="65" t="s">
        <v>105</v>
      </c>
      <c r="X357" s="64"/>
      <c r="Y357" s="64" t="s">
        <v>106</v>
      </c>
      <c r="Z357" s="64" t="str">
        <f t="shared" si="653"/>
        <v>KELURAHAN POYOWA BESAR SATU KOTAMOBAGU</v>
      </c>
      <c r="AA357" s="65"/>
      <c r="AB357" s="65"/>
      <c r="AC357" s="65" t="s">
        <v>70</v>
      </c>
      <c r="AD357" s="64" t="str">
        <f t="shared" si="656"/>
        <v>POYOWA BESAR</v>
      </c>
      <c r="AE357" s="67"/>
      <c r="AF357" s="67"/>
      <c r="AG357" s="67"/>
      <c r="AH357" s="67"/>
      <c r="AI357" s="69"/>
      <c r="AJ357" s="11" t="s">
        <v>583</v>
      </c>
      <c r="AK357" s="65" t="s">
        <v>96</v>
      </c>
      <c r="AL357" s="65"/>
      <c r="AM357" s="65"/>
      <c r="AN357" s="65"/>
      <c r="AO357" s="65"/>
      <c r="AP357" s="65"/>
      <c r="AQ357" s="177" t="s">
        <v>97</v>
      </c>
      <c r="AR357" s="70" t="s">
        <v>349</v>
      </c>
      <c r="AS357" s="71" t="str">
        <f t="shared" si="657"/>
        <v>KPBS-1.019</v>
      </c>
      <c r="AT357" s="71" t="str">
        <f t="shared" si="657"/>
        <v>C01</v>
      </c>
      <c r="AU357" s="72"/>
      <c r="AV357" s="202">
        <v>0.71372523659999998</v>
      </c>
      <c r="AW357" s="202">
        <v>124.3250257433</v>
      </c>
      <c r="AX357" s="65" t="s">
        <v>98</v>
      </c>
      <c r="AY357" s="65" t="s">
        <v>94</v>
      </c>
      <c r="AZ357" s="65" t="s">
        <v>94</v>
      </c>
      <c r="BA357" s="73" t="s">
        <v>77</v>
      </c>
      <c r="BB357" s="65" t="s">
        <v>98</v>
      </c>
      <c r="BC357" s="65">
        <v>31</v>
      </c>
      <c r="BD357" s="65" t="s">
        <v>98</v>
      </c>
      <c r="BE357" s="211" t="str">
        <f t="shared" si="654"/>
        <v>180, POYOWA BESAR,</v>
      </c>
    </row>
    <row r="358" spans="1:57" s="211" customFormat="1" ht="15.75" customHeight="1">
      <c r="A358" s="224"/>
      <c r="B358" s="225"/>
      <c r="C358" s="225"/>
      <c r="D358" s="225"/>
      <c r="E358" s="225"/>
      <c r="F358" s="225"/>
      <c r="G358" s="226"/>
      <c r="H358" s="23">
        <v>15</v>
      </c>
      <c r="I358" s="64" t="str">
        <f t="shared" ref="I358:M358" si="667">I357</f>
        <v>MR.KPBS.P040</v>
      </c>
      <c r="J358" s="64">
        <f t="shared" si="667"/>
        <v>0.71360364620000005</v>
      </c>
      <c r="K358" s="64">
        <f t="shared" si="667"/>
        <v>124.32482829769999</v>
      </c>
      <c r="L358" s="64" t="str">
        <f t="shared" si="667"/>
        <v>JL. RAYA POYOWA BESAR</v>
      </c>
      <c r="M358" s="64" t="str">
        <f t="shared" si="667"/>
        <v>SULAWESI UTARA</v>
      </c>
      <c r="N358" s="65" t="s">
        <v>105</v>
      </c>
      <c r="O358" s="66" t="s">
        <v>118</v>
      </c>
      <c r="P358" s="65" t="s">
        <v>119</v>
      </c>
      <c r="Q358" s="66">
        <v>95717</v>
      </c>
      <c r="R358" s="67"/>
      <c r="S358" s="68"/>
      <c r="T358" s="68"/>
      <c r="U358" s="68"/>
      <c r="V358" s="68"/>
      <c r="W358" s="65" t="s">
        <v>105</v>
      </c>
      <c r="X358" s="64"/>
      <c r="Y358" s="64" t="s">
        <v>106</v>
      </c>
      <c r="Z358" s="64" t="str">
        <f t="shared" si="653"/>
        <v>KELURAHAN POYOWA BESAR SATU KOTAMOBAGU</v>
      </c>
      <c r="AA358" s="65"/>
      <c r="AB358" s="65"/>
      <c r="AC358" s="65" t="s">
        <v>70</v>
      </c>
      <c r="AD358" s="64" t="str">
        <f t="shared" si="656"/>
        <v>POYOWA BESAR</v>
      </c>
      <c r="AE358" s="67"/>
      <c r="AF358" s="67"/>
      <c r="AG358" s="67"/>
      <c r="AH358" s="67"/>
      <c r="AI358" s="69"/>
      <c r="AJ358" s="11" t="s">
        <v>584</v>
      </c>
      <c r="AK358" s="65" t="s">
        <v>96</v>
      </c>
      <c r="AL358" s="65"/>
      <c r="AM358" s="65"/>
      <c r="AN358" s="65"/>
      <c r="AO358" s="65"/>
      <c r="AP358" s="65"/>
      <c r="AQ358" s="177" t="s">
        <v>97</v>
      </c>
      <c r="AR358" s="70" t="s">
        <v>349</v>
      </c>
      <c r="AS358" s="71" t="str">
        <f t="shared" ref="AS358:AT358" si="668">AS357</f>
        <v>KPBS-1.019</v>
      </c>
      <c r="AT358" s="71" t="str">
        <f t="shared" si="668"/>
        <v>C01</v>
      </c>
      <c r="AU358" s="72"/>
      <c r="AV358" s="202">
        <v>0.71375380519999898</v>
      </c>
      <c r="AW358" s="202">
        <v>124.3250895459</v>
      </c>
      <c r="AX358" s="65" t="s">
        <v>98</v>
      </c>
      <c r="AY358" s="65" t="s">
        <v>94</v>
      </c>
      <c r="AZ358" s="65" t="s">
        <v>94</v>
      </c>
      <c r="BA358" s="73" t="s">
        <v>77</v>
      </c>
      <c r="BB358" s="65" t="s">
        <v>98</v>
      </c>
      <c r="BC358" s="65">
        <v>31</v>
      </c>
      <c r="BD358" s="65" t="s">
        <v>98</v>
      </c>
      <c r="BE358" s="211" t="str">
        <f t="shared" ref="BE358:BE359" si="669">AJ358&amp;", "&amp;AD358&amp;","&amp;AI358</f>
        <v>182, POYOWA BESAR,</v>
      </c>
    </row>
    <row r="359" spans="1:57" s="211" customFormat="1" ht="15.75" customHeight="1">
      <c r="A359" s="224"/>
      <c r="B359" s="225"/>
      <c r="C359" s="225"/>
      <c r="D359" s="225"/>
      <c r="E359" s="225"/>
      <c r="F359" s="225"/>
      <c r="G359" s="226"/>
      <c r="H359" s="23">
        <v>16</v>
      </c>
      <c r="I359" s="64" t="str">
        <f t="shared" ref="I359:M359" si="670">I358</f>
        <v>MR.KPBS.P040</v>
      </c>
      <c r="J359" s="64">
        <f t="shared" si="670"/>
        <v>0.71360364620000005</v>
      </c>
      <c r="K359" s="64">
        <f t="shared" si="670"/>
        <v>124.32482829769999</v>
      </c>
      <c r="L359" s="64" t="str">
        <f t="shared" si="670"/>
        <v>JL. RAYA POYOWA BESAR</v>
      </c>
      <c r="M359" s="64" t="str">
        <f t="shared" si="670"/>
        <v>SULAWESI UTARA</v>
      </c>
      <c r="N359" s="65" t="s">
        <v>105</v>
      </c>
      <c r="O359" s="66" t="s">
        <v>118</v>
      </c>
      <c r="P359" s="65" t="s">
        <v>119</v>
      </c>
      <c r="Q359" s="66">
        <v>95717</v>
      </c>
      <c r="R359" s="67"/>
      <c r="S359" s="68"/>
      <c r="T359" s="68"/>
      <c r="U359" s="68"/>
      <c r="V359" s="68"/>
      <c r="W359" s="65" t="s">
        <v>105</v>
      </c>
      <c r="X359" s="64"/>
      <c r="Y359" s="64" t="s">
        <v>106</v>
      </c>
      <c r="Z359" s="64" t="str">
        <f t="shared" si="653"/>
        <v>KELURAHAN POYOWA BESAR SATU KOTAMOBAGU</v>
      </c>
      <c r="AA359" s="65"/>
      <c r="AB359" s="65"/>
      <c r="AC359" s="65" t="s">
        <v>70</v>
      </c>
      <c r="AD359" s="64" t="str">
        <f t="shared" si="656"/>
        <v>POYOWA BESAR</v>
      </c>
      <c r="AE359" s="67"/>
      <c r="AF359" s="67"/>
      <c r="AG359" s="67"/>
      <c r="AH359" s="67"/>
      <c r="AI359" s="69"/>
      <c r="AJ359" s="11" t="s">
        <v>585</v>
      </c>
      <c r="AK359" s="65" t="s">
        <v>96</v>
      </c>
      <c r="AL359" s="65"/>
      <c r="AM359" s="65"/>
      <c r="AN359" s="65"/>
      <c r="AO359" s="65"/>
      <c r="AP359" s="65"/>
      <c r="AQ359" s="177" t="s">
        <v>97</v>
      </c>
      <c r="AR359" s="70" t="s">
        <v>349</v>
      </c>
      <c r="AS359" s="71" t="str">
        <f t="shared" ref="AS359:AT359" si="671">AS358</f>
        <v>KPBS-1.019</v>
      </c>
      <c r="AT359" s="71" t="str">
        <f t="shared" si="671"/>
        <v>C01</v>
      </c>
      <c r="AU359" s="72"/>
      <c r="AV359" s="202">
        <v>0.71352797670000001</v>
      </c>
      <c r="AW359" s="202">
        <v>124.325230726</v>
      </c>
      <c r="AX359" s="65" t="s">
        <v>98</v>
      </c>
      <c r="AY359" s="65" t="s">
        <v>94</v>
      </c>
      <c r="AZ359" s="65" t="s">
        <v>94</v>
      </c>
      <c r="BA359" s="73" t="s">
        <v>77</v>
      </c>
      <c r="BB359" s="65" t="s">
        <v>98</v>
      </c>
      <c r="BC359" s="65">
        <v>31</v>
      </c>
      <c r="BD359" s="65" t="s">
        <v>98</v>
      </c>
      <c r="BE359" s="211" t="str">
        <f t="shared" si="669"/>
        <v>184, POYOWA BESAR,</v>
      </c>
    </row>
    <row r="360" spans="1:57" s="211" customFormat="1" ht="15.75" customHeight="1">
      <c r="A360" s="36" t="s">
        <v>104</v>
      </c>
      <c r="B360" s="36">
        <f>B344+1</f>
        <v>25</v>
      </c>
      <c r="C360" s="33" t="s">
        <v>350</v>
      </c>
      <c r="D360" s="37" t="s">
        <v>348</v>
      </c>
      <c r="E360" s="38">
        <v>1</v>
      </c>
      <c r="F360" s="39">
        <f>F345+1</f>
        <v>3</v>
      </c>
      <c r="G360" s="213" t="s">
        <v>256</v>
      </c>
      <c r="H360" s="35">
        <v>1</v>
      </c>
      <c r="I360" s="48" t="s">
        <v>320</v>
      </c>
      <c r="J360" s="54">
        <v>0.71370092289999998</v>
      </c>
      <c r="K360" s="54">
        <v>124.32542967569999</v>
      </c>
      <c r="L360" s="116" t="s">
        <v>116</v>
      </c>
      <c r="M360" s="48" t="str">
        <f>M344</f>
        <v>SULAWESI UTARA</v>
      </c>
      <c r="N360" s="76" t="s">
        <v>105</v>
      </c>
      <c r="O360" s="49" t="s">
        <v>118</v>
      </c>
      <c r="P360" s="76" t="s">
        <v>119</v>
      </c>
      <c r="Q360" s="49">
        <v>95717</v>
      </c>
      <c r="R360" s="51"/>
      <c r="S360" s="52"/>
      <c r="T360" s="53"/>
      <c r="U360" s="52"/>
      <c r="V360" s="53"/>
      <c r="W360" s="50" t="s">
        <v>105</v>
      </c>
      <c r="X360" s="54"/>
      <c r="Y360" s="56" t="s">
        <v>106</v>
      </c>
      <c r="Z360" s="56" t="str">
        <f>Z357</f>
        <v>KELURAHAN POYOWA BESAR SATU KOTAMOBAGU</v>
      </c>
      <c r="AA360" s="55"/>
      <c r="AB360" s="55"/>
      <c r="AC360" s="55" t="s">
        <v>70</v>
      </c>
      <c r="AD360" s="116" t="s">
        <v>119</v>
      </c>
      <c r="AE360" s="57"/>
      <c r="AF360" s="57"/>
      <c r="AG360" s="57"/>
      <c r="AH360" s="57"/>
      <c r="AI360" s="58"/>
      <c r="AJ360" s="114" t="s">
        <v>586</v>
      </c>
      <c r="AK360" s="55" t="s">
        <v>96</v>
      </c>
      <c r="AL360" s="62"/>
      <c r="AM360" s="184"/>
      <c r="AN360" s="184"/>
      <c r="AO360" s="184"/>
      <c r="AP360" s="184"/>
      <c r="AQ360" s="185" t="s">
        <v>97</v>
      </c>
      <c r="AR360" s="59" t="s">
        <v>349</v>
      </c>
      <c r="AS360" s="80" t="str">
        <f>AS344</f>
        <v>KPBS-1.019</v>
      </c>
      <c r="AT360" s="60" t="str">
        <f>G360</f>
        <v>C02</v>
      </c>
      <c r="AU360" s="61"/>
      <c r="AV360" s="201">
        <v>0.71381366339999996</v>
      </c>
      <c r="AW360" s="201">
        <v>124.32525244599999</v>
      </c>
      <c r="AX360" s="62" t="s">
        <v>98</v>
      </c>
      <c r="AY360" s="62" t="s">
        <v>94</v>
      </c>
      <c r="AZ360" s="62" t="s">
        <v>94</v>
      </c>
      <c r="BA360" s="63" t="s">
        <v>77</v>
      </c>
      <c r="BB360" s="62" t="s">
        <v>98</v>
      </c>
      <c r="BC360" s="62">
        <v>31</v>
      </c>
      <c r="BD360" s="62" t="s">
        <v>98</v>
      </c>
      <c r="BE360" s="211" t="str">
        <f t="shared" si="654"/>
        <v>185, POYOWA BESAR,</v>
      </c>
    </row>
    <row r="361" spans="1:57" s="211" customFormat="1" ht="15.75" customHeight="1">
      <c r="A361" s="46"/>
      <c r="B361" s="46"/>
      <c r="C361" s="22" t="s">
        <v>350</v>
      </c>
      <c r="D361" s="22" t="s">
        <v>348</v>
      </c>
      <c r="E361" s="33">
        <v>1</v>
      </c>
      <c r="F361" s="47">
        <f>F360+1</f>
        <v>4</v>
      </c>
      <c r="G361" s="214"/>
      <c r="H361" s="23">
        <v>2</v>
      </c>
      <c r="I361" s="64" t="str">
        <f t="shared" ref="I361:M375" si="672">I360</f>
        <v>MR.KPBS.P042</v>
      </c>
      <c r="J361" s="64">
        <f t="shared" si="672"/>
        <v>0.71370092289999998</v>
      </c>
      <c r="K361" s="64">
        <f t="shared" si="672"/>
        <v>124.32542967569999</v>
      </c>
      <c r="L361" s="64" t="str">
        <f t="shared" si="672"/>
        <v>JL. RAYA POYOWA BESAR</v>
      </c>
      <c r="M361" s="64" t="str">
        <f>M360</f>
        <v>SULAWESI UTARA</v>
      </c>
      <c r="N361" s="65" t="s">
        <v>105</v>
      </c>
      <c r="O361" s="66" t="s">
        <v>118</v>
      </c>
      <c r="P361" s="65" t="s">
        <v>119</v>
      </c>
      <c r="Q361" s="66">
        <v>95717</v>
      </c>
      <c r="R361" s="67"/>
      <c r="S361" s="68"/>
      <c r="T361" s="68"/>
      <c r="U361" s="68"/>
      <c r="V361" s="68"/>
      <c r="W361" s="65" t="s">
        <v>105</v>
      </c>
      <c r="X361" s="64"/>
      <c r="Y361" s="64" t="s">
        <v>106</v>
      </c>
      <c r="Z361" s="64" t="str">
        <f t="shared" si="653"/>
        <v>KELURAHAN POYOWA BESAR SATU KOTAMOBAGU</v>
      </c>
      <c r="AA361" s="65"/>
      <c r="AB361" s="65"/>
      <c r="AC361" s="65" t="s">
        <v>70</v>
      </c>
      <c r="AD361" s="64" t="str">
        <f t="shared" ref="AD361:AD375" si="673">AD360</f>
        <v>POYOWA BESAR</v>
      </c>
      <c r="AE361" s="67"/>
      <c r="AF361" s="67"/>
      <c r="AG361" s="67"/>
      <c r="AH361" s="67"/>
      <c r="AI361" s="69"/>
      <c r="AJ361" s="11" t="s">
        <v>587</v>
      </c>
      <c r="AK361" s="65" t="s">
        <v>96</v>
      </c>
      <c r="AL361" s="65"/>
      <c r="AM361" s="176"/>
      <c r="AN361" s="176"/>
      <c r="AO361" s="176"/>
      <c r="AP361" s="176"/>
      <c r="AQ361" s="177" t="s">
        <v>97</v>
      </c>
      <c r="AR361" s="70" t="s">
        <v>349</v>
      </c>
      <c r="AS361" s="71" t="str">
        <f>AS360</f>
        <v>KPBS-1.019</v>
      </c>
      <c r="AT361" s="71" t="str">
        <f t="shared" si="657"/>
        <v>C02</v>
      </c>
      <c r="AU361" s="72"/>
      <c r="AV361" s="202">
        <v>0.7135579058</v>
      </c>
      <c r="AW361" s="202">
        <v>124.3253257511</v>
      </c>
      <c r="AX361" s="65" t="s">
        <v>98</v>
      </c>
      <c r="AY361" s="65" t="s">
        <v>94</v>
      </c>
      <c r="AZ361" s="65" t="s">
        <v>94</v>
      </c>
      <c r="BA361" s="73" t="s">
        <v>77</v>
      </c>
      <c r="BB361" s="65" t="s">
        <v>98</v>
      </c>
      <c r="BC361" s="65">
        <v>31</v>
      </c>
      <c r="BD361" s="65" t="s">
        <v>98</v>
      </c>
      <c r="BE361" s="211" t="str">
        <f t="shared" si="654"/>
        <v>186, POYOWA BESAR,</v>
      </c>
    </row>
    <row r="362" spans="1:57" s="211" customFormat="1" ht="15.75" customHeight="1">
      <c r="A362" s="214"/>
      <c r="B362" s="236"/>
      <c r="C362" s="236"/>
      <c r="D362" s="236"/>
      <c r="E362" s="236"/>
      <c r="F362" s="236"/>
      <c r="G362" s="237"/>
      <c r="H362" s="23">
        <v>3</v>
      </c>
      <c r="I362" s="64" t="str">
        <f t="shared" ref="I362:M362" si="674">I361</f>
        <v>MR.KPBS.P042</v>
      </c>
      <c r="J362" s="64">
        <f t="shared" si="674"/>
        <v>0.71370092289999998</v>
      </c>
      <c r="K362" s="64">
        <f t="shared" si="674"/>
        <v>124.32542967569999</v>
      </c>
      <c r="L362" s="64" t="str">
        <f t="shared" si="674"/>
        <v>JL. RAYA POYOWA BESAR</v>
      </c>
      <c r="M362" s="64" t="str">
        <f t="shared" si="674"/>
        <v>SULAWESI UTARA</v>
      </c>
      <c r="N362" s="65" t="s">
        <v>105</v>
      </c>
      <c r="O362" s="66" t="s">
        <v>118</v>
      </c>
      <c r="P362" s="65" t="s">
        <v>119</v>
      </c>
      <c r="Q362" s="66">
        <v>95717</v>
      </c>
      <c r="R362" s="67"/>
      <c r="S362" s="68"/>
      <c r="T362" s="68"/>
      <c r="U362" s="68"/>
      <c r="V362" s="68"/>
      <c r="W362" s="65" t="s">
        <v>105</v>
      </c>
      <c r="X362" s="64"/>
      <c r="Y362" s="64" t="s">
        <v>106</v>
      </c>
      <c r="Z362" s="64" t="str">
        <f t="shared" si="653"/>
        <v>KELURAHAN POYOWA BESAR SATU KOTAMOBAGU</v>
      </c>
      <c r="AA362" s="65"/>
      <c r="AB362" s="65"/>
      <c r="AC362" s="65" t="s">
        <v>70</v>
      </c>
      <c r="AD362" s="64" t="str">
        <f t="shared" si="673"/>
        <v>POYOWA BESAR</v>
      </c>
      <c r="AE362" s="67"/>
      <c r="AF362" s="67"/>
      <c r="AG362" s="67"/>
      <c r="AH362" s="67"/>
      <c r="AI362" s="69"/>
      <c r="AJ362" s="11" t="s">
        <v>588</v>
      </c>
      <c r="AK362" s="65" t="s">
        <v>96</v>
      </c>
      <c r="AL362" s="65"/>
      <c r="AM362" s="176"/>
      <c r="AN362" s="176"/>
      <c r="AO362" s="176"/>
      <c r="AP362" s="176"/>
      <c r="AQ362" s="177" t="s">
        <v>97</v>
      </c>
      <c r="AR362" s="70" t="s">
        <v>349</v>
      </c>
      <c r="AS362" s="71" t="str">
        <f t="shared" ref="AS362:AT369" si="675">AS361</f>
        <v>KPBS-1.019</v>
      </c>
      <c r="AT362" s="71" t="str">
        <f t="shared" si="675"/>
        <v>C02</v>
      </c>
      <c r="AU362" s="72"/>
      <c r="AV362" s="202">
        <v>0.71382046539999999</v>
      </c>
      <c r="AW362" s="202">
        <v>124.3253406836</v>
      </c>
      <c r="AX362" s="65" t="s">
        <v>98</v>
      </c>
      <c r="AY362" s="65" t="s">
        <v>94</v>
      </c>
      <c r="AZ362" s="65" t="s">
        <v>94</v>
      </c>
      <c r="BA362" s="73" t="s">
        <v>77</v>
      </c>
      <c r="BB362" s="65" t="s">
        <v>98</v>
      </c>
      <c r="BC362" s="65">
        <v>32</v>
      </c>
      <c r="BD362" s="65" t="s">
        <v>98</v>
      </c>
      <c r="BE362" s="211" t="str">
        <f t="shared" ref="BE362:BE368" si="676">AJ362&amp;", "&amp;AD362&amp;","&amp;AI362</f>
        <v>188, POYOWA BESAR,</v>
      </c>
    </row>
    <row r="363" spans="1:57" s="211" customFormat="1" ht="15.75" customHeight="1">
      <c r="A363" s="238"/>
      <c r="B363" s="239"/>
      <c r="C363" s="239"/>
      <c r="D363" s="239"/>
      <c r="E363" s="239"/>
      <c r="F363" s="239"/>
      <c r="G363" s="240"/>
      <c r="H363" s="23">
        <v>4</v>
      </c>
      <c r="I363" s="64" t="str">
        <f t="shared" ref="I363:M363" si="677">I362</f>
        <v>MR.KPBS.P042</v>
      </c>
      <c r="J363" s="64">
        <f t="shared" si="677"/>
        <v>0.71370092289999998</v>
      </c>
      <c r="K363" s="64">
        <f t="shared" si="677"/>
        <v>124.32542967569999</v>
      </c>
      <c r="L363" s="64" t="str">
        <f t="shared" si="677"/>
        <v>JL. RAYA POYOWA BESAR</v>
      </c>
      <c r="M363" s="64" t="str">
        <f t="shared" si="677"/>
        <v>SULAWESI UTARA</v>
      </c>
      <c r="N363" s="65" t="s">
        <v>105</v>
      </c>
      <c r="O363" s="66" t="s">
        <v>118</v>
      </c>
      <c r="P363" s="65" t="s">
        <v>119</v>
      </c>
      <c r="Q363" s="66">
        <v>95717</v>
      </c>
      <c r="R363" s="67"/>
      <c r="S363" s="68"/>
      <c r="T363" s="68"/>
      <c r="U363" s="68"/>
      <c r="V363" s="68"/>
      <c r="W363" s="65" t="s">
        <v>105</v>
      </c>
      <c r="X363" s="64"/>
      <c r="Y363" s="64" t="s">
        <v>106</v>
      </c>
      <c r="Z363" s="64" t="str">
        <f t="shared" si="653"/>
        <v>KELURAHAN POYOWA BESAR SATU KOTAMOBAGU</v>
      </c>
      <c r="AA363" s="65"/>
      <c r="AB363" s="65"/>
      <c r="AC363" s="65" t="s">
        <v>70</v>
      </c>
      <c r="AD363" s="64" t="str">
        <f t="shared" si="673"/>
        <v>POYOWA BESAR</v>
      </c>
      <c r="AE363" s="67"/>
      <c r="AF363" s="67"/>
      <c r="AG363" s="67"/>
      <c r="AH363" s="67"/>
      <c r="AI363" s="69"/>
      <c r="AJ363" s="11" t="s">
        <v>589</v>
      </c>
      <c r="AK363" s="65" t="s">
        <v>96</v>
      </c>
      <c r="AL363" s="65"/>
      <c r="AM363" s="176"/>
      <c r="AN363" s="176"/>
      <c r="AO363" s="176"/>
      <c r="AP363" s="176"/>
      <c r="AQ363" s="177" t="s">
        <v>97</v>
      </c>
      <c r="AR363" s="70" t="s">
        <v>349</v>
      </c>
      <c r="AS363" s="71" t="str">
        <f t="shared" si="675"/>
        <v>KPBS-1.019</v>
      </c>
      <c r="AT363" s="71" t="str">
        <f t="shared" si="675"/>
        <v>C02</v>
      </c>
      <c r="AU363" s="72"/>
      <c r="AV363" s="202">
        <v>0.71359055569999996</v>
      </c>
      <c r="AW363" s="202">
        <v>124.32541263109999</v>
      </c>
      <c r="AX363" s="65" t="s">
        <v>98</v>
      </c>
      <c r="AY363" s="65" t="s">
        <v>94</v>
      </c>
      <c r="AZ363" s="65" t="s">
        <v>94</v>
      </c>
      <c r="BA363" s="73" t="s">
        <v>77</v>
      </c>
      <c r="BB363" s="65" t="s">
        <v>98</v>
      </c>
      <c r="BC363" s="65">
        <v>33</v>
      </c>
      <c r="BD363" s="65" t="s">
        <v>98</v>
      </c>
      <c r="BE363" s="211" t="str">
        <f t="shared" si="676"/>
        <v>187, POYOWA BESAR,</v>
      </c>
    </row>
    <row r="364" spans="1:57" s="211" customFormat="1" ht="15.75" customHeight="1">
      <c r="A364" s="238"/>
      <c r="B364" s="239"/>
      <c r="C364" s="239"/>
      <c r="D364" s="239"/>
      <c r="E364" s="239"/>
      <c r="F364" s="239"/>
      <c r="G364" s="240"/>
      <c r="H364" s="23">
        <v>5</v>
      </c>
      <c r="I364" s="64" t="str">
        <f t="shared" ref="I364:M364" si="678">I363</f>
        <v>MR.KPBS.P042</v>
      </c>
      <c r="J364" s="64">
        <f t="shared" si="678"/>
        <v>0.71370092289999998</v>
      </c>
      <c r="K364" s="64">
        <f t="shared" si="678"/>
        <v>124.32542967569999</v>
      </c>
      <c r="L364" s="64" t="str">
        <f t="shared" si="678"/>
        <v>JL. RAYA POYOWA BESAR</v>
      </c>
      <c r="M364" s="64" t="str">
        <f t="shared" si="678"/>
        <v>SULAWESI UTARA</v>
      </c>
      <c r="N364" s="65" t="s">
        <v>105</v>
      </c>
      <c r="O364" s="66" t="s">
        <v>118</v>
      </c>
      <c r="P364" s="65" t="s">
        <v>119</v>
      </c>
      <c r="Q364" s="66">
        <v>95717</v>
      </c>
      <c r="R364" s="67"/>
      <c r="S364" s="68"/>
      <c r="T364" s="68"/>
      <c r="U364" s="68"/>
      <c r="V364" s="68"/>
      <c r="W364" s="65" t="s">
        <v>105</v>
      </c>
      <c r="X364" s="64"/>
      <c r="Y364" s="64" t="s">
        <v>106</v>
      </c>
      <c r="Z364" s="64" t="str">
        <f t="shared" si="653"/>
        <v>KELURAHAN POYOWA BESAR SATU KOTAMOBAGU</v>
      </c>
      <c r="AA364" s="65"/>
      <c r="AB364" s="65"/>
      <c r="AC364" s="65" t="s">
        <v>70</v>
      </c>
      <c r="AD364" s="64" t="str">
        <f t="shared" si="673"/>
        <v>POYOWA BESAR</v>
      </c>
      <c r="AE364" s="67"/>
      <c r="AF364" s="67"/>
      <c r="AG364" s="67"/>
      <c r="AH364" s="67"/>
      <c r="AI364" s="69"/>
      <c r="AJ364" s="11" t="s">
        <v>590</v>
      </c>
      <c r="AK364" s="65" t="s">
        <v>96</v>
      </c>
      <c r="AL364" s="65"/>
      <c r="AM364" s="176"/>
      <c r="AN364" s="176"/>
      <c r="AO364" s="176"/>
      <c r="AP364" s="176"/>
      <c r="AQ364" s="177" t="s">
        <v>97</v>
      </c>
      <c r="AR364" s="70" t="s">
        <v>349</v>
      </c>
      <c r="AS364" s="71" t="str">
        <f t="shared" si="675"/>
        <v>KPBS-1.019</v>
      </c>
      <c r="AT364" s="71" t="str">
        <f t="shared" si="675"/>
        <v>C02</v>
      </c>
      <c r="AU364" s="72"/>
      <c r="AV364" s="202">
        <v>0.71384359249999896</v>
      </c>
      <c r="AW364" s="202">
        <v>124.3254357087</v>
      </c>
      <c r="AX364" s="65" t="s">
        <v>98</v>
      </c>
      <c r="AY364" s="65" t="s">
        <v>94</v>
      </c>
      <c r="AZ364" s="65" t="s">
        <v>94</v>
      </c>
      <c r="BA364" s="73" t="s">
        <v>77</v>
      </c>
      <c r="BB364" s="65" t="s">
        <v>98</v>
      </c>
      <c r="BC364" s="65">
        <v>34</v>
      </c>
      <c r="BD364" s="65" t="s">
        <v>98</v>
      </c>
      <c r="BE364" s="211" t="str">
        <f t="shared" si="676"/>
        <v>189, POYOWA BESAR,</v>
      </c>
    </row>
    <row r="365" spans="1:57" s="211" customFormat="1" ht="15.75" customHeight="1">
      <c r="A365" s="238"/>
      <c r="B365" s="239"/>
      <c r="C365" s="239"/>
      <c r="D365" s="239"/>
      <c r="E365" s="239"/>
      <c r="F365" s="239"/>
      <c r="G365" s="240"/>
      <c r="H365" s="23">
        <v>6</v>
      </c>
      <c r="I365" s="64" t="str">
        <f t="shared" ref="I365:M365" si="679">I364</f>
        <v>MR.KPBS.P042</v>
      </c>
      <c r="J365" s="64">
        <f t="shared" si="679"/>
        <v>0.71370092289999998</v>
      </c>
      <c r="K365" s="64">
        <f t="shared" si="679"/>
        <v>124.32542967569999</v>
      </c>
      <c r="L365" s="64" t="str">
        <f t="shared" si="679"/>
        <v>JL. RAYA POYOWA BESAR</v>
      </c>
      <c r="M365" s="64" t="str">
        <f t="shared" si="679"/>
        <v>SULAWESI UTARA</v>
      </c>
      <c r="N365" s="65" t="s">
        <v>105</v>
      </c>
      <c r="O365" s="66" t="s">
        <v>118</v>
      </c>
      <c r="P365" s="65" t="s">
        <v>119</v>
      </c>
      <c r="Q365" s="66">
        <v>95717</v>
      </c>
      <c r="R365" s="67"/>
      <c r="S365" s="68"/>
      <c r="T365" s="68"/>
      <c r="U365" s="68"/>
      <c r="V365" s="68"/>
      <c r="W365" s="65" t="s">
        <v>105</v>
      </c>
      <c r="X365" s="64"/>
      <c r="Y365" s="64" t="s">
        <v>106</v>
      </c>
      <c r="Z365" s="64" t="str">
        <f t="shared" si="653"/>
        <v>KELURAHAN POYOWA BESAR SATU KOTAMOBAGU</v>
      </c>
      <c r="AA365" s="65"/>
      <c r="AB365" s="65"/>
      <c r="AC365" s="65" t="s">
        <v>70</v>
      </c>
      <c r="AD365" s="64" t="str">
        <f t="shared" si="673"/>
        <v>POYOWA BESAR</v>
      </c>
      <c r="AE365" s="67"/>
      <c r="AF365" s="67"/>
      <c r="AG365" s="67"/>
      <c r="AH365" s="67"/>
      <c r="AI365" s="69"/>
      <c r="AJ365" s="11" t="s">
        <v>591</v>
      </c>
      <c r="AK365" s="65" t="s">
        <v>96</v>
      </c>
      <c r="AL365" s="65"/>
      <c r="AM365" s="176"/>
      <c r="AN365" s="176"/>
      <c r="AO365" s="176"/>
      <c r="AP365" s="176"/>
      <c r="AQ365" s="177" t="s">
        <v>97</v>
      </c>
      <c r="AR365" s="70" t="s">
        <v>349</v>
      </c>
      <c r="AS365" s="71" t="str">
        <f t="shared" si="675"/>
        <v>KPBS-1.019</v>
      </c>
      <c r="AT365" s="71" t="str">
        <f t="shared" si="675"/>
        <v>C02</v>
      </c>
      <c r="AU365" s="72"/>
      <c r="AV365" s="202">
        <v>0.71391297350000005</v>
      </c>
      <c r="AW365" s="202">
        <v>124.3255280188</v>
      </c>
      <c r="AX365" s="65" t="s">
        <v>98</v>
      </c>
      <c r="AY365" s="65" t="s">
        <v>94</v>
      </c>
      <c r="AZ365" s="65" t="s">
        <v>94</v>
      </c>
      <c r="BA365" s="73" t="s">
        <v>77</v>
      </c>
      <c r="BB365" s="65" t="s">
        <v>98</v>
      </c>
      <c r="BC365" s="65">
        <v>35</v>
      </c>
      <c r="BD365" s="65" t="s">
        <v>98</v>
      </c>
      <c r="BE365" s="211" t="str">
        <f t="shared" si="676"/>
        <v>191, POYOWA BESAR,</v>
      </c>
    </row>
    <row r="366" spans="1:57" s="211" customFormat="1" ht="15.75" customHeight="1">
      <c r="A366" s="238"/>
      <c r="B366" s="239"/>
      <c r="C366" s="239"/>
      <c r="D366" s="239"/>
      <c r="E366" s="239"/>
      <c r="F366" s="239"/>
      <c r="G366" s="240"/>
      <c r="H366" s="23">
        <v>7</v>
      </c>
      <c r="I366" s="64" t="str">
        <f t="shared" ref="I366:M366" si="680">I365</f>
        <v>MR.KPBS.P042</v>
      </c>
      <c r="J366" s="64">
        <f t="shared" si="680"/>
        <v>0.71370092289999998</v>
      </c>
      <c r="K366" s="64">
        <f t="shared" si="680"/>
        <v>124.32542967569999</v>
      </c>
      <c r="L366" s="64" t="str">
        <f t="shared" si="680"/>
        <v>JL. RAYA POYOWA BESAR</v>
      </c>
      <c r="M366" s="64" t="str">
        <f t="shared" si="680"/>
        <v>SULAWESI UTARA</v>
      </c>
      <c r="N366" s="65" t="s">
        <v>105</v>
      </c>
      <c r="O366" s="66" t="s">
        <v>118</v>
      </c>
      <c r="P366" s="65" t="s">
        <v>119</v>
      </c>
      <c r="Q366" s="66">
        <v>95717</v>
      </c>
      <c r="R366" s="67"/>
      <c r="S366" s="68"/>
      <c r="T366" s="68"/>
      <c r="U366" s="68"/>
      <c r="V366" s="68"/>
      <c r="W366" s="65" t="s">
        <v>105</v>
      </c>
      <c r="X366" s="64"/>
      <c r="Y366" s="64" t="s">
        <v>106</v>
      </c>
      <c r="Z366" s="64" t="str">
        <f t="shared" si="653"/>
        <v>KELURAHAN POYOWA BESAR SATU KOTAMOBAGU</v>
      </c>
      <c r="AA366" s="65"/>
      <c r="AB366" s="65"/>
      <c r="AC366" s="65" t="s">
        <v>70</v>
      </c>
      <c r="AD366" s="64" t="str">
        <f t="shared" si="673"/>
        <v>POYOWA BESAR</v>
      </c>
      <c r="AE366" s="67"/>
      <c r="AF366" s="67"/>
      <c r="AG366" s="67"/>
      <c r="AH366" s="67"/>
      <c r="AI366" s="69"/>
      <c r="AJ366" s="11" t="s">
        <v>592</v>
      </c>
      <c r="AK366" s="65" t="s">
        <v>96</v>
      </c>
      <c r="AL366" s="65"/>
      <c r="AM366" s="176"/>
      <c r="AN366" s="176"/>
      <c r="AO366" s="176"/>
      <c r="AP366" s="176"/>
      <c r="AQ366" s="177" t="s">
        <v>97</v>
      </c>
      <c r="AR366" s="70" t="s">
        <v>349</v>
      </c>
      <c r="AS366" s="71" t="str">
        <f t="shared" si="675"/>
        <v>KPBS-1.019</v>
      </c>
      <c r="AT366" s="71" t="str">
        <f t="shared" si="675"/>
        <v>C02</v>
      </c>
      <c r="AU366" s="72"/>
      <c r="AV366" s="202">
        <v>0.71384832133320797</v>
      </c>
      <c r="AW366" s="202">
        <v>124.325547731016</v>
      </c>
      <c r="AX366" s="65" t="s">
        <v>98</v>
      </c>
      <c r="AY366" s="65" t="s">
        <v>94</v>
      </c>
      <c r="AZ366" s="65" t="s">
        <v>94</v>
      </c>
      <c r="BA366" s="73" t="s">
        <v>77</v>
      </c>
      <c r="BB366" s="65" t="s">
        <v>98</v>
      </c>
      <c r="BC366" s="65">
        <v>36</v>
      </c>
      <c r="BD366" s="65" t="s">
        <v>98</v>
      </c>
      <c r="BE366" s="211" t="str">
        <f t="shared" si="676"/>
        <v>191A, POYOWA BESAR,</v>
      </c>
    </row>
    <row r="367" spans="1:57" s="211" customFormat="1" ht="15.75" customHeight="1">
      <c r="A367" s="238"/>
      <c r="B367" s="239"/>
      <c r="C367" s="239"/>
      <c r="D367" s="239"/>
      <c r="E367" s="239"/>
      <c r="F367" s="239"/>
      <c r="G367" s="240"/>
      <c r="H367" s="23">
        <v>8</v>
      </c>
      <c r="I367" s="64" t="str">
        <f t="shared" ref="I367:M367" si="681">I366</f>
        <v>MR.KPBS.P042</v>
      </c>
      <c r="J367" s="64">
        <f t="shared" si="681"/>
        <v>0.71370092289999998</v>
      </c>
      <c r="K367" s="64">
        <f t="shared" si="681"/>
        <v>124.32542967569999</v>
      </c>
      <c r="L367" s="64" t="str">
        <f t="shared" si="681"/>
        <v>JL. RAYA POYOWA BESAR</v>
      </c>
      <c r="M367" s="64" t="str">
        <f t="shared" si="681"/>
        <v>SULAWESI UTARA</v>
      </c>
      <c r="N367" s="65" t="s">
        <v>105</v>
      </c>
      <c r="O367" s="66" t="s">
        <v>118</v>
      </c>
      <c r="P367" s="65" t="s">
        <v>119</v>
      </c>
      <c r="Q367" s="66">
        <v>95717</v>
      </c>
      <c r="R367" s="67"/>
      <c r="S367" s="68"/>
      <c r="T367" s="68"/>
      <c r="U367" s="68"/>
      <c r="V367" s="68"/>
      <c r="W367" s="65" t="s">
        <v>105</v>
      </c>
      <c r="X367" s="64"/>
      <c r="Y367" s="64" t="s">
        <v>106</v>
      </c>
      <c r="Z367" s="64" t="str">
        <f t="shared" si="653"/>
        <v>KELURAHAN POYOWA BESAR SATU KOTAMOBAGU</v>
      </c>
      <c r="AA367" s="65"/>
      <c r="AB367" s="65"/>
      <c r="AC367" s="65" t="s">
        <v>70</v>
      </c>
      <c r="AD367" s="64" t="str">
        <f t="shared" si="673"/>
        <v>POYOWA BESAR</v>
      </c>
      <c r="AE367" s="67"/>
      <c r="AF367" s="67"/>
      <c r="AG367" s="67"/>
      <c r="AH367" s="67"/>
      <c r="AI367" s="69"/>
      <c r="AJ367" s="11" t="s">
        <v>593</v>
      </c>
      <c r="AK367" s="65" t="s">
        <v>96</v>
      </c>
      <c r="AL367" s="65"/>
      <c r="AM367" s="176"/>
      <c r="AN367" s="176"/>
      <c r="AO367" s="176"/>
      <c r="AP367" s="176"/>
      <c r="AQ367" s="177" t="s">
        <v>97</v>
      </c>
      <c r="AR367" s="70" t="s">
        <v>349</v>
      </c>
      <c r="AS367" s="71" t="str">
        <f t="shared" si="675"/>
        <v>KPBS-1.019</v>
      </c>
      <c r="AT367" s="71" t="str">
        <f t="shared" si="675"/>
        <v>C02</v>
      </c>
      <c r="AU367" s="72"/>
      <c r="AV367" s="202">
        <v>0.71388444790000005</v>
      </c>
      <c r="AW367" s="202">
        <v>124.3256491553</v>
      </c>
      <c r="AX367" s="65" t="s">
        <v>98</v>
      </c>
      <c r="AY367" s="65" t="s">
        <v>94</v>
      </c>
      <c r="AZ367" s="65" t="s">
        <v>94</v>
      </c>
      <c r="BA367" s="73" t="s">
        <v>77</v>
      </c>
      <c r="BB367" s="65" t="s">
        <v>98</v>
      </c>
      <c r="BC367" s="65">
        <v>37</v>
      </c>
      <c r="BD367" s="65" t="s">
        <v>98</v>
      </c>
      <c r="BE367" s="211" t="str">
        <f t="shared" si="676"/>
        <v>193, POYOWA BESAR,</v>
      </c>
    </row>
    <row r="368" spans="1:57" s="211" customFormat="1" ht="15.75" customHeight="1">
      <c r="A368" s="238"/>
      <c r="B368" s="239"/>
      <c r="C368" s="239"/>
      <c r="D368" s="239"/>
      <c r="E368" s="239"/>
      <c r="F368" s="239"/>
      <c r="G368" s="240"/>
      <c r="H368" s="23">
        <v>9</v>
      </c>
      <c r="I368" s="64" t="str">
        <f t="shared" ref="I368:M368" si="682">I367</f>
        <v>MR.KPBS.P042</v>
      </c>
      <c r="J368" s="64">
        <f t="shared" si="682"/>
        <v>0.71370092289999998</v>
      </c>
      <c r="K368" s="64">
        <f t="shared" si="682"/>
        <v>124.32542967569999</v>
      </c>
      <c r="L368" s="64" t="str">
        <f t="shared" si="682"/>
        <v>JL. RAYA POYOWA BESAR</v>
      </c>
      <c r="M368" s="64" t="str">
        <f t="shared" si="682"/>
        <v>SULAWESI UTARA</v>
      </c>
      <c r="N368" s="65" t="s">
        <v>105</v>
      </c>
      <c r="O368" s="66" t="s">
        <v>118</v>
      </c>
      <c r="P368" s="65" t="s">
        <v>119</v>
      </c>
      <c r="Q368" s="66">
        <v>95717</v>
      </c>
      <c r="R368" s="67"/>
      <c r="S368" s="68"/>
      <c r="T368" s="68"/>
      <c r="U368" s="68"/>
      <c r="V368" s="68"/>
      <c r="W368" s="65" t="s">
        <v>105</v>
      </c>
      <c r="X368" s="64"/>
      <c r="Y368" s="64" t="s">
        <v>106</v>
      </c>
      <c r="Z368" s="64" t="str">
        <f t="shared" si="653"/>
        <v>KELURAHAN POYOWA BESAR SATU KOTAMOBAGU</v>
      </c>
      <c r="AA368" s="65"/>
      <c r="AB368" s="65"/>
      <c r="AC368" s="65" t="s">
        <v>70</v>
      </c>
      <c r="AD368" s="64" t="str">
        <f t="shared" si="673"/>
        <v>POYOWA BESAR</v>
      </c>
      <c r="AE368" s="67"/>
      <c r="AF368" s="67"/>
      <c r="AG368" s="67"/>
      <c r="AH368" s="67"/>
      <c r="AI368" s="69"/>
      <c r="AJ368" s="11" t="s">
        <v>594</v>
      </c>
      <c r="AK368" s="65" t="s">
        <v>96</v>
      </c>
      <c r="AL368" s="65"/>
      <c r="AM368" s="176"/>
      <c r="AN368" s="176"/>
      <c r="AO368" s="176"/>
      <c r="AP368" s="176"/>
      <c r="AQ368" s="177" t="s">
        <v>97</v>
      </c>
      <c r="AR368" s="70" t="s">
        <v>349</v>
      </c>
      <c r="AS368" s="71" t="str">
        <f t="shared" si="675"/>
        <v>KPBS-1.019</v>
      </c>
      <c r="AT368" s="71" t="str">
        <f t="shared" si="675"/>
        <v>C02</v>
      </c>
      <c r="AU368" s="72"/>
      <c r="AV368" s="202">
        <v>0.71371304199999996</v>
      </c>
      <c r="AW368" s="202">
        <v>124.3257061705</v>
      </c>
      <c r="AX368" s="65" t="s">
        <v>98</v>
      </c>
      <c r="AY368" s="65" t="s">
        <v>94</v>
      </c>
      <c r="AZ368" s="65" t="s">
        <v>94</v>
      </c>
      <c r="BA368" s="73" t="s">
        <v>77</v>
      </c>
      <c r="BB368" s="65" t="s">
        <v>98</v>
      </c>
      <c r="BC368" s="65">
        <v>38</v>
      </c>
      <c r="BD368" s="65" t="s">
        <v>98</v>
      </c>
      <c r="BE368" s="211" t="str">
        <f t="shared" si="676"/>
        <v>192, POYOWA BESAR,</v>
      </c>
    </row>
    <row r="369" spans="1:57" s="211" customFormat="1" ht="15.75" customHeight="1">
      <c r="A369" s="238"/>
      <c r="B369" s="239"/>
      <c r="C369" s="239"/>
      <c r="D369" s="239"/>
      <c r="E369" s="239"/>
      <c r="F369" s="239"/>
      <c r="G369" s="240"/>
      <c r="H369" s="23">
        <v>10</v>
      </c>
      <c r="I369" s="64" t="str">
        <f t="shared" ref="I369:M369" si="683">I368</f>
        <v>MR.KPBS.P042</v>
      </c>
      <c r="J369" s="64">
        <f t="shared" si="683"/>
        <v>0.71370092289999998</v>
      </c>
      <c r="K369" s="64">
        <f t="shared" si="683"/>
        <v>124.32542967569999</v>
      </c>
      <c r="L369" s="64" t="str">
        <f t="shared" si="683"/>
        <v>JL. RAYA POYOWA BESAR</v>
      </c>
      <c r="M369" s="64" t="str">
        <f t="shared" si="683"/>
        <v>SULAWESI UTARA</v>
      </c>
      <c r="N369" s="65" t="s">
        <v>105</v>
      </c>
      <c r="O369" s="66" t="s">
        <v>118</v>
      </c>
      <c r="P369" s="65" t="s">
        <v>119</v>
      </c>
      <c r="Q369" s="66">
        <v>95717</v>
      </c>
      <c r="R369" s="67"/>
      <c r="S369" s="68"/>
      <c r="T369" s="68"/>
      <c r="U369" s="68"/>
      <c r="V369" s="68"/>
      <c r="W369" s="65" t="s">
        <v>105</v>
      </c>
      <c r="X369" s="64"/>
      <c r="Y369" s="64" t="s">
        <v>106</v>
      </c>
      <c r="Z369" s="64" t="str">
        <f t="shared" si="653"/>
        <v>KELURAHAN POYOWA BESAR SATU KOTAMOBAGU</v>
      </c>
      <c r="AA369" s="65"/>
      <c r="AB369" s="65"/>
      <c r="AC369" s="65" t="s">
        <v>70</v>
      </c>
      <c r="AD369" s="64" t="str">
        <f>AD361</f>
        <v>POYOWA BESAR</v>
      </c>
      <c r="AE369" s="67"/>
      <c r="AF369" s="67"/>
      <c r="AG369" s="67"/>
      <c r="AH369" s="67"/>
      <c r="AI369" s="69"/>
      <c r="AJ369" s="11" t="s">
        <v>595</v>
      </c>
      <c r="AK369" s="65" t="s">
        <v>96</v>
      </c>
      <c r="AL369" s="65"/>
      <c r="AM369" s="176"/>
      <c r="AN369" s="176"/>
      <c r="AO369" s="176"/>
      <c r="AP369" s="176"/>
      <c r="AQ369" s="177" t="s">
        <v>97</v>
      </c>
      <c r="AR369" s="70" t="s">
        <v>349</v>
      </c>
      <c r="AS369" s="71" t="str">
        <f t="shared" si="675"/>
        <v>KPBS-1.019</v>
      </c>
      <c r="AT369" s="71" t="str">
        <f t="shared" si="675"/>
        <v>C02</v>
      </c>
      <c r="AU369" s="72"/>
      <c r="AV369" s="202">
        <v>0.71366945969999995</v>
      </c>
      <c r="AW369" s="202">
        <v>124.32558096130001</v>
      </c>
      <c r="AX369" s="65" t="s">
        <v>98</v>
      </c>
      <c r="AY369" s="65" t="s">
        <v>94</v>
      </c>
      <c r="AZ369" s="65" t="s">
        <v>94</v>
      </c>
      <c r="BA369" s="73" t="s">
        <v>77</v>
      </c>
      <c r="BB369" s="65" t="s">
        <v>98</v>
      </c>
      <c r="BC369" s="65">
        <v>31</v>
      </c>
      <c r="BD369" s="65" t="s">
        <v>98</v>
      </c>
      <c r="BE369" s="211" t="str">
        <f t="shared" si="654"/>
        <v>190, POYOWA BESAR,</v>
      </c>
    </row>
    <row r="370" spans="1:57" s="211" customFormat="1" ht="15.75" customHeight="1">
      <c r="A370" s="238"/>
      <c r="B370" s="239"/>
      <c r="C370" s="239"/>
      <c r="D370" s="239"/>
      <c r="E370" s="239"/>
      <c r="F370" s="239"/>
      <c r="G370" s="240"/>
      <c r="H370" s="23">
        <v>11</v>
      </c>
      <c r="I370" s="64" t="str">
        <f t="shared" ref="I370:M370" si="684">I369</f>
        <v>MR.KPBS.P042</v>
      </c>
      <c r="J370" s="64">
        <f t="shared" si="684"/>
        <v>0.71370092289999998</v>
      </c>
      <c r="K370" s="64">
        <f t="shared" si="684"/>
        <v>124.32542967569999</v>
      </c>
      <c r="L370" s="64" t="str">
        <f t="shared" si="684"/>
        <v>JL. RAYA POYOWA BESAR</v>
      </c>
      <c r="M370" s="64" t="str">
        <f t="shared" si="684"/>
        <v>SULAWESI UTARA</v>
      </c>
      <c r="N370" s="65" t="s">
        <v>105</v>
      </c>
      <c r="O370" s="66" t="s">
        <v>118</v>
      </c>
      <c r="P370" s="65" t="s">
        <v>119</v>
      </c>
      <c r="Q370" s="66">
        <v>95717</v>
      </c>
      <c r="R370" s="67"/>
      <c r="S370" s="68"/>
      <c r="T370" s="68"/>
      <c r="U370" s="68"/>
      <c r="V370" s="68"/>
      <c r="W370" s="65" t="s">
        <v>105</v>
      </c>
      <c r="X370" s="64"/>
      <c r="Y370" s="64" t="s">
        <v>106</v>
      </c>
      <c r="Z370" s="64" t="str">
        <f t="shared" si="653"/>
        <v>KELURAHAN POYOWA BESAR SATU KOTAMOBAGU</v>
      </c>
      <c r="AA370" s="65"/>
      <c r="AB370" s="65"/>
      <c r="AC370" s="65" t="s">
        <v>70</v>
      </c>
      <c r="AD370" s="64" t="str">
        <f t="shared" si="673"/>
        <v>POYOWA BESAR</v>
      </c>
      <c r="AE370" s="67"/>
      <c r="AF370" s="67"/>
      <c r="AG370" s="67"/>
      <c r="AH370" s="67"/>
      <c r="AI370" s="69"/>
      <c r="AJ370" s="11" t="s">
        <v>596</v>
      </c>
      <c r="AK370" s="65" t="s">
        <v>96</v>
      </c>
      <c r="AL370" s="65"/>
      <c r="AM370" s="176"/>
      <c r="AN370" s="176"/>
      <c r="AO370" s="176"/>
      <c r="AP370" s="176"/>
      <c r="AQ370" s="177" t="s">
        <v>97</v>
      </c>
      <c r="AR370" s="70" t="s">
        <v>349</v>
      </c>
      <c r="AS370" s="71" t="str">
        <f t="shared" ref="AS370:AT375" si="685">AS369</f>
        <v>KPBS-1.019</v>
      </c>
      <c r="AT370" s="71" t="str">
        <f t="shared" si="685"/>
        <v>C02</v>
      </c>
      <c r="AU370" s="72"/>
      <c r="AV370" s="202">
        <v>0.71360125350000003</v>
      </c>
      <c r="AW370" s="202">
        <v>124.32560435000001</v>
      </c>
      <c r="AX370" s="65" t="s">
        <v>98</v>
      </c>
      <c r="AY370" s="65" t="s">
        <v>94</v>
      </c>
      <c r="AZ370" s="65" t="s">
        <v>94</v>
      </c>
      <c r="BA370" s="73" t="s">
        <v>77</v>
      </c>
      <c r="BB370" s="65" t="s">
        <v>98</v>
      </c>
      <c r="BC370" s="65">
        <v>31</v>
      </c>
      <c r="BD370" s="65" t="s">
        <v>98</v>
      </c>
      <c r="BE370" s="211" t="str">
        <f t="shared" si="654"/>
        <v>194, POYOWA BESAR,</v>
      </c>
    </row>
    <row r="371" spans="1:57" s="211" customFormat="1" ht="15.75" customHeight="1">
      <c r="A371" s="238"/>
      <c r="B371" s="239"/>
      <c r="C371" s="239"/>
      <c r="D371" s="239"/>
      <c r="E371" s="239"/>
      <c r="F371" s="239"/>
      <c r="G371" s="240"/>
      <c r="H371" s="23">
        <v>12</v>
      </c>
      <c r="I371" s="64" t="str">
        <f t="shared" si="672"/>
        <v>MR.KPBS.P042</v>
      </c>
      <c r="J371" s="64">
        <f t="shared" si="672"/>
        <v>0.71370092289999998</v>
      </c>
      <c r="K371" s="64">
        <f t="shared" si="672"/>
        <v>124.32542967569999</v>
      </c>
      <c r="L371" s="64" t="str">
        <f t="shared" si="672"/>
        <v>JL. RAYA POYOWA BESAR</v>
      </c>
      <c r="M371" s="64" t="str">
        <f t="shared" si="672"/>
        <v>SULAWESI UTARA</v>
      </c>
      <c r="N371" s="65" t="s">
        <v>105</v>
      </c>
      <c r="O371" s="66" t="s">
        <v>118</v>
      </c>
      <c r="P371" s="65" t="s">
        <v>119</v>
      </c>
      <c r="Q371" s="66">
        <v>95717</v>
      </c>
      <c r="R371" s="67"/>
      <c r="S371" s="68"/>
      <c r="T371" s="68"/>
      <c r="U371" s="68"/>
      <c r="V371" s="68"/>
      <c r="W371" s="65" t="s">
        <v>105</v>
      </c>
      <c r="X371" s="64"/>
      <c r="Y371" s="64" t="s">
        <v>106</v>
      </c>
      <c r="Z371" s="64" t="str">
        <f t="shared" si="653"/>
        <v>KELURAHAN POYOWA BESAR SATU KOTAMOBAGU</v>
      </c>
      <c r="AA371" s="65"/>
      <c r="AB371" s="65"/>
      <c r="AC371" s="65" t="s">
        <v>70</v>
      </c>
      <c r="AD371" s="64" t="str">
        <f t="shared" si="673"/>
        <v>POYOWA BESAR</v>
      </c>
      <c r="AE371" s="67"/>
      <c r="AF371" s="67"/>
      <c r="AG371" s="67"/>
      <c r="AH371" s="67"/>
      <c r="AI371" s="69"/>
      <c r="AJ371" s="11" t="s">
        <v>597</v>
      </c>
      <c r="AK371" s="65" t="s">
        <v>96</v>
      </c>
      <c r="AL371" s="65"/>
      <c r="AM371" s="176"/>
      <c r="AN371" s="176"/>
      <c r="AO371" s="176"/>
      <c r="AP371" s="176"/>
      <c r="AQ371" s="177" t="s">
        <v>97</v>
      </c>
      <c r="AR371" s="70" t="s">
        <v>349</v>
      </c>
      <c r="AS371" s="71" t="str">
        <f t="shared" si="685"/>
        <v>KPBS-1.019</v>
      </c>
      <c r="AT371" s="71" t="str">
        <f t="shared" si="685"/>
        <v>C02</v>
      </c>
      <c r="AU371" s="72"/>
      <c r="AV371" s="202">
        <v>0.71354411620000002</v>
      </c>
      <c r="AW371" s="202">
        <v>124.3256192825</v>
      </c>
      <c r="AX371" s="65" t="s">
        <v>98</v>
      </c>
      <c r="AY371" s="65" t="s">
        <v>94</v>
      </c>
      <c r="AZ371" s="65" t="s">
        <v>94</v>
      </c>
      <c r="BA371" s="73" t="s">
        <v>77</v>
      </c>
      <c r="BB371" s="65" t="s">
        <v>98</v>
      </c>
      <c r="BC371" s="65">
        <v>31</v>
      </c>
      <c r="BD371" s="65" t="s">
        <v>98</v>
      </c>
      <c r="BE371" s="211" t="str">
        <f t="shared" si="654"/>
        <v>196, POYOWA BESAR,</v>
      </c>
    </row>
    <row r="372" spans="1:57" s="211" customFormat="1" ht="15.75" customHeight="1">
      <c r="A372" s="238"/>
      <c r="B372" s="239"/>
      <c r="C372" s="239"/>
      <c r="D372" s="239"/>
      <c r="E372" s="239"/>
      <c r="F372" s="239"/>
      <c r="G372" s="240"/>
      <c r="H372" s="23">
        <v>13</v>
      </c>
      <c r="I372" s="64" t="str">
        <f t="shared" si="672"/>
        <v>MR.KPBS.P042</v>
      </c>
      <c r="J372" s="64">
        <f t="shared" si="672"/>
        <v>0.71370092289999998</v>
      </c>
      <c r="K372" s="64">
        <f t="shared" si="672"/>
        <v>124.32542967569999</v>
      </c>
      <c r="L372" s="64" t="str">
        <f t="shared" si="672"/>
        <v>JL. RAYA POYOWA BESAR</v>
      </c>
      <c r="M372" s="64" t="str">
        <f t="shared" si="672"/>
        <v>SULAWESI UTARA</v>
      </c>
      <c r="N372" s="65" t="s">
        <v>105</v>
      </c>
      <c r="O372" s="66" t="s">
        <v>118</v>
      </c>
      <c r="P372" s="65" t="s">
        <v>119</v>
      </c>
      <c r="Q372" s="66">
        <v>95717</v>
      </c>
      <c r="R372" s="67"/>
      <c r="S372" s="68"/>
      <c r="T372" s="68"/>
      <c r="U372" s="68"/>
      <c r="V372" s="68"/>
      <c r="W372" s="65" t="s">
        <v>105</v>
      </c>
      <c r="X372" s="64"/>
      <c r="Y372" s="64" t="s">
        <v>106</v>
      </c>
      <c r="Z372" s="64" t="str">
        <f t="shared" si="653"/>
        <v>KELURAHAN POYOWA BESAR SATU KOTAMOBAGU</v>
      </c>
      <c r="AA372" s="65"/>
      <c r="AB372" s="65"/>
      <c r="AC372" s="65" t="s">
        <v>70</v>
      </c>
      <c r="AD372" s="64" t="str">
        <f t="shared" si="673"/>
        <v>POYOWA BESAR</v>
      </c>
      <c r="AE372" s="67"/>
      <c r="AF372" s="67"/>
      <c r="AG372" s="67"/>
      <c r="AH372" s="67"/>
      <c r="AI372" s="69"/>
      <c r="AJ372" s="11" t="s">
        <v>598</v>
      </c>
      <c r="AK372" s="65" t="s">
        <v>96</v>
      </c>
      <c r="AL372" s="65"/>
      <c r="AM372" s="176"/>
      <c r="AN372" s="176"/>
      <c r="AO372" s="176"/>
      <c r="AP372" s="176"/>
      <c r="AQ372" s="177" t="s">
        <v>97</v>
      </c>
      <c r="AR372" s="70" t="s">
        <v>349</v>
      </c>
      <c r="AS372" s="71" t="str">
        <f t="shared" si="685"/>
        <v>KPBS-1.019</v>
      </c>
      <c r="AT372" s="71" t="str">
        <f t="shared" si="685"/>
        <v>C02</v>
      </c>
      <c r="AU372" s="72"/>
      <c r="AV372" s="202">
        <v>0.71348425800000004</v>
      </c>
      <c r="AW372" s="202">
        <v>124.32564100259999</v>
      </c>
      <c r="AX372" s="65" t="s">
        <v>98</v>
      </c>
      <c r="AY372" s="65" t="s">
        <v>94</v>
      </c>
      <c r="AZ372" s="65" t="s">
        <v>94</v>
      </c>
      <c r="BA372" s="73" t="s">
        <v>77</v>
      </c>
      <c r="BB372" s="65" t="s">
        <v>98</v>
      </c>
      <c r="BC372" s="65">
        <v>31</v>
      </c>
      <c r="BD372" s="65" t="s">
        <v>98</v>
      </c>
      <c r="BE372" s="211" t="str">
        <f t="shared" si="654"/>
        <v>197, POYOWA BESAR,</v>
      </c>
    </row>
    <row r="373" spans="1:57" s="211" customFormat="1" ht="15.75" customHeight="1">
      <c r="A373" s="238"/>
      <c r="B373" s="239"/>
      <c r="C373" s="239"/>
      <c r="D373" s="239"/>
      <c r="E373" s="239"/>
      <c r="F373" s="239"/>
      <c r="G373" s="240"/>
      <c r="H373" s="23">
        <v>14</v>
      </c>
      <c r="I373" s="64" t="str">
        <f t="shared" si="672"/>
        <v>MR.KPBS.P042</v>
      </c>
      <c r="J373" s="64">
        <f t="shared" si="672"/>
        <v>0.71370092289999998</v>
      </c>
      <c r="K373" s="64">
        <f t="shared" si="672"/>
        <v>124.32542967569999</v>
      </c>
      <c r="L373" s="64" t="str">
        <f t="shared" si="672"/>
        <v>JL. RAYA POYOWA BESAR</v>
      </c>
      <c r="M373" s="64" t="str">
        <f t="shared" si="672"/>
        <v>SULAWESI UTARA</v>
      </c>
      <c r="N373" s="65" t="s">
        <v>105</v>
      </c>
      <c r="O373" s="66" t="s">
        <v>118</v>
      </c>
      <c r="P373" s="65" t="s">
        <v>119</v>
      </c>
      <c r="Q373" s="66">
        <v>95717</v>
      </c>
      <c r="R373" s="67"/>
      <c r="S373" s="68"/>
      <c r="T373" s="68"/>
      <c r="U373" s="68"/>
      <c r="V373" s="68"/>
      <c r="W373" s="65" t="s">
        <v>105</v>
      </c>
      <c r="X373" s="64"/>
      <c r="Y373" s="64" t="s">
        <v>106</v>
      </c>
      <c r="Z373" s="64" t="str">
        <f t="shared" si="653"/>
        <v>KELURAHAN POYOWA BESAR SATU KOTAMOBAGU</v>
      </c>
      <c r="AA373" s="65"/>
      <c r="AB373" s="65"/>
      <c r="AC373" s="65" t="s">
        <v>70</v>
      </c>
      <c r="AD373" s="64" t="str">
        <f t="shared" si="673"/>
        <v>POYOWA BESAR</v>
      </c>
      <c r="AE373" s="67"/>
      <c r="AF373" s="67"/>
      <c r="AG373" s="67"/>
      <c r="AH373" s="67"/>
      <c r="AI373" s="69"/>
      <c r="AJ373" s="11" t="s">
        <v>599</v>
      </c>
      <c r="AK373" s="65" t="s">
        <v>96</v>
      </c>
      <c r="AL373" s="65"/>
      <c r="AM373" s="176"/>
      <c r="AN373" s="176"/>
      <c r="AO373" s="176"/>
      <c r="AP373" s="176"/>
      <c r="AQ373" s="177" t="s">
        <v>97</v>
      </c>
      <c r="AR373" s="70" t="s">
        <v>349</v>
      </c>
      <c r="AS373" s="71" t="str">
        <f t="shared" si="685"/>
        <v>KPBS-1.019</v>
      </c>
      <c r="AT373" s="71" t="str">
        <f t="shared" si="685"/>
        <v>C02</v>
      </c>
      <c r="AU373" s="72"/>
      <c r="AV373" s="202">
        <v>0.71345568940000004</v>
      </c>
      <c r="AW373" s="202">
        <v>124.3254400923</v>
      </c>
      <c r="AX373" s="65" t="s">
        <v>98</v>
      </c>
      <c r="AY373" s="65" t="s">
        <v>94</v>
      </c>
      <c r="AZ373" s="65" t="s">
        <v>94</v>
      </c>
      <c r="BA373" s="73" t="s">
        <v>77</v>
      </c>
      <c r="BB373" s="65" t="s">
        <v>98</v>
      </c>
      <c r="BC373" s="65">
        <v>31</v>
      </c>
      <c r="BD373" s="65" t="s">
        <v>98</v>
      </c>
      <c r="BE373" s="211" t="str">
        <f t="shared" si="654"/>
        <v>195, POYOWA BESAR,</v>
      </c>
    </row>
    <row r="374" spans="1:57" s="211" customFormat="1" ht="15.75" customHeight="1">
      <c r="A374" s="238"/>
      <c r="B374" s="239"/>
      <c r="C374" s="239"/>
      <c r="D374" s="239"/>
      <c r="E374" s="239"/>
      <c r="F374" s="239"/>
      <c r="G374" s="240"/>
      <c r="H374" s="23">
        <v>15</v>
      </c>
      <c r="I374" s="64" t="str">
        <f t="shared" si="672"/>
        <v>MR.KPBS.P042</v>
      </c>
      <c r="J374" s="64">
        <f t="shared" si="672"/>
        <v>0.71370092289999998</v>
      </c>
      <c r="K374" s="64">
        <f t="shared" si="672"/>
        <v>124.32542967569999</v>
      </c>
      <c r="L374" s="64" t="str">
        <f t="shared" si="672"/>
        <v>JL. RAYA POYOWA BESAR</v>
      </c>
      <c r="M374" s="64" t="str">
        <f t="shared" si="672"/>
        <v>SULAWESI UTARA</v>
      </c>
      <c r="N374" s="65" t="s">
        <v>105</v>
      </c>
      <c r="O374" s="66" t="s">
        <v>118</v>
      </c>
      <c r="P374" s="65" t="s">
        <v>119</v>
      </c>
      <c r="Q374" s="66">
        <v>95717</v>
      </c>
      <c r="R374" s="67"/>
      <c r="S374" s="68"/>
      <c r="T374" s="74"/>
      <c r="U374" s="74"/>
      <c r="V374" s="74"/>
      <c r="W374" s="65" t="s">
        <v>105</v>
      </c>
      <c r="X374" s="64"/>
      <c r="Y374" s="64" t="s">
        <v>106</v>
      </c>
      <c r="Z374" s="64" t="str">
        <f t="shared" si="653"/>
        <v>KELURAHAN POYOWA BESAR SATU KOTAMOBAGU</v>
      </c>
      <c r="AA374" s="65"/>
      <c r="AB374" s="65"/>
      <c r="AC374" s="65" t="s">
        <v>70</v>
      </c>
      <c r="AD374" s="64" t="str">
        <f t="shared" si="673"/>
        <v>POYOWA BESAR</v>
      </c>
      <c r="AE374" s="75"/>
      <c r="AF374" s="75"/>
      <c r="AG374" s="75"/>
      <c r="AH374" s="75"/>
      <c r="AI374" s="69"/>
      <c r="AJ374" s="11" t="s">
        <v>600</v>
      </c>
      <c r="AK374" s="65" t="s">
        <v>96</v>
      </c>
      <c r="AL374" s="65"/>
      <c r="AM374" s="176"/>
      <c r="AN374" s="176"/>
      <c r="AO374" s="176"/>
      <c r="AP374" s="176"/>
      <c r="AQ374" s="186" t="s">
        <v>97</v>
      </c>
      <c r="AR374" s="70" t="s">
        <v>349</v>
      </c>
      <c r="AS374" s="71" t="str">
        <f t="shared" si="685"/>
        <v>KPBS-1.019</v>
      </c>
      <c r="AT374" s="71" t="str">
        <f t="shared" si="685"/>
        <v>C02</v>
      </c>
      <c r="AU374" s="72"/>
      <c r="AV374" s="202">
        <v>0.71337542499999995</v>
      </c>
      <c r="AW374" s="202">
        <v>124.32546181239999</v>
      </c>
      <c r="AX374" s="65" t="s">
        <v>98</v>
      </c>
      <c r="AY374" s="65" t="s">
        <v>94</v>
      </c>
      <c r="AZ374" s="65" t="s">
        <v>94</v>
      </c>
      <c r="BA374" s="73" t="s">
        <v>77</v>
      </c>
      <c r="BB374" s="65" t="s">
        <v>98</v>
      </c>
      <c r="BC374" s="65">
        <v>31</v>
      </c>
      <c r="BD374" s="65" t="s">
        <v>98</v>
      </c>
      <c r="BE374" s="211" t="str">
        <f t="shared" si="654"/>
        <v>198, POYOWA BESAR,</v>
      </c>
    </row>
    <row r="375" spans="1:57" s="211" customFormat="1" ht="15.75" customHeight="1">
      <c r="A375" s="235"/>
      <c r="B375" s="241"/>
      <c r="C375" s="241"/>
      <c r="D375" s="241"/>
      <c r="E375" s="241"/>
      <c r="F375" s="241"/>
      <c r="G375" s="242"/>
      <c r="H375" s="23">
        <v>16</v>
      </c>
      <c r="I375" s="64" t="str">
        <f t="shared" si="672"/>
        <v>MR.KPBS.P042</v>
      </c>
      <c r="J375" s="64">
        <f t="shared" si="672"/>
        <v>0.71370092289999998</v>
      </c>
      <c r="K375" s="64">
        <f t="shared" si="672"/>
        <v>124.32542967569999</v>
      </c>
      <c r="L375" s="64" t="str">
        <f t="shared" si="672"/>
        <v>JL. RAYA POYOWA BESAR</v>
      </c>
      <c r="M375" s="64" t="str">
        <f t="shared" si="672"/>
        <v>SULAWESI UTARA</v>
      </c>
      <c r="N375" s="65" t="s">
        <v>105</v>
      </c>
      <c r="O375" s="66" t="s">
        <v>118</v>
      </c>
      <c r="P375" s="65" t="s">
        <v>119</v>
      </c>
      <c r="Q375" s="66">
        <v>95717</v>
      </c>
      <c r="R375" s="67"/>
      <c r="S375" s="68"/>
      <c r="T375" s="68"/>
      <c r="U375" s="68"/>
      <c r="V375" s="68"/>
      <c r="W375" s="65" t="s">
        <v>105</v>
      </c>
      <c r="X375" s="64"/>
      <c r="Y375" s="64" t="s">
        <v>106</v>
      </c>
      <c r="Z375" s="64" t="str">
        <f t="shared" si="653"/>
        <v>KELURAHAN POYOWA BESAR SATU KOTAMOBAGU</v>
      </c>
      <c r="AA375" s="65"/>
      <c r="AB375" s="65"/>
      <c r="AC375" s="65" t="s">
        <v>70</v>
      </c>
      <c r="AD375" s="64" t="str">
        <f t="shared" si="673"/>
        <v>POYOWA BESAR</v>
      </c>
      <c r="AE375" s="67"/>
      <c r="AF375" s="67"/>
      <c r="AG375" s="67"/>
      <c r="AH375" s="67"/>
      <c r="AI375" s="69"/>
      <c r="AJ375" s="11" t="s">
        <v>601</v>
      </c>
      <c r="AK375" s="65" t="s">
        <v>96</v>
      </c>
      <c r="AL375" s="65"/>
      <c r="AM375" s="65"/>
      <c r="AN375" s="65"/>
      <c r="AO375" s="65"/>
      <c r="AP375" s="65"/>
      <c r="AQ375" s="177" t="s">
        <v>97</v>
      </c>
      <c r="AR375" s="70" t="s">
        <v>349</v>
      </c>
      <c r="AS375" s="71" t="str">
        <f t="shared" si="685"/>
        <v>KPBS-1.019</v>
      </c>
      <c r="AT375" s="71" t="str">
        <f t="shared" si="685"/>
        <v>C02</v>
      </c>
      <c r="AU375" s="72"/>
      <c r="AV375" s="202">
        <v>0.71340943540000001</v>
      </c>
      <c r="AW375" s="202">
        <v>124.325650505</v>
      </c>
      <c r="AX375" s="65" t="s">
        <v>98</v>
      </c>
      <c r="AY375" s="65" t="s">
        <v>94</v>
      </c>
      <c r="AZ375" s="65" t="s">
        <v>94</v>
      </c>
      <c r="BA375" s="73" t="s">
        <v>77</v>
      </c>
      <c r="BB375" s="65" t="s">
        <v>98</v>
      </c>
      <c r="BC375" s="65">
        <v>31</v>
      </c>
      <c r="BD375" s="65" t="s">
        <v>98</v>
      </c>
      <c r="BE375" s="211" t="str">
        <f t="shared" si="654"/>
        <v>199, POYOWA BESAR,</v>
      </c>
    </row>
    <row r="376" spans="1:57" s="211" customFormat="1" ht="15.75" customHeight="1">
      <c r="A376" s="34" t="s">
        <v>104</v>
      </c>
      <c r="B376" s="34">
        <f>B360+1</f>
        <v>26</v>
      </c>
      <c r="C376" s="33" t="s">
        <v>350</v>
      </c>
      <c r="D376" s="33" t="s">
        <v>101</v>
      </c>
      <c r="E376" s="33">
        <v>1</v>
      </c>
      <c r="F376" s="9">
        <f>F361+1</f>
        <v>5</v>
      </c>
      <c r="G376" s="214" t="s">
        <v>257</v>
      </c>
      <c r="H376" s="44">
        <v>1</v>
      </c>
      <c r="I376" s="56" t="s">
        <v>115</v>
      </c>
      <c r="J376" s="56">
        <v>0.71311396360000001</v>
      </c>
      <c r="K376" s="56">
        <v>124.3256576296</v>
      </c>
      <c r="L376" s="112" t="s">
        <v>116</v>
      </c>
      <c r="M376" s="56" t="str">
        <f t="shared" ref="M376:M400" si="686">M375</f>
        <v>SULAWESI UTARA</v>
      </c>
      <c r="N376" s="76" t="s">
        <v>105</v>
      </c>
      <c r="O376" s="49" t="s">
        <v>118</v>
      </c>
      <c r="P376" s="76" t="s">
        <v>119</v>
      </c>
      <c r="Q376" s="49">
        <v>95717</v>
      </c>
      <c r="R376" s="77"/>
      <c r="S376" s="78"/>
      <c r="T376" s="78"/>
      <c r="U376" s="78"/>
      <c r="V376" s="78"/>
      <c r="W376" s="76" t="s">
        <v>105</v>
      </c>
      <c r="X376" s="56"/>
      <c r="Y376" s="56" t="s">
        <v>106</v>
      </c>
      <c r="Z376" s="56" t="str">
        <f t="shared" si="653"/>
        <v>KELURAHAN POYOWA BESAR SATU KOTAMOBAGU</v>
      </c>
      <c r="AA376" s="76"/>
      <c r="AB376" s="76"/>
      <c r="AC376" s="76" t="s">
        <v>70</v>
      </c>
      <c r="AD376" s="112" t="s">
        <v>119</v>
      </c>
      <c r="AE376" s="77"/>
      <c r="AF376" s="77"/>
      <c r="AG376" s="77"/>
      <c r="AH376" s="77"/>
      <c r="AI376" s="79"/>
      <c r="AJ376" s="114" t="s">
        <v>120</v>
      </c>
      <c r="AK376" s="76" t="s">
        <v>96</v>
      </c>
      <c r="AL376" s="76"/>
      <c r="AM376" s="189"/>
      <c r="AN376" s="189"/>
      <c r="AO376" s="189"/>
      <c r="AP376" s="189"/>
      <c r="AQ376" s="190" t="s">
        <v>97</v>
      </c>
      <c r="AR376" s="59" t="s">
        <v>349</v>
      </c>
      <c r="AS376" s="80" t="str">
        <f>AS360</f>
        <v>KPBS-1.019</v>
      </c>
      <c r="AT376" s="60" t="str">
        <f>G376</f>
        <v>C03</v>
      </c>
      <c r="AU376" s="81"/>
      <c r="AV376" s="201">
        <v>0.71330740439999996</v>
      </c>
      <c r="AW376" s="201">
        <v>124.3254889623</v>
      </c>
      <c r="AX376" s="76" t="s">
        <v>98</v>
      </c>
      <c r="AY376" s="76" t="s">
        <v>94</v>
      </c>
      <c r="AZ376" s="76" t="s">
        <v>94</v>
      </c>
      <c r="BA376" s="63" t="s">
        <v>77</v>
      </c>
      <c r="BB376" s="76" t="s">
        <v>98</v>
      </c>
      <c r="BC376" s="76">
        <v>31</v>
      </c>
      <c r="BD376" s="76" t="s">
        <v>98</v>
      </c>
      <c r="BE376" s="211" t="str">
        <f t="shared" si="654"/>
        <v>200, POYOWA BESAR,</v>
      </c>
    </row>
    <row r="377" spans="1:57" s="211" customFormat="1" ht="15.75" customHeight="1">
      <c r="A377" s="45"/>
      <c r="B377" s="45"/>
      <c r="C377" s="22" t="s">
        <v>350</v>
      </c>
      <c r="D377" s="22" t="s">
        <v>101</v>
      </c>
      <c r="E377" s="33">
        <v>1</v>
      </c>
      <c r="F377" s="118">
        <f>F376+1</f>
        <v>6</v>
      </c>
      <c r="G377" s="235"/>
      <c r="H377" s="23">
        <v>2</v>
      </c>
      <c r="I377" s="64" t="str">
        <f t="shared" ref="I377:L388" si="687">I376</f>
        <v>MR.KPBS.P044</v>
      </c>
      <c r="J377" s="64">
        <f t="shared" si="687"/>
        <v>0.71311396360000001</v>
      </c>
      <c r="K377" s="64">
        <f t="shared" si="687"/>
        <v>124.3256576296</v>
      </c>
      <c r="L377" s="64" t="str">
        <f t="shared" si="687"/>
        <v>JL. RAYA POYOWA BESAR</v>
      </c>
      <c r="M377" s="64" t="str">
        <f t="shared" si="686"/>
        <v>SULAWESI UTARA</v>
      </c>
      <c r="N377" s="65" t="s">
        <v>105</v>
      </c>
      <c r="O377" s="66" t="s">
        <v>118</v>
      </c>
      <c r="P377" s="65" t="s">
        <v>119</v>
      </c>
      <c r="Q377" s="66">
        <v>95717</v>
      </c>
      <c r="R377" s="67"/>
      <c r="S377" s="68"/>
      <c r="T377" s="68"/>
      <c r="U377" s="68"/>
      <c r="V377" s="68"/>
      <c r="W377" s="65" t="s">
        <v>105</v>
      </c>
      <c r="X377" s="64"/>
      <c r="Y377" s="64" t="s">
        <v>106</v>
      </c>
      <c r="Z377" s="64" t="str">
        <f t="shared" si="653"/>
        <v>KELURAHAN POYOWA BESAR SATU KOTAMOBAGU</v>
      </c>
      <c r="AA377" s="65"/>
      <c r="AB377" s="65"/>
      <c r="AC377" s="65" t="s">
        <v>70</v>
      </c>
      <c r="AD377" s="64" t="str">
        <f t="shared" ref="AD377:AD388" si="688">AD376</f>
        <v>POYOWA BESAR</v>
      </c>
      <c r="AE377" s="67"/>
      <c r="AF377" s="67"/>
      <c r="AG377" s="67"/>
      <c r="AH377" s="67"/>
      <c r="AI377" s="69"/>
      <c r="AJ377" s="11" t="s">
        <v>121</v>
      </c>
      <c r="AK377" s="65" t="s">
        <v>96</v>
      </c>
      <c r="AL377" s="65"/>
      <c r="AM377" s="176"/>
      <c r="AN377" s="176"/>
      <c r="AO377" s="176"/>
      <c r="AP377" s="176"/>
      <c r="AQ377" s="177" t="s">
        <v>97</v>
      </c>
      <c r="AR377" s="70" t="s">
        <v>349</v>
      </c>
      <c r="AS377" s="71" t="str">
        <f t="shared" ref="AS377:AT388" si="689">AS376</f>
        <v>KPBS-1.019</v>
      </c>
      <c r="AT377" s="71" t="str">
        <f t="shared" si="689"/>
        <v>C03</v>
      </c>
      <c r="AU377" s="72"/>
      <c r="AV377" s="202">
        <v>0.71334277509999999</v>
      </c>
      <c r="AW377" s="202">
        <v>124.3256858001</v>
      </c>
      <c r="AX377" s="65" t="s">
        <v>98</v>
      </c>
      <c r="AY377" s="65" t="s">
        <v>94</v>
      </c>
      <c r="AZ377" s="65" t="s">
        <v>94</v>
      </c>
      <c r="BA377" s="73" t="s">
        <v>77</v>
      </c>
      <c r="BB377" s="65" t="s">
        <v>98</v>
      </c>
      <c r="BC377" s="65">
        <v>31</v>
      </c>
      <c r="BD377" s="65" t="s">
        <v>98</v>
      </c>
      <c r="BE377" s="211" t="str">
        <f t="shared" si="654"/>
        <v>201, POYOWA BESAR,</v>
      </c>
    </row>
    <row r="378" spans="1:57" s="211" customFormat="1" ht="15.75" customHeight="1">
      <c r="A378" s="214"/>
      <c r="B378" s="236"/>
      <c r="C378" s="236"/>
      <c r="D378" s="236"/>
      <c r="E378" s="236"/>
      <c r="F378" s="236"/>
      <c r="G378" s="237"/>
      <c r="H378" s="23">
        <v>3</v>
      </c>
      <c r="I378" s="64" t="str">
        <f t="shared" ref="I378:L378" si="690">I377</f>
        <v>MR.KPBS.P044</v>
      </c>
      <c r="J378" s="64">
        <f t="shared" si="690"/>
        <v>0.71311396360000001</v>
      </c>
      <c r="K378" s="64">
        <f t="shared" si="690"/>
        <v>124.3256576296</v>
      </c>
      <c r="L378" s="64" t="str">
        <f t="shared" si="690"/>
        <v>JL. RAYA POYOWA BESAR</v>
      </c>
      <c r="M378" s="64" t="str">
        <f t="shared" si="686"/>
        <v>SULAWESI UTARA</v>
      </c>
      <c r="N378" s="65" t="s">
        <v>105</v>
      </c>
      <c r="O378" s="66" t="s">
        <v>118</v>
      </c>
      <c r="P378" s="65" t="s">
        <v>119</v>
      </c>
      <c r="Q378" s="66">
        <v>95717</v>
      </c>
      <c r="R378" s="67"/>
      <c r="S378" s="68"/>
      <c r="T378" s="68"/>
      <c r="U378" s="68"/>
      <c r="V378" s="68"/>
      <c r="W378" s="65" t="s">
        <v>105</v>
      </c>
      <c r="X378" s="64"/>
      <c r="Y378" s="64" t="s">
        <v>106</v>
      </c>
      <c r="Z378" s="64" t="str">
        <f t="shared" si="653"/>
        <v>KELURAHAN POYOWA BESAR SATU KOTAMOBAGU</v>
      </c>
      <c r="AA378" s="65"/>
      <c r="AB378" s="65"/>
      <c r="AC378" s="65" t="s">
        <v>70</v>
      </c>
      <c r="AD378" s="64" t="str">
        <f t="shared" si="688"/>
        <v>POYOWA BESAR</v>
      </c>
      <c r="AE378" s="67"/>
      <c r="AF378" s="67"/>
      <c r="AG378" s="67"/>
      <c r="AH378" s="67"/>
      <c r="AI378" s="69"/>
      <c r="AJ378" s="11" t="s">
        <v>122</v>
      </c>
      <c r="AK378" s="65" t="s">
        <v>96</v>
      </c>
      <c r="AL378" s="65"/>
      <c r="AM378" s="176"/>
      <c r="AN378" s="176"/>
      <c r="AO378" s="176"/>
      <c r="AP378" s="176"/>
      <c r="AQ378" s="177" t="s">
        <v>97</v>
      </c>
      <c r="AR378" s="70" t="s">
        <v>349</v>
      </c>
      <c r="AS378" s="71" t="str">
        <f t="shared" ref="AS378" si="691">AS377</f>
        <v>KPBS-1.019</v>
      </c>
      <c r="AT378" s="71" t="str">
        <f t="shared" ref="AT378" si="692">AT377</f>
        <v>C03</v>
      </c>
      <c r="AU378" s="72"/>
      <c r="AV378" s="202">
        <v>0.71325706300000002</v>
      </c>
      <c r="AW378" s="202">
        <v>124.32566543750001</v>
      </c>
      <c r="AX378" s="65" t="s">
        <v>98</v>
      </c>
      <c r="AY378" s="65" t="s">
        <v>94</v>
      </c>
      <c r="AZ378" s="65" t="s">
        <v>94</v>
      </c>
      <c r="BA378" s="73" t="s">
        <v>77</v>
      </c>
      <c r="BB378" s="65" t="s">
        <v>98</v>
      </c>
      <c r="BC378" s="65">
        <v>31</v>
      </c>
      <c r="BD378" s="65" t="s">
        <v>98</v>
      </c>
      <c r="BE378" s="211" t="str">
        <f t="shared" ref="BE378:BE385" si="693">AJ378&amp;", "&amp;AD378&amp;","&amp;AI378</f>
        <v>203, POYOWA BESAR,</v>
      </c>
    </row>
    <row r="379" spans="1:57" s="211" customFormat="1" ht="15.75" customHeight="1">
      <c r="A379" s="238"/>
      <c r="B379" s="239"/>
      <c r="C379" s="239"/>
      <c r="D379" s="239"/>
      <c r="E379" s="239"/>
      <c r="F379" s="239"/>
      <c r="G379" s="240"/>
      <c r="H379" s="23">
        <v>4</v>
      </c>
      <c r="I379" s="64" t="str">
        <f t="shared" ref="I379:L379" si="694">I378</f>
        <v>MR.KPBS.P044</v>
      </c>
      <c r="J379" s="64">
        <f t="shared" si="694"/>
        <v>0.71311396360000001</v>
      </c>
      <c r="K379" s="64">
        <f t="shared" si="694"/>
        <v>124.3256576296</v>
      </c>
      <c r="L379" s="64" t="str">
        <f t="shared" si="694"/>
        <v>JL. RAYA POYOWA BESAR</v>
      </c>
      <c r="M379" s="64" t="str">
        <f t="shared" si="686"/>
        <v>SULAWESI UTARA</v>
      </c>
      <c r="N379" s="65" t="s">
        <v>105</v>
      </c>
      <c r="O379" s="66" t="s">
        <v>118</v>
      </c>
      <c r="P379" s="65" t="s">
        <v>119</v>
      </c>
      <c r="Q379" s="66">
        <v>95717</v>
      </c>
      <c r="R379" s="67"/>
      <c r="S379" s="68"/>
      <c r="T379" s="68"/>
      <c r="U379" s="68"/>
      <c r="V379" s="68"/>
      <c r="W379" s="65" t="s">
        <v>105</v>
      </c>
      <c r="X379" s="64"/>
      <c r="Y379" s="64" t="s">
        <v>106</v>
      </c>
      <c r="Z379" s="64" t="str">
        <f t="shared" ref="Z379:Z400" si="695">Z378</f>
        <v>KELURAHAN POYOWA BESAR SATU KOTAMOBAGU</v>
      </c>
      <c r="AA379" s="65"/>
      <c r="AB379" s="65"/>
      <c r="AC379" s="65" t="s">
        <v>70</v>
      </c>
      <c r="AD379" s="64" t="str">
        <f t="shared" si="688"/>
        <v>POYOWA BESAR</v>
      </c>
      <c r="AE379" s="67"/>
      <c r="AF379" s="67"/>
      <c r="AG379" s="67"/>
      <c r="AH379" s="67"/>
      <c r="AI379" s="69"/>
      <c r="AJ379" s="11" t="s">
        <v>123</v>
      </c>
      <c r="AK379" s="65" t="s">
        <v>96</v>
      </c>
      <c r="AL379" s="65"/>
      <c r="AM379" s="176"/>
      <c r="AN379" s="176"/>
      <c r="AO379" s="176"/>
      <c r="AP379" s="176"/>
      <c r="AQ379" s="177" t="s">
        <v>97</v>
      </c>
      <c r="AR379" s="70" t="s">
        <v>349</v>
      </c>
      <c r="AS379" s="71" t="str">
        <f t="shared" ref="AS379" si="696">AS378</f>
        <v>KPBS-1.019</v>
      </c>
      <c r="AT379" s="71" t="str">
        <f t="shared" ref="AT379" si="697">AT378</f>
        <v>C03</v>
      </c>
      <c r="AU379" s="72"/>
      <c r="AV379" s="202">
        <v>0.71322713999999998</v>
      </c>
      <c r="AW379" s="202">
        <v>124.3255229</v>
      </c>
      <c r="AX379" s="65" t="s">
        <v>98</v>
      </c>
      <c r="AY379" s="65" t="s">
        <v>94</v>
      </c>
      <c r="AZ379" s="65" t="s">
        <v>94</v>
      </c>
      <c r="BA379" s="73" t="s">
        <v>77</v>
      </c>
      <c r="BB379" s="65" t="s">
        <v>98</v>
      </c>
      <c r="BC379" s="65">
        <v>31</v>
      </c>
      <c r="BD379" s="65" t="s">
        <v>98</v>
      </c>
      <c r="BE379" s="211" t="str">
        <f t="shared" si="693"/>
        <v>202, POYOWA BESAR,</v>
      </c>
    </row>
    <row r="380" spans="1:57" s="211" customFormat="1" ht="15.75" customHeight="1">
      <c r="A380" s="238"/>
      <c r="B380" s="239"/>
      <c r="C380" s="239"/>
      <c r="D380" s="239"/>
      <c r="E380" s="239"/>
      <c r="F380" s="239"/>
      <c r="G380" s="240"/>
      <c r="H380" s="23">
        <v>5</v>
      </c>
      <c r="I380" s="64" t="str">
        <f t="shared" ref="I380:L380" si="698">I379</f>
        <v>MR.KPBS.P044</v>
      </c>
      <c r="J380" s="64">
        <f t="shared" si="698"/>
        <v>0.71311396360000001</v>
      </c>
      <c r="K380" s="64">
        <f t="shared" si="698"/>
        <v>124.3256576296</v>
      </c>
      <c r="L380" s="64" t="str">
        <f t="shared" si="698"/>
        <v>JL. RAYA POYOWA BESAR</v>
      </c>
      <c r="M380" s="64" t="str">
        <f t="shared" si="686"/>
        <v>SULAWESI UTARA</v>
      </c>
      <c r="N380" s="65" t="s">
        <v>105</v>
      </c>
      <c r="O380" s="66" t="s">
        <v>118</v>
      </c>
      <c r="P380" s="65" t="s">
        <v>119</v>
      </c>
      <c r="Q380" s="66">
        <v>95717</v>
      </c>
      <c r="R380" s="67"/>
      <c r="S380" s="68"/>
      <c r="T380" s="68"/>
      <c r="U380" s="68"/>
      <c r="V380" s="68"/>
      <c r="W380" s="65" t="s">
        <v>105</v>
      </c>
      <c r="X380" s="64"/>
      <c r="Y380" s="64" t="s">
        <v>106</v>
      </c>
      <c r="Z380" s="64" t="str">
        <f t="shared" si="695"/>
        <v>KELURAHAN POYOWA BESAR SATU KOTAMOBAGU</v>
      </c>
      <c r="AA380" s="65"/>
      <c r="AB380" s="65"/>
      <c r="AC380" s="65" t="s">
        <v>70</v>
      </c>
      <c r="AD380" s="64" t="str">
        <f t="shared" si="688"/>
        <v>POYOWA BESAR</v>
      </c>
      <c r="AE380" s="67"/>
      <c r="AF380" s="67"/>
      <c r="AG380" s="67"/>
      <c r="AH380" s="67"/>
      <c r="AI380" s="69"/>
      <c r="AJ380" s="11" t="s">
        <v>124</v>
      </c>
      <c r="AK380" s="65" t="s">
        <v>96</v>
      </c>
      <c r="AL380" s="65"/>
      <c r="AM380" s="176"/>
      <c r="AN380" s="176"/>
      <c r="AO380" s="176"/>
      <c r="AP380" s="176"/>
      <c r="AQ380" s="177" t="s">
        <v>97</v>
      </c>
      <c r="AR380" s="70" t="s">
        <v>349</v>
      </c>
      <c r="AS380" s="71" t="str">
        <f t="shared" ref="AS380" si="699">AS379</f>
        <v>KPBS-1.019</v>
      </c>
      <c r="AT380" s="71" t="str">
        <f t="shared" ref="AT380" si="700">AT379</f>
        <v>C03</v>
      </c>
      <c r="AU380" s="72"/>
      <c r="AV380" s="202">
        <v>0.71314007359999998</v>
      </c>
      <c r="AW380" s="202">
        <v>124.32554733489999</v>
      </c>
      <c r="AX380" s="65" t="s">
        <v>98</v>
      </c>
      <c r="AY380" s="65" t="s">
        <v>94</v>
      </c>
      <c r="AZ380" s="65" t="s">
        <v>94</v>
      </c>
      <c r="BA380" s="73" t="s">
        <v>77</v>
      </c>
      <c r="BB380" s="65" t="s">
        <v>98</v>
      </c>
      <c r="BC380" s="65">
        <v>31</v>
      </c>
      <c r="BD380" s="65" t="s">
        <v>98</v>
      </c>
      <c r="BE380" s="211" t="str">
        <f t="shared" si="693"/>
        <v>204, POYOWA BESAR,</v>
      </c>
    </row>
    <row r="381" spans="1:57" s="211" customFormat="1" ht="15.75" customHeight="1">
      <c r="A381" s="238"/>
      <c r="B381" s="239"/>
      <c r="C381" s="239"/>
      <c r="D381" s="239"/>
      <c r="E381" s="239"/>
      <c r="F381" s="239"/>
      <c r="G381" s="240"/>
      <c r="H381" s="23">
        <v>6</v>
      </c>
      <c r="I381" s="64" t="str">
        <f t="shared" ref="I381:L381" si="701">I380</f>
        <v>MR.KPBS.P044</v>
      </c>
      <c r="J381" s="64">
        <f t="shared" si="701"/>
        <v>0.71311396360000001</v>
      </c>
      <c r="K381" s="64">
        <f t="shared" si="701"/>
        <v>124.3256576296</v>
      </c>
      <c r="L381" s="64" t="str">
        <f t="shared" si="701"/>
        <v>JL. RAYA POYOWA BESAR</v>
      </c>
      <c r="M381" s="64" t="str">
        <f t="shared" si="686"/>
        <v>SULAWESI UTARA</v>
      </c>
      <c r="N381" s="65" t="s">
        <v>105</v>
      </c>
      <c r="O381" s="66" t="s">
        <v>118</v>
      </c>
      <c r="P381" s="65" t="s">
        <v>119</v>
      </c>
      <c r="Q381" s="66">
        <v>95717</v>
      </c>
      <c r="R381" s="67"/>
      <c r="S381" s="68"/>
      <c r="T381" s="68"/>
      <c r="U381" s="68"/>
      <c r="V381" s="68"/>
      <c r="W381" s="65" t="s">
        <v>105</v>
      </c>
      <c r="X381" s="64"/>
      <c r="Y381" s="64" t="s">
        <v>106</v>
      </c>
      <c r="Z381" s="64" t="str">
        <f t="shared" si="695"/>
        <v>KELURAHAN POYOWA BESAR SATU KOTAMOBAGU</v>
      </c>
      <c r="AA381" s="65"/>
      <c r="AB381" s="65"/>
      <c r="AC381" s="65" t="s">
        <v>70</v>
      </c>
      <c r="AD381" s="64" t="str">
        <f t="shared" si="688"/>
        <v>POYOWA BESAR</v>
      </c>
      <c r="AE381" s="67"/>
      <c r="AF381" s="67"/>
      <c r="AG381" s="67"/>
      <c r="AH381" s="67"/>
      <c r="AI381" s="69"/>
      <c r="AJ381" s="11" t="s">
        <v>125</v>
      </c>
      <c r="AK381" s="65" t="s">
        <v>96</v>
      </c>
      <c r="AL381" s="65"/>
      <c r="AM381" s="176"/>
      <c r="AN381" s="176"/>
      <c r="AO381" s="176"/>
      <c r="AP381" s="176"/>
      <c r="AQ381" s="177" t="s">
        <v>97</v>
      </c>
      <c r="AR381" s="70" t="s">
        <v>349</v>
      </c>
      <c r="AS381" s="71" t="str">
        <f t="shared" ref="AS381" si="702">AS380</f>
        <v>KPBS-1.019</v>
      </c>
      <c r="AT381" s="71" t="str">
        <f t="shared" ref="AT381" si="703">AT380</f>
        <v>C03</v>
      </c>
      <c r="AU381" s="72"/>
      <c r="AV381" s="202">
        <v>0.71317952559999997</v>
      </c>
      <c r="AW381" s="202">
        <v>124.3256844424</v>
      </c>
      <c r="AX381" s="65" t="s">
        <v>98</v>
      </c>
      <c r="AY381" s="65" t="s">
        <v>94</v>
      </c>
      <c r="AZ381" s="65" t="s">
        <v>94</v>
      </c>
      <c r="BA381" s="73" t="s">
        <v>77</v>
      </c>
      <c r="BB381" s="65" t="s">
        <v>98</v>
      </c>
      <c r="BC381" s="65">
        <v>31</v>
      </c>
      <c r="BD381" s="65" t="s">
        <v>98</v>
      </c>
      <c r="BE381" s="211" t="str">
        <f t="shared" si="693"/>
        <v>205, POYOWA BESAR,</v>
      </c>
    </row>
    <row r="382" spans="1:57" s="211" customFormat="1" ht="15.75" customHeight="1">
      <c r="A382" s="238"/>
      <c r="B382" s="239"/>
      <c r="C382" s="239"/>
      <c r="D382" s="239"/>
      <c r="E382" s="239"/>
      <c r="F382" s="239"/>
      <c r="G382" s="240"/>
      <c r="H382" s="23">
        <v>7</v>
      </c>
      <c r="I382" s="64" t="str">
        <f t="shared" ref="I382:L382" si="704">I381</f>
        <v>MR.KPBS.P044</v>
      </c>
      <c r="J382" s="64">
        <f t="shared" si="704"/>
        <v>0.71311396360000001</v>
      </c>
      <c r="K382" s="64">
        <f t="shared" si="704"/>
        <v>124.3256576296</v>
      </c>
      <c r="L382" s="64" t="str">
        <f t="shared" si="704"/>
        <v>JL. RAYA POYOWA BESAR</v>
      </c>
      <c r="M382" s="64" t="str">
        <f t="shared" si="686"/>
        <v>SULAWESI UTARA</v>
      </c>
      <c r="N382" s="65" t="s">
        <v>105</v>
      </c>
      <c r="O382" s="66" t="s">
        <v>118</v>
      </c>
      <c r="P382" s="65" t="s">
        <v>119</v>
      </c>
      <c r="Q382" s="66">
        <v>95717</v>
      </c>
      <c r="R382" s="67"/>
      <c r="S382" s="68"/>
      <c r="T382" s="68"/>
      <c r="U382" s="68"/>
      <c r="V382" s="68"/>
      <c r="W382" s="65" t="s">
        <v>105</v>
      </c>
      <c r="X382" s="64"/>
      <c r="Y382" s="64" t="s">
        <v>106</v>
      </c>
      <c r="Z382" s="64" t="str">
        <f t="shared" si="695"/>
        <v>KELURAHAN POYOWA BESAR SATU KOTAMOBAGU</v>
      </c>
      <c r="AA382" s="65"/>
      <c r="AB382" s="65"/>
      <c r="AC382" s="65" t="s">
        <v>70</v>
      </c>
      <c r="AD382" s="64" t="str">
        <f t="shared" si="688"/>
        <v>POYOWA BESAR</v>
      </c>
      <c r="AE382" s="67"/>
      <c r="AF382" s="67"/>
      <c r="AG382" s="67"/>
      <c r="AH382" s="67"/>
      <c r="AI382" s="69"/>
      <c r="AJ382" s="11" t="s">
        <v>126</v>
      </c>
      <c r="AK382" s="65" t="s">
        <v>96</v>
      </c>
      <c r="AL382" s="65"/>
      <c r="AM382" s="176"/>
      <c r="AN382" s="176"/>
      <c r="AO382" s="176"/>
      <c r="AP382" s="176"/>
      <c r="AQ382" s="177" t="s">
        <v>97</v>
      </c>
      <c r="AR382" s="70" t="s">
        <v>349</v>
      </c>
      <c r="AS382" s="71" t="str">
        <f t="shared" ref="AS382" si="705">AS381</f>
        <v>KPBS-1.019</v>
      </c>
      <c r="AT382" s="71" t="str">
        <f t="shared" ref="AT382" si="706">AT381</f>
        <v>C03</v>
      </c>
      <c r="AU382" s="72"/>
      <c r="AV382" s="202">
        <v>0.71323258169999904</v>
      </c>
      <c r="AW382" s="202">
        <v>124.3257604625</v>
      </c>
      <c r="AX382" s="65" t="s">
        <v>98</v>
      </c>
      <c r="AY382" s="65" t="s">
        <v>94</v>
      </c>
      <c r="AZ382" s="65" t="s">
        <v>94</v>
      </c>
      <c r="BA382" s="73" t="s">
        <v>77</v>
      </c>
      <c r="BB382" s="65" t="s">
        <v>98</v>
      </c>
      <c r="BC382" s="65">
        <v>31</v>
      </c>
      <c r="BD382" s="65" t="s">
        <v>98</v>
      </c>
      <c r="BE382" s="211" t="str">
        <f t="shared" si="693"/>
        <v>206, POYOWA BESAR,</v>
      </c>
    </row>
    <row r="383" spans="1:57" s="211" customFormat="1" ht="15.75" customHeight="1">
      <c r="A383" s="238"/>
      <c r="B383" s="239"/>
      <c r="C383" s="239"/>
      <c r="D383" s="239"/>
      <c r="E383" s="239"/>
      <c r="F383" s="239"/>
      <c r="G383" s="240"/>
      <c r="H383" s="23">
        <v>8</v>
      </c>
      <c r="I383" s="64" t="str">
        <f t="shared" ref="I383:L383" si="707">I382</f>
        <v>MR.KPBS.P044</v>
      </c>
      <c r="J383" s="64">
        <f t="shared" si="707"/>
        <v>0.71311396360000001</v>
      </c>
      <c r="K383" s="64">
        <f t="shared" si="707"/>
        <v>124.3256576296</v>
      </c>
      <c r="L383" s="64" t="str">
        <f t="shared" si="707"/>
        <v>JL. RAYA POYOWA BESAR</v>
      </c>
      <c r="M383" s="64" t="str">
        <f t="shared" si="686"/>
        <v>SULAWESI UTARA</v>
      </c>
      <c r="N383" s="65" t="s">
        <v>105</v>
      </c>
      <c r="O383" s="66" t="s">
        <v>118</v>
      </c>
      <c r="P383" s="65" t="s">
        <v>119</v>
      </c>
      <c r="Q383" s="66">
        <v>95717</v>
      </c>
      <c r="R383" s="67"/>
      <c r="S383" s="68"/>
      <c r="T383" s="68"/>
      <c r="U383" s="68"/>
      <c r="V383" s="68"/>
      <c r="W383" s="65" t="s">
        <v>105</v>
      </c>
      <c r="X383" s="64"/>
      <c r="Y383" s="64" t="s">
        <v>106</v>
      </c>
      <c r="Z383" s="64" t="str">
        <f t="shared" si="695"/>
        <v>KELURAHAN POYOWA BESAR SATU KOTAMOBAGU</v>
      </c>
      <c r="AA383" s="65"/>
      <c r="AB383" s="65"/>
      <c r="AC383" s="65" t="s">
        <v>70</v>
      </c>
      <c r="AD383" s="64" t="str">
        <f t="shared" si="688"/>
        <v>POYOWA BESAR</v>
      </c>
      <c r="AE383" s="67"/>
      <c r="AF383" s="67"/>
      <c r="AG383" s="67"/>
      <c r="AH383" s="67"/>
      <c r="AI383" s="69"/>
      <c r="AJ383" s="11" t="s">
        <v>127</v>
      </c>
      <c r="AK383" s="65" t="s">
        <v>96</v>
      </c>
      <c r="AL383" s="65"/>
      <c r="AM383" s="176"/>
      <c r="AN383" s="176"/>
      <c r="AO383" s="176"/>
      <c r="AP383" s="176"/>
      <c r="AQ383" s="177" t="s">
        <v>97</v>
      </c>
      <c r="AR383" s="70" t="s">
        <v>349</v>
      </c>
      <c r="AS383" s="71" t="str">
        <f t="shared" ref="AS383" si="708">AS382</f>
        <v>KPBS-1.019</v>
      </c>
      <c r="AT383" s="71" t="str">
        <f t="shared" ref="AT383" si="709">AT382</f>
        <v>C03</v>
      </c>
      <c r="AU383" s="72"/>
      <c r="AV383" s="202">
        <v>0.71293045069999905</v>
      </c>
      <c r="AW383" s="202">
        <v>124.325539509</v>
      </c>
      <c r="AX383" s="65" t="s">
        <v>98</v>
      </c>
      <c r="AY383" s="65" t="s">
        <v>94</v>
      </c>
      <c r="AZ383" s="65" t="s">
        <v>94</v>
      </c>
      <c r="BA383" s="73" t="s">
        <v>77</v>
      </c>
      <c r="BB383" s="65" t="s">
        <v>98</v>
      </c>
      <c r="BC383" s="65">
        <v>31</v>
      </c>
      <c r="BD383" s="65" t="s">
        <v>98</v>
      </c>
      <c r="BE383" s="211" t="str">
        <f t="shared" si="693"/>
        <v>772, POYOWA BESAR,</v>
      </c>
    </row>
    <row r="384" spans="1:57" s="211" customFormat="1" ht="15.75" customHeight="1">
      <c r="A384" s="238"/>
      <c r="B384" s="239"/>
      <c r="C384" s="239"/>
      <c r="D384" s="239"/>
      <c r="E384" s="239"/>
      <c r="F384" s="239"/>
      <c r="G384" s="240"/>
      <c r="H384" s="23">
        <v>9</v>
      </c>
      <c r="I384" s="64" t="str">
        <f t="shared" ref="I384:L384" si="710">I383</f>
        <v>MR.KPBS.P044</v>
      </c>
      <c r="J384" s="64">
        <f t="shared" si="710"/>
        <v>0.71311396360000001</v>
      </c>
      <c r="K384" s="64">
        <f t="shared" si="710"/>
        <v>124.3256576296</v>
      </c>
      <c r="L384" s="64" t="str">
        <f t="shared" si="710"/>
        <v>JL. RAYA POYOWA BESAR</v>
      </c>
      <c r="M384" s="64" t="str">
        <f t="shared" si="686"/>
        <v>SULAWESI UTARA</v>
      </c>
      <c r="N384" s="65" t="s">
        <v>105</v>
      </c>
      <c r="O384" s="66" t="s">
        <v>118</v>
      </c>
      <c r="P384" s="65" t="s">
        <v>119</v>
      </c>
      <c r="Q384" s="66">
        <v>95717</v>
      </c>
      <c r="R384" s="67"/>
      <c r="S384" s="68"/>
      <c r="T384" s="68"/>
      <c r="U384" s="68"/>
      <c r="V384" s="68"/>
      <c r="W384" s="65" t="s">
        <v>105</v>
      </c>
      <c r="X384" s="64"/>
      <c r="Y384" s="64" t="s">
        <v>106</v>
      </c>
      <c r="Z384" s="64" t="str">
        <f t="shared" si="695"/>
        <v>KELURAHAN POYOWA BESAR SATU KOTAMOBAGU</v>
      </c>
      <c r="AA384" s="65"/>
      <c r="AB384" s="65"/>
      <c r="AC384" s="65" t="s">
        <v>70</v>
      </c>
      <c r="AD384" s="64" t="str">
        <f t="shared" si="688"/>
        <v>POYOWA BESAR</v>
      </c>
      <c r="AE384" s="67"/>
      <c r="AF384" s="67"/>
      <c r="AG384" s="67"/>
      <c r="AH384" s="67"/>
      <c r="AI384" s="69"/>
      <c r="AJ384" s="11" t="s">
        <v>128</v>
      </c>
      <c r="AK384" s="65" t="s">
        <v>96</v>
      </c>
      <c r="AL384" s="65"/>
      <c r="AM384" s="176"/>
      <c r="AN384" s="176"/>
      <c r="AO384" s="176"/>
      <c r="AP384" s="176"/>
      <c r="AQ384" s="177" t="s">
        <v>97</v>
      </c>
      <c r="AR384" s="70" t="s">
        <v>349</v>
      </c>
      <c r="AS384" s="71" t="str">
        <f t="shared" ref="AS384" si="711">AS383</f>
        <v>KPBS-1.019</v>
      </c>
      <c r="AT384" s="71" t="str">
        <f t="shared" ref="AT384" si="712">AT383</f>
        <v>C03</v>
      </c>
      <c r="AU384" s="72"/>
      <c r="AV384" s="202">
        <v>0.71310450299999895</v>
      </c>
      <c r="AW384" s="202">
        <v>124.3254363186</v>
      </c>
      <c r="AX384" s="65" t="s">
        <v>98</v>
      </c>
      <c r="AY384" s="65" t="s">
        <v>94</v>
      </c>
      <c r="AZ384" s="65" t="s">
        <v>94</v>
      </c>
      <c r="BA384" s="73" t="s">
        <v>77</v>
      </c>
      <c r="BB384" s="65" t="s">
        <v>98</v>
      </c>
      <c r="BC384" s="65">
        <v>31</v>
      </c>
      <c r="BD384" s="65" t="s">
        <v>98</v>
      </c>
      <c r="BE384" s="211" t="str">
        <f t="shared" si="693"/>
        <v>204C, POYOWA BESAR,</v>
      </c>
    </row>
    <row r="385" spans="1:57" s="211" customFormat="1" ht="15.75" customHeight="1">
      <c r="A385" s="238"/>
      <c r="B385" s="239"/>
      <c r="C385" s="239"/>
      <c r="D385" s="239"/>
      <c r="E385" s="239"/>
      <c r="F385" s="239"/>
      <c r="G385" s="240"/>
      <c r="H385" s="23">
        <v>10</v>
      </c>
      <c r="I385" s="64" t="str">
        <f t="shared" ref="I385:L385" si="713">I384</f>
        <v>MR.KPBS.P044</v>
      </c>
      <c r="J385" s="64">
        <f t="shared" si="713"/>
        <v>0.71311396360000001</v>
      </c>
      <c r="K385" s="64">
        <f t="shared" si="713"/>
        <v>124.3256576296</v>
      </c>
      <c r="L385" s="64" t="str">
        <f t="shared" si="713"/>
        <v>JL. RAYA POYOWA BESAR</v>
      </c>
      <c r="M385" s="64" t="str">
        <f t="shared" si="686"/>
        <v>SULAWESI UTARA</v>
      </c>
      <c r="N385" s="65" t="s">
        <v>105</v>
      </c>
      <c r="O385" s="66" t="s">
        <v>118</v>
      </c>
      <c r="P385" s="65" t="s">
        <v>119</v>
      </c>
      <c r="Q385" s="66">
        <v>95717</v>
      </c>
      <c r="R385" s="67"/>
      <c r="S385" s="68"/>
      <c r="T385" s="68"/>
      <c r="U385" s="68"/>
      <c r="V385" s="68"/>
      <c r="W385" s="65" t="s">
        <v>105</v>
      </c>
      <c r="X385" s="64"/>
      <c r="Y385" s="64" t="s">
        <v>106</v>
      </c>
      <c r="Z385" s="64" t="str">
        <f t="shared" si="695"/>
        <v>KELURAHAN POYOWA BESAR SATU KOTAMOBAGU</v>
      </c>
      <c r="AA385" s="65"/>
      <c r="AB385" s="65"/>
      <c r="AC385" s="65" t="s">
        <v>70</v>
      </c>
      <c r="AD385" s="64" t="str">
        <f t="shared" si="688"/>
        <v>POYOWA BESAR</v>
      </c>
      <c r="AE385" s="67"/>
      <c r="AF385" s="67"/>
      <c r="AG385" s="67"/>
      <c r="AH385" s="67"/>
      <c r="AI385" s="69"/>
      <c r="AJ385" s="11" t="s">
        <v>129</v>
      </c>
      <c r="AK385" s="65" t="s">
        <v>96</v>
      </c>
      <c r="AL385" s="65"/>
      <c r="AM385" s="176"/>
      <c r="AN385" s="176"/>
      <c r="AO385" s="176"/>
      <c r="AP385" s="176"/>
      <c r="AQ385" s="177" t="s">
        <v>97</v>
      </c>
      <c r="AR385" s="70" t="s">
        <v>349</v>
      </c>
      <c r="AS385" s="71" t="str">
        <f t="shared" ref="AS385" si="714">AS384</f>
        <v>KPBS-1.019</v>
      </c>
      <c r="AT385" s="71" t="str">
        <f t="shared" ref="AT385" si="715">AT384</f>
        <v>C03</v>
      </c>
      <c r="AU385" s="72"/>
      <c r="AV385" s="202">
        <v>0.71311276179999905</v>
      </c>
      <c r="AW385" s="202">
        <v>124.3253386784</v>
      </c>
      <c r="AX385" s="65" t="s">
        <v>98</v>
      </c>
      <c r="AY385" s="65" t="s">
        <v>94</v>
      </c>
      <c r="AZ385" s="65" t="s">
        <v>94</v>
      </c>
      <c r="BA385" s="73" t="s">
        <v>77</v>
      </c>
      <c r="BB385" s="65" t="s">
        <v>98</v>
      </c>
      <c r="BC385" s="65">
        <v>31</v>
      </c>
      <c r="BD385" s="65" t="s">
        <v>98</v>
      </c>
      <c r="BE385" s="211" t="str">
        <f t="shared" si="693"/>
        <v>204B, POYOWA BESAR,</v>
      </c>
    </row>
    <row r="386" spans="1:57" s="211" customFormat="1" ht="15.75" customHeight="1">
      <c r="A386" s="238"/>
      <c r="B386" s="239"/>
      <c r="C386" s="239"/>
      <c r="D386" s="239"/>
      <c r="E386" s="239"/>
      <c r="F386" s="239"/>
      <c r="G386" s="240"/>
      <c r="H386" s="23">
        <v>11</v>
      </c>
      <c r="I386" s="64" t="str">
        <f t="shared" ref="I386:L386" si="716">I385</f>
        <v>MR.KPBS.P044</v>
      </c>
      <c r="J386" s="64">
        <f t="shared" si="716"/>
        <v>0.71311396360000001</v>
      </c>
      <c r="K386" s="64">
        <f t="shared" si="716"/>
        <v>124.3256576296</v>
      </c>
      <c r="L386" s="64" t="str">
        <f t="shared" si="716"/>
        <v>JL. RAYA POYOWA BESAR</v>
      </c>
      <c r="M386" s="64" t="str">
        <f t="shared" si="686"/>
        <v>SULAWESI UTARA</v>
      </c>
      <c r="N386" s="65" t="s">
        <v>105</v>
      </c>
      <c r="O386" s="66" t="s">
        <v>118</v>
      </c>
      <c r="P386" s="65" t="s">
        <v>119</v>
      </c>
      <c r="Q386" s="66">
        <v>95717</v>
      </c>
      <c r="R386" s="67"/>
      <c r="S386" s="68"/>
      <c r="T386" s="68"/>
      <c r="U386" s="68"/>
      <c r="V386" s="68"/>
      <c r="W386" s="65" t="s">
        <v>105</v>
      </c>
      <c r="X386" s="64"/>
      <c r="Y386" s="64" t="s">
        <v>106</v>
      </c>
      <c r="Z386" s="64" t="str">
        <f t="shared" si="695"/>
        <v>KELURAHAN POYOWA BESAR SATU KOTAMOBAGU</v>
      </c>
      <c r="AA386" s="65"/>
      <c r="AB386" s="65"/>
      <c r="AC386" s="65" t="s">
        <v>70</v>
      </c>
      <c r="AD386" s="64" t="str">
        <f t="shared" si="688"/>
        <v>POYOWA BESAR</v>
      </c>
      <c r="AE386" s="67"/>
      <c r="AF386" s="67"/>
      <c r="AG386" s="67"/>
      <c r="AH386" s="67"/>
      <c r="AI386" s="69"/>
      <c r="AJ386" s="11" t="s">
        <v>130</v>
      </c>
      <c r="AK386" s="65" t="s">
        <v>96</v>
      </c>
      <c r="AL386" s="65"/>
      <c r="AM386" s="176"/>
      <c r="AN386" s="176"/>
      <c r="AO386" s="176"/>
      <c r="AP386" s="176"/>
      <c r="AQ386" s="177" t="s">
        <v>97</v>
      </c>
      <c r="AR386" s="70" t="s">
        <v>349</v>
      </c>
      <c r="AS386" s="71" t="str">
        <f>AS377</f>
        <v>KPBS-1.019</v>
      </c>
      <c r="AT386" s="71" t="str">
        <f t="shared" ref="AT386" si="717">AT385</f>
        <v>C03</v>
      </c>
      <c r="AU386" s="72"/>
      <c r="AV386" s="202">
        <v>0.71307925979999998</v>
      </c>
      <c r="AW386" s="202">
        <v>124.325255121</v>
      </c>
      <c r="AX386" s="65" t="s">
        <v>98</v>
      </c>
      <c r="AY386" s="65" t="s">
        <v>94</v>
      </c>
      <c r="AZ386" s="65" t="s">
        <v>94</v>
      </c>
      <c r="BA386" s="73" t="s">
        <v>77</v>
      </c>
      <c r="BB386" s="65" t="s">
        <v>98</v>
      </c>
      <c r="BC386" s="65">
        <v>31</v>
      </c>
      <c r="BD386" s="65" t="s">
        <v>98</v>
      </c>
      <c r="BE386" s="211" t="str">
        <f t="shared" si="654"/>
        <v>204A, POYOWA BESAR,</v>
      </c>
    </row>
    <row r="387" spans="1:57" s="211" customFormat="1" ht="15.75" customHeight="1">
      <c r="A387" s="238"/>
      <c r="B387" s="239"/>
      <c r="C387" s="239"/>
      <c r="D387" s="239"/>
      <c r="E387" s="239"/>
      <c r="F387" s="239"/>
      <c r="G387" s="240"/>
      <c r="H387" s="23">
        <v>12</v>
      </c>
      <c r="I387" s="64" t="str">
        <f t="shared" si="687"/>
        <v>MR.KPBS.P044</v>
      </c>
      <c r="J387" s="64">
        <f t="shared" si="687"/>
        <v>0.71311396360000001</v>
      </c>
      <c r="K387" s="64">
        <f t="shared" si="687"/>
        <v>124.3256576296</v>
      </c>
      <c r="L387" s="64" t="str">
        <f t="shared" si="687"/>
        <v>JL. RAYA POYOWA BESAR</v>
      </c>
      <c r="M387" s="64" t="str">
        <f t="shared" si="686"/>
        <v>SULAWESI UTARA</v>
      </c>
      <c r="N387" s="65" t="s">
        <v>105</v>
      </c>
      <c r="O387" s="66" t="s">
        <v>118</v>
      </c>
      <c r="P387" s="65" t="s">
        <v>119</v>
      </c>
      <c r="Q387" s="66">
        <v>95717</v>
      </c>
      <c r="R387" s="67"/>
      <c r="S387" s="68"/>
      <c r="T387" s="68"/>
      <c r="U387" s="68"/>
      <c r="V387" s="68"/>
      <c r="W387" s="65" t="s">
        <v>105</v>
      </c>
      <c r="X387" s="64"/>
      <c r="Y387" s="64" t="s">
        <v>106</v>
      </c>
      <c r="Z387" s="64" t="str">
        <f t="shared" si="695"/>
        <v>KELURAHAN POYOWA BESAR SATU KOTAMOBAGU</v>
      </c>
      <c r="AA387" s="65"/>
      <c r="AB387" s="65"/>
      <c r="AC387" s="65" t="s">
        <v>70</v>
      </c>
      <c r="AD387" s="64" t="str">
        <f t="shared" si="688"/>
        <v>POYOWA BESAR</v>
      </c>
      <c r="AE387" s="67"/>
      <c r="AF387" s="67"/>
      <c r="AG387" s="67"/>
      <c r="AH387" s="67"/>
      <c r="AI387" s="69"/>
      <c r="AJ387" s="11" t="s">
        <v>131</v>
      </c>
      <c r="AK387" s="65" t="s">
        <v>96</v>
      </c>
      <c r="AL387" s="65"/>
      <c r="AM387" s="176"/>
      <c r="AN387" s="176"/>
      <c r="AO387" s="176"/>
      <c r="AP387" s="176"/>
      <c r="AQ387" s="177" t="s">
        <v>97</v>
      </c>
      <c r="AR387" s="70" t="s">
        <v>349</v>
      </c>
      <c r="AS387" s="71" t="str">
        <f t="shared" si="689"/>
        <v>KPBS-1.019</v>
      </c>
      <c r="AT387" s="71" t="str">
        <f t="shared" si="689"/>
        <v>C03</v>
      </c>
      <c r="AU387" s="72"/>
      <c r="AV387" s="202">
        <v>0.71303235700000001</v>
      </c>
      <c r="AW387" s="202">
        <v>124.3251631694</v>
      </c>
      <c r="AX387" s="65" t="s">
        <v>98</v>
      </c>
      <c r="AY387" s="65" t="s">
        <v>94</v>
      </c>
      <c r="AZ387" s="65" t="s">
        <v>94</v>
      </c>
      <c r="BA387" s="73" t="s">
        <v>77</v>
      </c>
      <c r="BB387" s="65" t="s">
        <v>98</v>
      </c>
      <c r="BC387" s="65">
        <v>31</v>
      </c>
      <c r="BD387" s="65" t="s">
        <v>98</v>
      </c>
      <c r="BE387" s="211" t="str">
        <f t="shared" si="654"/>
        <v>160B, POYOWA BESAR,</v>
      </c>
    </row>
    <row r="388" spans="1:57" s="211" customFormat="1" ht="15.75" customHeight="1">
      <c r="A388" s="238"/>
      <c r="B388" s="239"/>
      <c r="C388" s="239"/>
      <c r="D388" s="239"/>
      <c r="E388" s="239"/>
      <c r="F388" s="239"/>
      <c r="G388" s="240"/>
      <c r="H388" s="23">
        <v>13</v>
      </c>
      <c r="I388" s="64" t="str">
        <f t="shared" si="687"/>
        <v>MR.KPBS.P044</v>
      </c>
      <c r="J388" s="64">
        <f t="shared" si="687"/>
        <v>0.71311396360000001</v>
      </c>
      <c r="K388" s="64">
        <f t="shared" si="687"/>
        <v>124.3256576296</v>
      </c>
      <c r="L388" s="64" t="str">
        <f t="shared" si="687"/>
        <v>JL. RAYA POYOWA BESAR</v>
      </c>
      <c r="M388" s="64" t="str">
        <f t="shared" si="686"/>
        <v>SULAWESI UTARA</v>
      </c>
      <c r="N388" s="65" t="s">
        <v>105</v>
      </c>
      <c r="O388" s="66" t="s">
        <v>118</v>
      </c>
      <c r="P388" s="65" t="s">
        <v>119</v>
      </c>
      <c r="Q388" s="66">
        <v>95717</v>
      </c>
      <c r="R388" s="67"/>
      <c r="S388" s="68"/>
      <c r="T388" s="74"/>
      <c r="U388" s="74"/>
      <c r="V388" s="74"/>
      <c r="W388" s="65" t="s">
        <v>105</v>
      </c>
      <c r="X388" s="64"/>
      <c r="Y388" s="64" t="s">
        <v>106</v>
      </c>
      <c r="Z388" s="64" t="str">
        <f t="shared" si="695"/>
        <v>KELURAHAN POYOWA BESAR SATU KOTAMOBAGU</v>
      </c>
      <c r="AA388" s="65"/>
      <c r="AB388" s="65"/>
      <c r="AC388" s="65" t="s">
        <v>70</v>
      </c>
      <c r="AD388" s="64" t="str">
        <f t="shared" si="688"/>
        <v>POYOWA BESAR</v>
      </c>
      <c r="AE388" s="75"/>
      <c r="AF388" s="75"/>
      <c r="AG388" s="75"/>
      <c r="AH388" s="75"/>
      <c r="AI388" s="69"/>
      <c r="AJ388" s="11" t="s">
        <v>132</v>
      </c>
      <c r="AK388" s="65" t="s">
        <v>96</v>
      </c>
      <c r="AL388" s="65"/>
      <c r="AM388" s="176"/>
      <c r="AN388" s="176"/>
      <c r="AO388" s="176"/>
      <c r="AP388" s="176"/>
      <c r="AQ388" s="177" t="s">
        <v>97</v>
      </c>
      <c r="AR388" s="70" t="s">
        <v>349</v>
      </c>
      <c r="AS388" s="71" t="str">
        <f t="shared" si="689"/>
        <v>KPBS-1.019</v>
      </c>
      <c r="AT388" s="71" t="str">
        <f t="shared" si="689"/>
        <v>C03</v>
      </c>
      <c r="AU388" s="72"/>
      <c r="AV388" s="202">
        <v>0.71302398149999902</v>
      </c>
      <c r="AW388" s="202">
        <v>124.3250562109</v>
      </c>
      <c r="AX388" s="65" t="s">
        <v>98</v>
      </c>
      <c r="AY388" s="65" t="s">
        <v>94</v>
      </c>
      <c r="AZ388" s="65" t="s">
        <v>94</v>
      </c>
      <c r="BA388" s="73" t="s">
        <v>77</v>
      </c>
      <c r="BB388" s="65" t="s">
        <v>98</v>
      </c>
      <c r="BC388" s="65">
        <v>31</v>
      </c>
      <c r="BD388" s="65" t="s">
        <v>98</v>
      </c>
      <c r="BE388" s="211" t="str">
        <f t="shared" si="654"/>
        <v>160A, POYOWA BESAR,</v>
      </c>
    </row>
    <row r="389" spans="1:57" s="211" customFormat="1" ht="15.75" customHeight="1">
      <c r="A389" s="36" t="s">
        <v>104</v>
      </c>
      <c r="B389" s="36">
        <f>B376+1</f>
        <v>27</v>
      </c>
      <c r="C389" s="33" t="s">
        <v>350</v>
      </c>
      <c r="D389" s="37" t="s">
        <v>348</v>
      </c>
      <c r="E389" s="38">
        <v>1</v>
      </c>
      <c r="F389" s="39">
        <f>F377+1</f>
        <v>7</v>
      </c>
      <c r="G389" s="213" t="s">
        <v>258</v>
      </c>
      <c r="H389" s="35">
        <v>1</v>
      </c>
      <c r="I389" s="48" t="s">
        <v>321</v>
      </c>
      <c r="J389" s="54">
        <v>0.71311755480000005</v>
      </c>
      <c r="K389" s="54">
        <v>124.3258371788</v>
      </c>
      <c r="L389" s="112" t="s">
        <v>116</v>
      </c>
      <c r="M389" s="56" t="str">
        <f t="shared" si="686"/>
        <v>SULAWESI UTARA</v>
      </c>
      <c r="N389" s="76" t="s">
        <v>105</v>
      </c>
      <c r="O389" s="49" t="s">
        <v>118</v>
      </c>
      <c r="P389" s="76" t="s">
        <v>119</v>
      </c>
      <c r="Q389" s="49">
        <v>95717</v>
      </c>
      <c r="R389" s="51"/>
      <c r="S389" s="52"/>
      <c r="T389" s="53"/>
      <c r="U389" s="52"/>
      <c r="V389" s="53"/>
      <c r="W389" s="50" t="s">
        <v>105</v>
      </c>
      <c r="X389" s="54"/>
      <c r="Y389" s="56" t="s">
        <v>106</v>
      </c>
      <c r="Z389" s="56" t="str">
        <f t="shared" si="695"/>
        <v>KELURAHAN POYOWA BESAR SATU KOTAMOBAGU</v>
      </c>
      <c r="AA389" s="55"/>
      <c r="AB389" s="55"/>
      <c r="AC389" s="55" t="s">
        <v>70</v>
      </c>
      <c r="AD389" s="116" t="s">
        <v>119</v>
      </c>
      <c r="AE389" s="57"/>
      <c r="AF389" s="57"/>
      <c r="AG389" s="57"/>
      <c r="AH389" s="57"/>
      <c r="AI389" s="58"/>
      <c r="AJ389" s="114" t="s">
        <v>602</v>
      </c>
      <c r="AK389" s="55" t="s">
        <v>96</v>
      </c>
      <c r="AL389" s="62"/>
      <c r="AM389" s="184"/>
      <c r="AN389" s="184"/>
      <c r="AO389" s="184"/>
      <c r="AP389" s="184"/>
      <c r="AQ389" s="185" t="s">
        <v>97</v>
      </c>
      <c r="AR389" s="59" t="s">
        <v>349</v>
      </c>
      <c r="AS389" s="60" t="str">
        <f>AS376</f>
        <v>KPBS-1.019</v>
      </c>
      <c r="AT389" s="60" t="str">
        <f>G389</f>
        <v>C04</v>
      </c>
      <c r="AU389" s="61"/>
      <c r="AV389" s="201">
        <v>0.71325162750000004</v>
      </c>
      <c r="AW389" s="201">
        <v>124.32586770509999</v>
      </c>
      <c r="AX389" s="62" t="s">
        <v>98</v>
      </c>
      <c r="AY389" s="62" t="s">
        <v>94</v>
      </c>
      <c r="AZ389" s="62" t="s">
        <v>94</v>
      </c>
      <c r="BA389" s="63" t="s">
        <v>77</v>
      </c>
      <c r="BB389" s="62" t="s">
        <v>98</v>
      </c>
      <c r="BC389" s="62">
        <v>31</v>
      </c>
      <c r="BD389" s="62" t="s">
        <v>98</v>
      </c>
      <c r="BE389" s="211" t="str">
        <f t="shared" si="654"/>
        <v>207, POYOWA BESAR,</v>
      </c>
    </row>
    <row r="390" spans="1:57" s="211" customFormat="1" ht="15.75" customHeight="1">
      <c r="A390" s="46"/>
      <c r="B390" s="46"/>
      <c r="C390" s="22" t="s">
        <v>350</v>
      </c>
      <c r="D390" s="22" t="s">
        <v>348</v>
      </c>
      <c r="E390" s="33">
        <v>1</v>
      </c>
      <c r="F390" s="47">
        <f>F389+1</f>
        <v>8</v>
      </c>
      <c r="G390" s="214"/>
      <c r="H390" s="23">
        <v>2</v>
      </c>
      <c r="I390" s="64" t="str">
        <f t="shared" ref="I390:L400" si="718">I389</f>
        <v>MR.KPBS.P046</v>
      </c>
      <c r="J390" s="64">
        <f t="shared" si="718"/>
        <v>0.71311755480000005</v>
      </c>
      <c r="K390" s="64">
        <f t="shared" si="718"/>
        <v>124.3258371788</v>
      </c>
      <c r="L390" s="64" t="str">
        <f t="shared" si="718"/>
        <v>JL. RAYA POYOWA BESAR</v>
      </c>
      <c r="M390" s="64" t="str">
        <f t="shared" si="686"/>
        <v>SULAWESI UTARA</v>
      </c>
      <c r="N390" s="65" t="s">
        <v>105</v>
      </c>
      <c r="O390" s="66" t="s">
        <v>118</v>
      </c>
      <c r="P390" s="65" t="s">
        <v>119</v>
      </c>
      <c r="Q390" s="66">
        <v>95717</v>
      </c>
      <c r="R390" s="67"/>
      <c r="S390" s="68"/>
      <c r="T390" s="68"/>
      <c r="U390" s="68"/>
      <c r="V390" s="68"/>
      <c r="W390" s="65" t="s">
        <v>105</v>
      </c>
      <c r="X390" s="64"/>
      <c r="Y390" s="64" t="s">
        <v>106</v>
      </c>
      <c r="Z390" s="64" t="str">
        <f t="shared" si="695"/>
        <v>KELURAHAN POYOWA BESAR SATU KOTAMOBAGU</v>
      </c>
      <c r="AA390" s="65"/>
      <c r="AB390" s="65"/>
      <c r="AC390" s="65" t="s">
        <v>70</v>
      </c>
      <c r="AD390" s="64" t="str">
        <f t="shared" ref="AD390:AD400" si="719">AD389</f>
        <v>POYOWA BESAR</v>
      </c>
      <c r="AE390" s="67"/>
      <c r="AF390" s="67"/>
      <c r="AG390" s="67"/>
      <c r="AH390" s="67"/>
      <c r="AI390" s="69"/>
      <c r="AJ390" s="11" t="s">
        <v>603</v>
      </c>
      <c r="AK390" s="65" t="s">
        <v>96</v>
      </c>
      <c r="AL390" s="65"/>
      <c r="AM390" s="176"/>
      <c r="AN390" s="176"/>
      <c r="AO390" s="176"/>
      <c r="AP390" s="176"/>
      <c r="AQ390" s="177" t="s">
        <v>97</v>
      </c>
      <c r="AR390" s="70" t="s">
        <v>349</v>
      </c>
      <c r="AS390" s="71" t="str">
        <f t="shared" ref="AS390:AT390" si="720">AS389</f>
        <v>KPBS-1.019</v>
      </c>
      <c r="AT390" s="71" t="str">
        <f t="shared" si="720"/>
        <v>C04</v>
      </c>
      <c r="AU390" s="72"/>
      <c r="AV390" s="202">
        <v>0.71316709579999904</v>
      </c>
      <c r="AW390" s="202">
        <v>124.3260971702</v>
      </c>
      <c r="AX390" s="65" t="s">
        <v>98</v>
      </c>
      <c r="AY390" s="65" t="s">
        <v>94</v>
      </c>
      <c r="AZ390" s="65" t="s">
        <v>94</v>
      </c>
      <c r="BA390" s="73" t="s">
        <v>77</v>
      </c>
      <c r="BB390" s="65" t="s">
        <v>98</v>
      </c>
      <c r="BC390" s="65">
        <v>31</v>
      </c>
      <c r="BD390" s="65" t="s">
        <v>98</v>
      </c>
      <c r="BE390" s="211" t="str">
        <f t="shared" si="654"/>
        <v>211, POYOWA BESAR,</v>
      </c>
    </row>
    <row r="391" spans="1:57" s="211" customFormat="1" ht="15.75" customHeight="1">
      <c r="A391" s="221"/>
      <c r="B391" s="222"/>
      <c r="C391" s="222"/>
      <c r="D391" s="222"/>
      <c r="E391" s="222"/>
      <c r="F391" s="222"/>
      <c r="G391" s="223"/>
      <c r="H391" s="23">
        <v>3</v>
      </c>
      <c r="I391" s="64" t="str">
        <f t="shared" si="718"/>
        <v>MR.KPBS.P046</v>
      </c>
      <c r="J391" s="64">
        <f t="shared" si="718"/>
        <v>0.71311755480000005</v>
      </c>
      <c r="K391" s="64">
        <f t="shared" si="718"/>
        <v>124.3258371788</v>
      </c>
      <c r="L391" s="64" t="str">
        <f t="shared" si="718"/>
        <v>JL. RAYA POYOWA BESAR</v>
      </c>
      <c r="M391" s="64" t="str">
        <f t="shared" si="686"/>
        <v>SULAWESI UTARA</v>
      </c>
      <c r="N391" s="65" t="s">
        <v>105</v>
      </c>
      <c r="O391" s="66" t="s">
        <v>118</v>
      </c>
      <c r="P391" s="65" t="s">
        <v>119</v>
      </c>
      <c r="Q391" s="66">
        <v>95717</v>
      </c>
      <c r="R391" s="67"/>
      <c r="S391" s="68"/>
      <c r="T391" s="68"/>
      <c r="U391" s="68"/>
      <c r="V391" s="68"/>
      <c r="W391" s="65" t="s">
        <v>105</v>
      </c>
      <c r="X391" s="64"/>
      <c r="Y391" s="64" t="s">
        <v>106</v>
      </c>
      <c r="Z391" s="64" t="str">
        <f t="shared" si="695"/>
        <v>KELURAHAN POYOWA BESAR SATU KOTAMOBAGU</v>
      </c>
      <c r="AA391" s="65"/>
      <c r="AB391" s="65"/>
      <c r="AC391" s="65" t="s">
        <v>70</v>
      </c>
      <c r="AD391" s="64" t="str">
        <f t="shared" si="719"/>
        <v>POYOWA BESAR</v>
      </c>
      <c r="AE391" s="67"/>
      <c r="AF391" s="67"/>
      <c r="AG391" s="67"/>
      <c r="AH391" s="67"/>
      <c r="AI391" s="69"/>
      <c r="AJ391" s="11" t="s">
        <v>604</v>
      </c>
      <c r="AK391" s="65" t="s">
        <v>96</v>
      </c>
      <c r="AL391" s="65"/>
      <c r="AM391" s="176"/>
      <c r="AN391" s="176"/>
      <c r="AO391" s="176"/>
      <c r="AP391" s="176"/>
      <c r="AQ391" s="177" t="s">
        <v>97</v>
      </c>
      <c r="AR391" s="70" t="s">
        <v>349</v>
      </c>
      <c r="AS391" s="71" t="str">
        <f t="shared" ref="AS391:AT391" si="721">AS390</f>
        <v>KPBS-1.019</v>
      </c>
      <c r="AT391" s="71" t="str">
        <f t="shared" si="721"/>
        <v>C04</v>
      </c>
      <c r="AU391" s="72"/>
      <c r="AV391" s="202">
        <v>0.71315213119999998</v>
      </c>
      <c r="AW391" s="202">
        <v>124.3260306527</v>
      </c>
      <c r="AX391" s="65" t="s">
        <v>98</v>
      </c>
      <c r="AY391" s="65" t="s">
        <v>94</v>
      </c>
      <c r="AZ391" s="65" t="s">
        <v>94</v>
      </c>
      <c r="BA391" s="73" t="s">
        <v>77</v>
      </c>
      <c r="BB391" s="65" t="s">
        <v>98</v>
      </c>
      <c r="BC391" s="65">
        <v>31</v>
      </c>
      <c r="BD391" s="65" t="s">
        <v>98</v>
      </c>
      <c r="BE391" s="211" t="str">
        <f t="shared" si="654"/>
        <v>212, POYOWA BESAR,</v>
      </c>
    </row>
    <row r="392" spans="1:57" s="211" customFormat="1" ht="15.75" customHeight="1">
      <c r="A392" s="224"/>
      <c r="B392" s="225"/>
      <c r="C392" s="225"/>
      <c r="D392" s="225"/>
      <c r="E392" s="225"/>
      <c r="F392" s="225"/>
      <c r="G392" s="226"/>
      <c r="H392" s="23">
        <v>4</v>
      </c>
      <c r="I392" s="64" t="str">
        <f t="shared" si="718"/>
        <v>MR.KPBS.P046</v>
      </c>
      <c r="J392" s="64">
        <f t="shared" si="718"/>
        <v>0.71311755480000005</v>
      </c>
      <c r="K392" s="64">
        <f t="shared" si="718"/>
        <v>124.3258371788</v>
      </c>
      <c r="L392" s="64" t="str">
        <f t="shared" si="718"/>
        <v>JL. RAYA POYOWA BESAR</v>
      </c>
      <c r="M392" s="64" t="str">
        <f t="shared" si="686"/>
        <v>SULAWESI UTARA</v>
      </c>
      <c r="N392" s="65" t="s">
        <v>105</v>
      </c>
      <c r="O392" s="66" t="s">
        <v>118</v>
      </c>
      <c r="P392" s="65" t="s">
        <v>119</v>
      </c>
      <c r="Q392" s="66">
        <v>95717</v>
      </c>
      <c r="R392" s="67"/>
      <c r="S392" s="68"/>
      <c r="T392" s="68"/>
      <c r="U392" s="68"/>
      <c r="V392" s="68"/>
      <c r="W392" s="65" t="s">
        <v>105</v>
      </c>
      <c r="X392" s="64"/>
      <c r="Y392" s="64" t="s">
        <v>106</v>
      </c>
      <c r="Z392" s="64" t="str">
        <f t="shared" si="695"/>
        <v>KELURAHAN POYOWA BESAR SATU KOTAMOBAGU</v>
      </c>
      <c r="AA392" s="65"/>
      <c r="AB392" s="65"/>
      <c r="AC392" s="65" t="s">
        <v>70</v>
      </c>
      <c r="AD392" s="64" t="str">
        <f t="shared" si="719"/>
        <v>POYOWA BESAR</v>
      </c>
      <c r="AE392" s="67"/>
      <c r="AF392" s="67"/>
      <c r="AG392" s="67"/>
      <c r="AH392" s="67"/>
      <c r="AI392" s="69"/>
      <c r="AJ392" s="11" t="s">
        <v>605</v>
      </c>
      <c r="AK392" s="65" t="s">
        <v>96</v>
      </c>
      <c r="AL392" s="65"/>
      <c r="AM392" s="176"/>
      <c r="AN392" s="176"/>
      <c r="AO392" s="176"/>
      <c r="AP392" s="176"/>
      <c r="AQ392" s="177" t="s">
        <v>97</v>
      </c>
      <c r="AR392" s="70" t="s">
        <v>349</v>
      </c>
      <c r="AS392" s="71" t="str">
        <f t="shared" ref="AS392:AT392" si="722">AS391</f>
        <v>KPBS-1.019</v>
      </c>
      <c r="AT392" s="71" t="str">
        <f t="shared" si="722"/>
        <v>C04</v>
      </c>
      <c r="AU392" s="72"/>
      <c r="AV392" s="202">
        <v>0.71312884450000003</v>
      </c>
      <c r="AW392" s="202">
        <v>124.3259749951</v>
      </c>
      <c r="AX392" s="65" t="s">
        <v>98</v>
      </c>
      <c r="AY392" s="65" t="s">
        <v>94</v>
      </c>
      <c r="AZ392" s="65" t="s">
        <v>94</v>
      </c>
      <c r="BA392" s="73" t="s">
        <v>77</v>
      </c>
      <c r="BB392" s="65" t="s">
        <v>98</v>
      </c>
      <c r="BC392" s="65">
        <v>31</v>
      </c>
      <c r="BD392" s="65" t="s">
        <v>98</v>
      </c>
      <c r="BE392" s="211" t="str">
        <f t="shared" si="654"/>
        <v>213, POYOWA BESAR,</v>
      </c>
    </row>
    <row r="393" spans="1:57" s="211" customFormat="1" ht="15.75" customHeight="1">
      <c r="A393" s="224"/>
      <c r="B393" s="225"/>
      <c r="C393" s="225"/>
      <c r="D393" s="225"/>
      <c r="E393" s="225"/>
      <c r="F393" s="225"/>
      <c r="G393" s="226"/>
      <c r="H393" s="23">
        <v>5</v>
      </c>
      <c r="I393" s="64" t="str">
        <f t="shared" ref="I393:L393" si="723">I392</f>
        <v>MR.KPBS.P046</v>
      </c>
      <c r="J393" s="64">
        <f t="shared" si="723"/>
        <v>0.71311755480000005</v>
      </c>
      <c r="K393" s="64">
        <f t="shared" si="723"/>
        <v>124.3258371788</v>
      </c>
      <c r="L393" s="64" t="str">
        <f t="shared" si="723"/>
        <v>JL. RAYA POYOWA BESAR</v>
      </c>
      <c r="M393" s="64" t="str">
        <f t="shared" si="686"/>
        <v>SULAWESI UTARA</v>
      </c>
      <c r="N393" s="65" t="s">
        <v>105</v>
      </c>
      <c r="O393" s="66" t="s">
        <v>118</v>
      </c>
      <c r="P393" s="65" t="s">
        <v>119</v>
      </c>
      <c r="Q393" s="66">
        <v>95717</v>
      </c>
      <c r="R393" s="67"/>
      <c r="S393" s="68"/>
      <c r="T393" s="68"/>
      <c r="U393" s="68"/>
      <c r="V393" s="68"/>
      <c r="W393" s="65" t="s">
        <v>105</v>
      </c>
      <c r="X393" s="64"/>
      <c r="Y393" s="64" t="s">
        <v>106</v>
      </c>
      <c r="Z393" s="64" t="str">
        <f t="shared" si="695"/>
        <v>KELURAHAN POYOWA BESAR SATU KOTAMOBAGU</v>
      </c>
      <c r="AA393" s="65"/>
      <c r="AB393" s="65"/>
      <c r="AC393" s="65" t="s">
        <v>70</v>
      </c>
      <c r="AD393" s="64" t="str">
        <f t="shared" si="719"/>
        <v>POYOWA BESAR</v>
      </c>
      <c r="AE393" s="67"/>
      <c r="AF393" s="67"/>
      <c r="AG393" s="67"/>
      <c r="AH393" s="67"/>
      <c r="AI393" s="69"/>
      <c r="AJ393" s="11" t="s">
        <v>606</v>
      </c>
      <c r="AK393" s="65" t="s">
        <v>96</v>
      </c>
      <c r="AL393" s="65"/>
      <c r="AM393" s="176"/>
      <c r="AN393" s="176"/>
      <c r="AO393" s="176"/>
      <c r="AP393" s="176"/>
      <c r="AQ393" s="177" t="s">
        <v>97</v>
      </c>
      <c r="AR393" s="70" t="s">
        <v>349</v>
      </c>
      <c r="AS393" s="71" t="str">
        <f t="shared" ref="AS393:AT393" si="724">AS392</f>
        <v>KPBS-1.019</v>
      </c>
      <c r="AT393" s="71" t="str">
        <f t="shared" si="724"/>
        <v>C04</v>
      </c>
      <c r="AU393" s="72"/>
      <c r="AV393" s="202">
        <v>0.71309499389999997</v>
      </c>
      <c r="AW393" s="202">
        <v>124.3259084776</v>
      </c>
      <c r="AX393" s="65" t="s">
        <v>98</v>
      </c>
      <c r="AY393" s="65" t="s">
        <v>94</v>
      </c>
      <c r="AZ393" s="65" t="s">
        <v>94</v>
      </c>
      <c r="BA393" s="73" t="s">
        <v>77</v>
      </c>
      <c r="BB393" s="65" t="s">
        <v>98</v>
      </c>
      <c r="BC393" s="65">
        <v>31</v>
      </c>
      <c r="BD393" s="65" t="s">
        <v>98</v>
      </c>
      <c r="BE393" s="211" t="str">
        <f t="shared" si="654"/>
        <v>214, POYOWA BESAR,</v>
      </c>
    </row>
    <row r="394" spans="1:57" s="211" customFormat="1" ht="15.75" customHeight="1">
      <c r="A394" s="224"/>
      <c r="B394" s="225"/>
      <c r="C394" s="225"/>
      <c r="D394" s="225"/>
      <c r="E394" s="225"/>
      <c r="F394" s="225"/>
      <c r="G394" s="226"/>
      <c r="H394" s="23">
        <v>6</v>
      </c>
      <c r="I394" s="64" t="str">
        <f t="shared" ref="I394:L394" si="725">I393</f>
        <v>MR.KPBS.P046</v>
      </c>
      <c r="J394" s="64">
        <f t="shared" si="725"/>
        <v>0.71311755480000005</v>
      </c>
      <c r="K394" s="64">
        <f t="shared" si="725"/>
        <v>124.3258371788</v>
      </c>
      <c r="L394" s="64" t="str">
        <f t="shared" si="725"/>
        <v>JL. RAYA POYOWA BESAR</v>
      </c>
      <c r="M394" s="64" t="str">
        <f t="shared" si="686"/>
        <v>SULAWESI UTARA</v>
      </c>
      <c r="N394" s="65" t="s">
        <v>105</v>
      </c>
      <c r="O394" s="66" t="s">
        <v>118</v>
      </c>
      <c r="P394" s="65" t="s">
        <v>119</v>
      </c>
      <c r="Q394" s="66">
        <v>95717</v>
      </c>
      <c r="R394" s="67"/>
      <c r="S394" s="68"/>
      <c r="T394" s="68"/>
      <c r="U394" s="68"/>
      <c r="V394" s="68"/>
      <c r="W394" s="65" t="s">
        <v>105</v>
      </c>
      <c r="X394" s="64"/>
      <c r="Y394" s="64" t="s">
        <v>106</v>
      </c>
      <c r="Z394" s="64" t="str">
        <f t="shared" si="695"/>
        <v>KELURAHAN POYOWA BESAR SATU KOTAMOBAGU</v>
      </c>
      <c r="AA394" s="65"/>
      <c r="AB394" s="65"/>
      <c r="AC394" s="65" t="s">
        <v>70</v>
      </c>
      <c r="AD394" s="64" t="str">
        <f t="shared" si="719"/>
        <v>POYOWA BESAR</v>
      </c>
      <c r="AE394" s="67"/>
      <c r="AF394" s="67"/>
      <c r="AG394" s="67"/>
      <c r="AH394" s="67"/>
      <c r="AI394" s="69"/>
      <c r="AJ394" s="11" t="s">
        <v>607</v>
      </c>
      <c r="AK394" s="65" t="s">
        <v>96</v>
      </c>
      <c r="AL394" s="65"/>
      <c r="AM394" s="176"/>
      <c r="AN394" s="176"/>
      <c r="AO394" s="176"/>
      <c r="AP394" s="176"/>
      <c r="AQ394" s="186" t="s">
        <v>97</v>
      </c>
      <c r="AR394" s="70" t="s">
        <v>349</v>
      </c>
      <c r="AS394" s="71" t="str">
        <f t="shared" ref="AS394:AT394" si="726">AS393</f>
        <v>KPBS-1.019</v>
      </c>
      <c r="AT394" s="71" t="str">
        <f t="shared" si="726"/>
        <v>C04</v>
      </c>
      <c r="AU394" s="72"/>
      <c r="AV394" s="202">
        <v>0.71298595909999896</v>
      </c>
      <c r="AW394" s="202">
        <v>124.3263347781</v>
      </c>
      <c r="AX394" s="65" t="s">
        <v>98</v>
      </c>
      <c r="AY394" s="65" t="s">
        <v>94</v>
      </c>
      <c r="AZ394" s="65" t="s">
        <v>94</v>
      </c>
      <c r="BA394" s="73" t="s">
        <v>77</v>
      </c>
      <c r="BB394" s="65" t="s">
        <v>98</v>
      </c>
      <c r="BC394" s="65">
        <v>31</v>
      </c>
      <c r="BD394" s="65" t="s">
        <v>98</v>
      </c>
      <c r="BE394" s="211" t="str">
        <f t="shared" si="654"/>
        <v>217, POYOWA BESAR,</v>
      </c>
    </row>
    <row r="395" spans="1:57" s="211" customFormat="1" ht="15.75" customHeight="1">
      <c r="A395" s="224"/>
      <c r="B395" s="225"/>
      <c r="C395" s="225"/>
      <c r="D395" s="225"/>
      <c r="E395" s="225"/>
      <c r="F395" s="225"/>
      <c r="G395" s="226"/>
      <c r="H395" s="23">
        <v>7</v>
      </c>
      <c r="I395" s="64" t="str">
        <f t="shared" ref="I395:L395" si="727">I394</f>
        <v>MR.KPBS.P046</v>
      </c>
      <c r="J395" s="64">
        <f t="shared" si="727"/>
        <v>0.71311755480000005</v>
      </c>
      <c r="K395" s="64">
        <f t="shared" si="727"/>
        <v>124.3258371788</v>
      </c>
      <c r="L395" s="64" t="str">
        <f t="shared" si="727"/>
        <v>JL. RAYA POYOWA BESAR</v>
      </c>
      <c r="M395" s="64" t="str">
        <f t="shared" si="686"/>
        <v>SULAWESI UTARA</v>
      </c>
      <c r="N395" s="65" t="s">
        <v>105</v>
      </c>
      <c r="O395" s="66" t="s">
        <v>118</v>
      </c>
      <c r="P395" s="65" t="s">
        <v>119</v>
      </c>
      <c r="Q395" s="66">
        <v>95717</v>
      </c>
      <c r="R395" s="67"/>
      <c r="S395" s="68"/>
      <c r="T395" s="68"/>
      <c r="U395" s="68"/>
      <c r="V395" s="68"/>
      <c r="W395" s="65" t="s">
        <v>105</v>
      </c>
      <c r="X395" s="64"/>
      <c r="Y395" s="64" t="s">
        <v>106</v>
      </c>
      <c r="Z395" s="64" t="str">
        <f t="shared" si="695"/>
        <v>KELURAHAN POYOWA BESAR SATU KOTAMOBAGU</v>
      </c>
      <c r="AA395" s="65"/>
      <c r="AB395" s="65"/>
      <c r="AC395" s="65" t="s">
        <v>70</v>
      </c>
      <c r="AD395" s="64" t="str">
        <f t="shared" si="719"/>
        <v>POYOWA BESAR</v>
      </c>
      <c r="AE395" s="67"/>
      <c r="AF395" s="67"/>
      <c r="AG395" s="67"/>
      <c r="AH395" s="67"/>
      <c r="AI395" s="69"/>
      <c r="AJ395" s="11" t="s">
        <v>608</v>
      </c>
      <c r="AK395" s="65" t="s">
        <v>96</v>
      </c>
      <c r="AL395" s="65"/>
      <c r="AM395" s="65"/>
      <c r="AN395" s="65"/>
      <c r="AO395" s="65"/>
      <c r="AP395" s="65"/>
      <c r="AQ395" s="177" t="s">
        <v>97</v>
      </c>
      <c r="AR395" s="70" t="s">
        <v>349</v>
      </c>
      <c r="AS395" s="71" t="str">
        <f t="shared" ref="AS395:AT395" si="728">AS394</f>
        <v>KPBS-1.019</v>
      </c>
      <c r="AT395" s="71" t="str">
        <f t="shared" si="728"/>
        <v>C04</v>
      </c>
      <c r="AU395" s="72"/>
      <c r="AV395" s="202">
        <v>0.71304566359999999</v>
      </c>
      <c r="AW395" s="202">
        <v>124.3260958578</v>
      </c>
      <c r="AX395" s="65" t="s">
        <v>98</v>
      </c>
      <c r="AY395" s="65" t="s">
        <v>94</v>
      </c>
      <c r="AZ395" s="65" t="s">
        <v>94</v>
      </c>
      <c r="BA395" s="73" t="s">
        <v>77</v>
      </c>
      <c r="BB395" s="65" t="s">
        <v>98</v>
      </c>
      <c r="BC395" s="65">
        <v>31</v>
      </c>
      <c r="BD395" s="65" t="s">
        <v>98</v>
      </c>
      <c r="BE395" s="211" t="str">
        <f t="shared" si="654"/>
        <v>215, POYOWA BESAR,</v>
      </c>
    </row>
    <row r="396" spans="1:57" s="211" customFormat="1" ht="15.75" customHeight="1">
      <c r="A396" s="224"/>
      <c r="B396" s="225"/>
      <c r="C396" s="225"/>
      <c r="D396" s="225"/>
      <c r="E396" s="225"/>
      <c r="F396" s="225"/>
      <c r="G396" s="226"/>
      <c r="H396" s="23">
        <v>8</v>
      </c>
      <c r="I396" s="64" t="str">
        <f t="shared" ref="I396:L396" si="729">I395</f>
        <v>MR.KPBS.P046</v>
      </c>
      <c r="J396" s="64">
        <f t="shared" si="729"/>
        <v>0.71311755480000005</v>
      </c>
      <c r="K396" s="64">
        <f t="shared" si="729"/>
        <v>124.3258371788</v>
      </c>
      <c r="L396" s="64" t="str">
        <f t="shared" si="729"/>
        <v>JL. RAYA POYOWA BESAR</v>
      </c>
      <c r="M396" s="64" t="str">
        <f t="shared" si="686"/>
        <v>SULAWESI UTARA</v>
      </c>
      <c r="N396" s="65" t="s">
        <v>105</v>
      </c>
      <c r="O396" s="66" t="s">
        <v>118</v>
      </c>
      <c r="P396" s="65" t="s">
        <v>119</v>
      </c>
      <c r="Q396" s="66">
        <v>95717</v>
      </c>
      <c r="R396" s="67"/>
      <c r="S396" s="68"/>
      <c r="T396" s="68"/>
      <c r="U396" s="68"/>
      <c r="V396" s="68"/>
      <c r="W396" s="65" t="s">
        <v>105</v>
      </c>
      <c r="X396" s="64"/>
      <c r="Y396" s="64" t="s">
        <v>106</v>
      </c>
      <c r="Z396" s="64" t="str">
        <f t="shared" si="695"/>
        <v>KELURAHAN POYOWA BESAR SATU KOTAMOBAGU</v>
      </c>
      <c r="AA396" s="65"/>
      <c r="AB396" s="65"/>
      <c r="AC396" s="65" t="s">
        <v>70</v>
      </c>
      <c r="AD396" s="64" t="str">
        <f t="shared" si="719"/>
        <v>POYOWA BESAR</v>
      </c>
      <c r="AE396" s="67"/>
      <c r="AF396" s="67"/>
      <c r="AG396" s="67"/>
      <c r="AH396" s="67"/>
      <c r="AI396" s="69"/>
      <c r="AJ396" s="11" t="s">
        <v>609</v>
      </c>
      <c r="AK396" s="65" t="s">
        <v>96</v>
      </c>
      <c r="AL396" s="65"/>
      <c r="AM396" s="65"/>
      <c r="AN396" s="65"/>
      <c r="AO396" s="65"/>
      <c r="AP396" s="65"/>
      <c r="AQ396" s="177" t="s">
        <v>97</v>
      </c>
      <c r="AR396" s="70" t="s">
        <v>349</v>
      </c>
      <c r="AS396" s="71" t="str">
        <f t="shared" ref="AS396:AT396" si="730">AS395</f>
        <v>KPBS-1.019</v>
      </c>
      <c r="AT396" s="71" t="str">
        <f t="shared" si="730"/>
        <v>C04</v>
      </c>
      <c r="AU396" s="72"/>
      <c r="AV396" s="202">
        <v>0.71298444500000002</v>
      </c>
      <c r="AW396" s="202">
        <v>124.3261080753</v>
      </c>
      <c r="AX396" s="65" t="s">
        <v>98</v>
      </c>
      <c r="AY396" s="65" t="s">
        <v>94</v>
      </c>
      <c r="AZ396" s="65" t="s">
        <v>94</v>
      </c>
      <c r="BA396" s="73" t="s">
        <v>77</v>
      </c>
      <c r="BB396" s="65" t="s">
        <v>98</v>
      </c>
      <c r="BC396" s="65">
        <v>31</v>
      </c>
      <c r="BD396" s="65" t="s">
        <v>98</v>
      </c>
      <c r="BE396" s="211" t="str">
        <f t="shared" si="654"/>
        <v>216, POYOWA BESAR,</v>
      </c>
    </row>
    <row r="397" spans="1:57" s="211" customFormat="1" ht="15.75" customHeight="1">
      <c r="A397" s="224"/>
      <c r="B397" s="225"/>
      <c r="C397" s="225"/>
      <c r="D397" s="225"/>
      <c r="E397" s="225"/>
      <c r="F397" s="225"/>
      <c r="G397" s="226"/>
      <c r="H397" s="23">
        <v>9</v>
      </c>
      <c r="I397" s="64" t="str">
        <f t="shared" ref="I397:L397" si="731">I396</f>
        <v>MR.KPBS.P046</v>
      </c>
      <c r="J397" s="64">
        <f t="shared" si="731"/>
        <v>0.71311755480000005</v>
      </c>
      <c r="K397" s="64">
        <f t="shared" si="731"/>
        <v>124.3258371788</v>
      </c>
      <c r="L397" s="64" t="str">
        <f t="shared" si="731"/>
        <v>JL. RAYA POYOWA BESAR</v>
      </c>
      <c r="M397" s="64" t="str">
        <f t="shared" si="686"/>
        <v>SULAWESI UTARA</v>
      </c>
      <c r="N397" s="65" t="s">
        <v>105</v>
      </c>
      <c r="O397" s="66" t="s">
        <v>118</v>
      </c>
      <c r="P397" s="65" t="s">
        <v>119</v>
      </c>
      <c r="Q397" s="66">
        <v>95717</v>
      </c>
      <c r="R397" s="67"/>
      <c r="S397" s="68"/>
      <c r="T397" s="74"/>
      <c r="U397" s="74"/>
      <c r="V397" s="74"/>
      <c r="W397" s="65" t="s">
        <v>105</v>
      </c>
      <c r="X397" s="64"/>
      <c r="Y397" s="64" t="s">
        <v>106</v>
      </c>
      <c r="Z397" s="64" t="str">
        <f t="shared" si="695"/>
        <v>KELURAHAN POYOWA BESAR SATU KOTAMOBAGU</v>
      </c>
      <c r="AA397" s="65"/>
      <c r="AB397" s="65"/>
      <c r="AC397" s="65" t="s">
        <v>70</v>
      </c>
      <c r="AD397" s="64" t="str">
        <f t="shared" si="719"/>
        <v>POYOWA BESAR</v>
      </c>
      <c r="AE397" s="75"/>
      <c r="AF397" s="75"/>
      <c r="AG397" s="75"/>
      <c r="AH397" s="75"/>
      <c r="AI397" s="69"/>
      <c r="AJ397" s="11" t="s">
        <v>610</v>
      </c>
      <c r="AK397" s="65" t="s">
        <v>96</v>
      </c>
      <c r="AL397" s="65"/>
      <c r="AM397" s="65"/>
      <c r="AN397" s="65"/>
      <c r="AO397" s="65"/>
      <c r="AP397" s="65"/>
      <c r="AQ397" s="177" t="s">
        <v>97</v>
      </c>
      <c r="AR397" s="70" t="s">
        <v>349</v>
      </c>
      <c r="AS397" s="71" t="str">
        <f t="shared" ref="AS397:AT397" si="732">AS396</f>
        <v>KPBS-1.019</v>
      </c>
      <c r="AT397" s="71" t="str">
        <f t="shared" si="732"/>
        <v>C04</v>
      </c>
      <c r="AU397" s="72"/>
      <c r="AV397" s="202">
        <v>0.71301573460000001</v>
      </c>
      <c r="AW397" s="202">
        <v>124.3259288852</v>
      </c>
      <c r="AX397" s="65" t="s">
        <v>98</v>
      </c>
      <c r="AY397" s="65" t="s">
        <v>94</v>
      </c>
      <c r="AZ397" s="65" t="s">
        <v>94</v>
      </c>
      <c r="BA397" s="73" t="s">
        <v>77</v>
      </c>
      <c r="BB397" s="65" t="s">
        <v>98</v>
      </c>
      <c r="BC397" s="65">
        <v>31</v>
      </c>
      <c r="BD397" s="65" t="s">
        <v>98</v>
      </c>
      <c r="BE397" s="211" t="str">
        <f t="shared" si="654"/>
        <v>218, POYOWA BESAR,</v>
      </c>
    </row>
    <row r="398" spans="1:57" s="211" customFormat="1" ht="15.75" customHeight="1">
      <c r="A398" s="224"/>
      <c r="B398" s="225"/>
      <c r="C398" s="225"/>
      <c r="D398" s="225"/>
      <c r="E398" s="225"/>
      <c r="F398" s="225"/>
      <c r="G398" s="226"/>
      <c r="H398" s="23">
        <v>10</v>
      </c>
      <c r="I398" s="64" t="str">
        <f t="shared" si="718"/>
        <v>MR.KPBS.P046</v>
      </c>
      <c r="J398" s="64">
        <f t="shared" si="718"/>
        <v>0.71311755480000005</v>
      </c>
      <c r="K398" s="64">
        <f t="shared" si="718"/>
        <v>124.3258371788</v>
      </c>
      <c r="L398" s="64" t="str">
        <f t="shared" si="718"/>
        <v>JL. RAYA POYOWA BESAR</v>
      </c>
      <c r="M398" s="64" t="str">
        <f t="shared" si="686"/>
        <v>SULAWESI UTARA</v>
      </c>
      <c r="N398" s="65" t="s">
        <v>105</v>
      </c>
      <c r="O398" s="66" t="s">
        <v>118</v>
      </c>
      <c r="P398" s="65" t="s">
        <v>119</v>
      </c>
      <c r="Q398" s="66">
        <v>95717</v>
      </c>
      <c r="R398" s="67"/>
      <c r="S398" s="68"/>
      <c r="T398" s="68"/>
      <c r="U398" s="68"/>
      <c r="V398" s="68"/>
      <c r="W398" s="65" t="s">
        <v>105</v>
      </c>
      <c r="X398" s="64"/>
      <c r="Y398" s="64" t="s">
        <v>106</v>
      </c>
      <c r="Z398" s="64" t="str">
        <f t="shared" si="695"/>
        <v>KELURAHAN POYOWA BESAR SATU KOTAMOBAGU</v>
      </c>
      <c r="AA398" s="65"/>
      <c r="AB398" s="65"/>
      <c r="AC398" s="65" t="s">
        <v>70</v>
      </c>
      <c r="AD398" s="64" t="str">
        <f t="shared" si="719"/>
        <v>POYOWA BESAR</v>
      </c>
      <c r="AE398" s="67"/>
      <c r="AF398" s="67"/>
      <c r="AG398" s="67"/>
      <c r="AH398" s="67"/>
      <c r="AI398" s="69"/>
      <c r="AJ398" s="11" t="s">
        <v>611</v>
      </c>
      <c r="AK398" s="65" t="s">
        <v>96</v>
      </c>
      <c r="AL398" s="65"/>
      <c r="AM398" s="65"/>
      <c r="AN398" s="65"/>
      <c r="AO398" s="65"/>
      <c r="AP398" s="65"/>
      <c r="AQ398" s="177" t="s">
        <v>97</v>
      </c>
      <c r="AR398" s="70" t="s">
        <v>349</v>
      </c>
      <c r="AS398" s="71" t="str">
        <f t="shared" ref="AS398:AT398" si="733">AS397</f>
        <v>KPBS-1.019</v>
      </c>
      <c r="AT398" s="71" t="str">
        <f t="shared" si="733"/>
        <v>C04</v>
      </c>
      <c r="AU398" s="72"/>
      <c r="AV398" s="202">
        <v>0.71294635350000002</v>
      </c>
      <c r="AW398" s="202">
        <v>124.3259533203</v>
      </c>
      <c r="AX398" s="65" t="s">
        <v>98</v>
      </c>
      <c r="AY398" s="65" t="s">
        <v>94</v>
      </c>
      <c r="AZ398" s="65" t="s">
        <v>94</v>
      </c>
      <c r="BA398" s="73" t="s">
        <v>77</v>
      </c>
      <c r="BB398" s="65" t="s">
        <v>98</v>
      </c>
      <c r="BC398" s="65">
        <v>31</v>
      </c>
      <c r="BD398" s="65" t="s">
        <v>98</v>
      </c>
      <c r="BE398" s="211" t="str">
        <f t="shared" si="654"/>
        <v>219, POYOWA BESAR,</v>
      </c>
    </row>
    <row r="399" spans="1:57" s="211" customFormat="1" ht="15.75" customHeight="1">
      <c r="A399" s="224"/>
      <c r="B399" s="225"/>
      <c r="C399" s="225"/>
      <c r="D399" s="225"/>
      <c r="E399" s="225"/>
      <c r="F399" s="225"/>
      <c r="G399" s="226"/>
      <c r="H399" s="23">
        <v>11</v>
      </c>
      <c r="I399" s="64" t="str">
        <f t="shared" si="718"/>
        <v>MR.KPBS.P046</v>
      </c>
      <c r="J399" s="64">
        <f t="shared" si="718"/>
        <v>0.71311755480000005</v>
      </c>
      <c r="K399" s="64">
        <f t="shared" si="718"/>
        <v>124.3258371788</v>
      </c>
      <c r="L399" s="64" t="str">
        <f t="shared" si="718"/>
        <v>JL. RAYA POYOWA BESAR</v>
      </c>
      <c r="M399" s="64" t="str">
        <f t="shared" si="686"/>
        <v>SULAWESI UTARA</v>
      </c>
      <c r="N399" s="65" t="s">
        <v>105</v>
      </c>
      <c r="O399" s="66" t="s">
        <v>118</v>
      </c>
      <c r="P399" s="65" t="s">
        <v>119</v>
      </c>
      <c r="Q399" s="66">
        <v>95717</v>
      </c>
      <c r="R399" s="67"/>
      <c r="S399" s="68"/>
      <c r="T399" s="68"/>
      <c r="U399" s="68"/>
      <c r="V399" s="68"/>
      <c r="W399" s="64" t="s">
        <v>105</v>
      </c>
      <c r="X399" s="64"/>
      <c r="Y399" s="64" t="s">
        <v>106</v>
      </c>
      <c r="Z399" s="64" t="str">
        <f t="shared" si="695"/>
        <v>KELURAHAN POYOWA BESAR SATU KOTAMOBAGU</v>
      </c>
      <c r="AA399" s="65"/>
      <c r="AB399" s="65"/>
      <c r="AC399" s="65" t="s">
        <v>70</v>
      </c>
      <c r="AD399" s="64" t="str">
        <f t="shared" si="719"/>
        <v>POYOWA BESAR</v>
      </c>
      <c r="AE399" s="67"/>
      <c r="AF399" s="67"/>
      <c r="AG399" s="67"/>
      <c r="AH399" s="67"/>
      <c r="AI399" s="69"/>
      <c r="AJ399" s="11" t="s">
        <v>612</v>
      </c>
      <c r="AK399" s="178" t="s">
        <v>96</v>
      </c>
      <c r="AL399" s="178"/>
      <c r="AM399" s="178"/>
      <c r="AN399" s="178"/>
      <c r="AO399" s="178"/>
      <c r="AP399" s="178"/>
      <c r="AQ399" s="179" t="s">
        <v>97</v>
      </c>
      <c r="AR399" s="70" t="s">
        <v>349</v>
      </c>
      <c r="AS399" s="71" t="str">
        <f t="shared" ref="AS399:AT399" si="734">AS398</f>
        <v>KPBS-1.019</v>
      </c>
      <c r="AT399" s="71" t="str">
        <f t="shared" si="734"/>
        <v>C04</v>
      </c>
      <c r="AU399" s="72"/>
      <c r="AV399" s="202">
        <v>0.71288513490000005</v>
      </c>
      <c r="AW399" s="202">
        <v>124.32596282270001</v>
      </c>
      <c r="AX399" s="65" t="s">
        <v>98</v>
      </c>
      <c r="AY399" s="65" t="s">
        <v>94</v>
      </c>
      <c r="AZ399" s="65" t="s">
        <v>94</v>
      </c>
      <c r="BA399" s="73" t="s">
        <v>77</v>
      </c>
      <c r="BB399" s="65" t="s">
        <v>98</v>
      </c>
      <c r="BC399" s="65">
        <v>31</v>
      </c>
      <c r="BD399" s="65" t="s">
        <v>98</v>
      </c>
      <c r="BE399" s="211" t="str">
        <f t="shared" si="654"/>
        <v>220, POYOWA BESAR,</v>
      </c>
    </row>
    <row r="400" spans="1:57" s="211" customFormat="1" ht="15.75" customHeight="1">
      <c r="A400" s="224"/>
      <c r="B400" s="225"/>
      <c r="C400" s="225"/>
      <c r="D400" s="225"/>
      <c r="E400" s="225"/>
      <c r="F400" s="225"/>
      <c r="G400" s="226"/>
      <c r="H400" s="23">
        <v>12</v>
      </c>
      <c r="I400" s="64" t="str">
        <f t="shared" si="718"/>
        <v>MR.KPBS.P046</v>
      </c>
      <c r="J400" s="64">
        <f t="shared" si="718"/>
        <v>0.71311755480000005</v>
      </c>
      <c r="K400" s="64">
        <f t="shared" si="718"/>
        <v>124.3258371788</v>
      </c>
      <c r="L400" s="64" t="str">
        <f t="shared" si="718"/>
        <v>JL. RAYA POYOWA BESAR</v>
      </c>
      <c r="M400" s="64" t="str">
        <f t="shared" si="686"/>
        <v>SULAWESI UTARA</v>
      </c>
      <c r="N400" s="65" t="s">
        <v>105</v>
      </c>
      <c r="O400" s="66" t="s">
        <v>118</v>
      </c>
      <c r="P400" s="65" t="s">
        <v>119</v>
      </c>
      <c r="Q400" s="66">
        <v>95717</v>
      </c>
      <c r="R400" s="67"/>
      <c r="S400" s="68"/>
      <c r="T400" s="68"/>
      <c r="U400" s="68"/>
      <c r="V400" s="68"/>
      <c r="W400" s="64" t="s">
        <v>105</v>
      </c>
      <c r="X400" s="64"/>
      <c r="Y400" s="64" t="s">
        <v>106</v>
      </c>
      <c r="Z400" s="64" t="str">
        <f t="shared" si="695"/>
        <v>KELURAHAN POYOWA BESAR SATU KOTAMOBAGU</v>
      </c>
      <c r="AA400" s="65"/>
      <c r="AB400" s="65"/>
      <c r="AC400" s="65" t="s">
        <v>70</v>
      </c>
      <c r="AD400" s="64" t="str">
        <f t="shared" si="719"/>
        <v>POYOWA BESAR</v>
      </c>
      <c r="AE400" s="67"/>
      <c r="AF400" s="67"/>
      <c r="AG400" s="67"/>
      <c r="AH400" s="67"/>
      <c r="AI400" s="69"/>
      <c r="AJ400" s="11" t="s">
        <v>613</v>
      </c>
      <c r="AK400" s="178" t="s">
        <v>96</v>
      </c>
      <c r="AL400" s="178"/>
      <c r="AM400" s="178"/>
      <c r="AN400" s="178"/>
      <c r="AO400" s="178"/>
      <c r="AP400" s="178"/>
      <c r="AQ400" s="179" t="s">
        <v>97</v>
      </c>
      <c r="AR400" s="70" t="s">
        <v>349</v>
      </c>
      <c r="AS400" s="71" t="str">
        <f t="shared" ref="AS400:AT400" si="735">AS399</f>
        <v>KPBS-1.019</v>
      </c>
      <c r="AT400" s="71" t="str">
        <f t="shared" si="735"/>
        <v>C04</v>
      </c>
      <c r="AU400" s="72"/>
      <c r="AV400" s="202">
        <v>0.7128267908</v>
      </c>
      <c r="AW400" s="202">
        <v>124.3260171228</v>
      </c>
      <c r="AX400" s="65" t="s">
        <v>98</v>
      </c>
      <c r="AY400" s="65" t="s">
        <v>94</v>
      </c>
      <c r="AZ400" s="65" t="s">
        <v>94</v>
      </c>
      <c r="BA400" s="73" t="s">
        <v>77</v>
      </c>
      <c r="BB400" s="65" t="s">
        <v>98</v>
      </c>
      <c r="BC400" s="65">
        <v>31</v>
      </c>
      <c r="BD400" s="65" t="s">
        <v>98</v>
      </c>
      <c r="BE400" s="211" t="str">
        <f t="shared" si="654"/>
        <v>221, POYOWA BESAR,</v>
      </c>
    </row>
  </sheetData>
  <autoFilter ref="A8:BE8" xr:uid="{8FE9C4E9-A023-449D-82EB-098CE265BB65}"/>
  <mergeCells count="54">
    <mergeCell ref="A272:G285"/>
    <mergeCell ref="A148:G161"/>
    <mergeCell ref="A72:G80"/>
    <mergeCell ref="A43:G53"/>
    <mergeCell ref="A108:G115"/>
    <mergeCell ref="G130:G131"/>
    <mergeCell ref="G81:G82"/>
    <mergeCell ref="A83:G96"/>
    <mergeCell ref="G97:G98"/>
    <mergeCell ref="A118:G129"/>
    <mergeCell ref="G54:G55"/>
    <mergeCell ref="G70:G71"/>
    <mergeCell ref="A56:G69"/>
    <mergeCell ref="A391:G400"/>
    <mergeCell ref="A11:G24"/>
    <mergeCell ref="A27:G40"/>
    <mergeCell ref="A362:G375"/>
    <mergeCell ref="A378:G388"/>
    <mergeCell ref="G376:G377"/>
    <mergeCell ref="G146:G147"/>
    <mergeCell ref="G162:G163"/>
    <mergeCell ref="G178:G179"/>
    <mergeCell ref="G116:G117"/>
    <mergeCell ref="G254:G255"/>
    <mergeCell ref="G194:G195"/>
    <mergeCell ref="G208:G209"/>
    <mergeCell ref="A332:G343"/>
    <mergeCell ref="G318:G319"/>
    <mergeCell ref="A132:G145"/>
    <mergeCell ref="G9:G10"/>
    <mergeCell ref="G25:G26"/>
    <mergeCell ref="G41:G42"/>
    <mergeCell ref="G360:G361"/>
    <mergeCell ref="A256:G269"/>
    <mergeCell ref="A240:G253"/>
    <mergeCell ref="A224:G237"/>
    <mergeCell ref="A210:G221"/>
    <mergeCell ref="A196:G207"/>
    <mergeCell ref="A180:G193"/>
    <mergeCell ref="G270:G271"/>
    <mergeCell ref="A99:G104"/>
    <mergeCell ref="G106:G107"/>
    <mergeCell ref="A164:G177"/>
    <mergeCell ref="G222:G223"/>
    <mergeCell ref="G238:G239"/>
    <mergeCell ref="G389:G390"/>
    <mergeCell ref="G330:G331"/>
    <mergeCell ref="G344:G345"/>
    <mergeCell ref="G286:G287"/>
    <mergeCell ref="G302:G303"/>
    <mergeCell ref="A320:G329"/>
    <mergeCell ref="A346:G359"/>
    <mergeCell ref="A304:G317"/>
    <mergeCell ref="A288:G301"/>
  </mergeCells>
  <phoneticPr fontId="15" type="noConversion"/>
  <conditionalFormatting sqref="AJ401:AJ65354 AJ1:AJ8">
    <cfRule type="duplicateValues" dxfId="5" priority="62" stopIfTrue="1"/>
  </conditionalFormatting>
  <conditionalFormatting sqref="BE1:BE1048576">
    <cfRule type="duplicateValues" dxfId="4" priority="1" stopIfTrue="1"/>
    <cfRule type="duplicateValues" dxfId="3" priority="2" stopIfTrue="1"/>
  </conditionalFormatting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728C-6924-4B6C-8242-971819F98E38}">
  <dimension ref="A1:BE412"/>
  <sheetViews>
    <sheetView zoomScale="70" zoomScaleNormal="70" zoomScaleSheetLayoutView="100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J17" sqref="J17"/>
    </sheetView>
  </sheetViews>
  <sheetFormatPr defaultColWidth="9.109375" defaultRowHeight="18" customHeight="1"/>
  <cols>
    <col min="1" max="1" width="10.33203125" customWidth="1"/>
    <col min="2" max="2" width="7.33203125" customWidth="1"/>
    <col min="3" max="3" width="7.109375" customWidth="1"/>
    <col min="4" max="5" width="8.6640625" customWidth="1"/>
    <col min="6" max="6" width="16.33203125" bestFit="1" customWidth="1"/>
    <col min="7" max="7" width="8.33203125" bestFit="1" customWidth="1"/>
    <col min="8" max="8" width="18.109375" bestFit="1" customWidth="1"/>
    <col min="9" max="9" width="24.88671875" bestFit="1" customWidth="1"/>
    <col min="10" max="10" width="16.6640625" bestFit="1" customWidth="1"/>
    <col min="11" max="11" width="17.33203125" bestFit="1" customWidth="1"/>
    <col min="12" max="12" width="23" customWidth="1"/>
    <col min="13" max="13" width="21.6640625" bestFit="1" customWidth="1"/>
    <col min="14" max="14" width="21.88671875" bestFit="1" customWidth="1"/>
    <col min="15" max="15" width="22.6640625" bestFit="1" customWidth="1"/>
    <col min="16" max="16" width="19.33203125" bestFit="1" customWidth="1"/>
    <col min="17" max="17" width="8.109375" customWidth="1"/>
    <col min="18" max="18" width="9.109375" bestFit="1" customWidth="1"/>
    <col min="19" max="19" width="12" customWidth="1"/>
    <col min="20" max="20" width="12.6640625" customWidth="1"/>
    <col min="21" max="21" width="10.6640625" customWidth="1"/>
    <col min="22" max="22" width="9.109375" bestFit="1" customWidth="1"/>
    <col min="23" max="23" width="16.44140625" customWidth="1"/>
    <col min="24" max="24" width="15.6640625" bestFit="1" customWidth="1"/>
    <col min="25" max="26" width="45.88671875" bestFit="1" customWidth="1"/>
    <col min="27" max="28" width="9.109375" bestFit="1" customWidth="1"/>
    <col min="29" max="29" width="15.6640625" customWidth="1"/>
    <col min="30" max="30" width="44.5546875" bestFit="1" customWidth="1"/>
    <col min="31" max="31" width="12" hidden="1" customWidth="1"/>
    <col min="32" max="32" width="16.6640625" hidden="1" customWidth="1"/>
    <col min="33" max="33" width="12.109375" hidden="1" customWidth="1"/>
    <col min="34" max="34" width="15.44140625" hidden="1" customWidth="1"/>
    <col min="35" max="35" width="9.44140625" customWidth="1"/>
    <col min="36" max="36" width="17.33203125" bestFit="1" customWidth="1"/>
    <col min="37" max="37" width="8.109375" customWidth="1"/>
    <col min="38" max="38" width="12.6640625" hidden="1" customWidth="1"/>
    <col min="39" max="39" width="26.44140625" hidden="1" customWidth="1"/>
    <col min="40" max="40" width="31" hidden="1" customWidth="1"/>
    <col min="41" max="41" width="14.6640625" hidden="1" customWidth="1"/>
    <col min="42" max="42" width="13.6640625" hidden="1" customWidth="1"/>
    <col min="43" max="43" width="6.88671875" customWidth="1"/>
    <col min="44" max="44" width="26.33203125" customWidth="1"/>
    <col min="45" max="45" width="20.44140625" bestFit="1" customWidth="1"/>
    <col min="46" max="46" width="25.5546875" customWidth="1"/>
    <col min="47" max="47" width="11.44140625" style="1" customWidth="1"/>
    <col min="48" max="48" width="18.6640625" customWidth="1"/>
    <col min="49" max="49" width="23.33203125" bestFit="1" customWidth="1"/>
    <col min="50" max="50" width="7.44140625" customWidth="1"/>
    <col min="51" max="51" width="9.109375" customWidth="1"/>
    <col min="52" max="52" width="11.109375" customWidth="1"/>
    <col min="53" max="53" width="14.44140625" customWidth="1"/>
    <col min="54" max="54" width="13.6640625" customWidth="1"/>
    <col min="55" max="55" width="10.6640625" bestFit="1" customWidth="1"/>
    <col min="56" max="56" width="9" customWidth="1"/>
    <col min="57" max="57" width="36" bestFit="1" customWidth="1"/>
  </cols>
  <sheetData>
    <row r="1" spans="1:57" ht="18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26"/>
      <c r="N1" s="17"/>
      <c r="O1" s="18"/>
      <c r="P1" s="20"/>
      <c r="Q1" s="20"/>
      <c r="R1" s="27"/>
      <c r="S1" s="29"/>
    </row>
    <row r="2" spans="1:57" ht="18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6"/>
      <c r="N2" s="17"/>
      <c r="O2" s="18"/>
      <c r="P2" s="20"/>
      <c r="Q2" s="20"/>
      <c r="R2" s="27"/>
      <c r="S2" s="29"/>
    </row>
    <row r="3" spans="1:57" ht="18" customHeight="1">
      <c r="A3" s="17" t="s">
        <v>1</v>
      </c>
      <c r="B3" s="19"/>
      <c r="C3" s="19" t="s">
        <v>2</v>
      </c>
      <c r="D3" s="17" t="s">
        <v>105</v>
      </c>
      <c r="E3" s="18"/>
      <c r="F3" s="18"/>
      <c r="G3" s="18"/>
      <c r="H3" s="18"/>
      <c r="I3" s="18"/>
      <c r="J3" s="18"/>
      <c r="K3" s="18"/>
      <c r="L3" s="17" t="s">
        <v>3</v>
      </c>
      <c r="M3" s="19" t="s">
        <v>2</v>
      </c>
      <c r="N3" s="18" t="s">
        <v>90</v>
      </c>
      <c r="O3" s="18"/>
      <c r="P3" s="20"/>
      <c r="Q3" s="20"/>
      <c r="R3" s="27"/>
      <c r="S3" s="29"/>
    </row>
    <row r="4" spans="1:57" ht="18" customHeight="1">
      <c r="A4" s="17" t="s">
        <v>4</v>
      </c>
      <c r="B4" s="19"/>
      <c r="C4" s="19" t="s">
        <v>2</v>
      </c>
      <c r="D4" s="17" t="s">
        <v>347</v>
      </c>
      <c r="E4" s="18"/>
      <c r="F4" s="18"/>
      <c r="G4" s="18"/>
      <c r="H4" s="18"/>
      <c r="I4" s="18"/>
      <c r="J4" s="18"/>
      <c r="K4" s="18"/>
      <c r="L4" s="17" t="s">
        <v>5</v>
      </c>
      <c r="M4" s="19" t="s">
        <v>2</v>
      </c>
      <c r="N4" s="249" t="s">
        <v>984</v>
      </c>
      <c r="O4" s="18"/>
      <c r="P4" s="20"/>
      <c r="Q4" s="20"/>
      <c r="R4" s="27"/>
      <c r="S4" s="29"/>
    </row>
    <row r="5" spans="1:57" ht="18" customHeight="1">
      <c r="A5" s="17" t="s">
        <v>6</v>
      </c>
      <c r="B5" s="19"/>
      <c r="C5" s="19" t="s">
        <v>2</v>
      </c>
      <c r="D5" s="17" t="s">
        <v>106</v>
      </c>
      <c r="E5" s="18"/>
      <c r="F5" s="18"/>
      <c r="G5" s="18"/>
      <c r="H5" s="18"/>
      <c r="I5" s="18"/>
      <c r="J5" s="18"/>
      <c r="K5" s="18"/>
      <c r="L5" s="17" t="s">
        <v>7</v>
      </c>
      <c r="M5" s="19" t="s">
        <v>2</v>
      </c>
      <c r="N5" s="18" t="s">
        <v>8</v>
      </c>
      <c r="O5" s="18"/>
      <c r="Q5" s="20"/>
      <c r="R5" s="27"/>
      <c r="S5" s="29"/>
      <c r="AD5" s="20"/>
    </row>
    <row r="6" spans="1:57" ht="18" customHeight="1">
      <c r="A6" s="17" t="s">
        <v>9</v>
      </c>
      <c r="B6" s="19"/>
      <c r="C6" s="19" t="s">
        <v>2</v>
      </c>
      <c r="D6" s="17" t="s">
        <v>108</v>
      </c>
      <c r="E6" s="18"/>
      <c r="F6" s="18"/>
      <c r="G6" s="18"/>
      <c r="H6" s="18"/>
      <c r="I6" s="18"/>
      <c r="J6" s="18"/>
      <c r="K6" s="18"/>
      <c r="L6" s="17" t="s">
        <v>10</v>
      </c>
      <c r="M6" s="19" t="s">
        <v>2</v>
      </c>
      <c r="N6" s="175" t="s">
        <v>318</v>
      </c>
      <c r="O6" s="27"/>
      <c r="Q6" s="20"/>
      <c r="R6" s="27"/>
      <c r="S6" s="29"/>
      <c r="AD6" s="20"/>
    </row>
    <row r="7" spans="1:57" ht="18" customHeight="1">
      <c r="A7" s="20"/>
      <c r="B7" s="20"/>
      <c r="C7" s="20"/>
      <c r="D7" s="144"/>
      <c r="E7" s="20"/>
      <c r="F7" s="20"/>
      <c r="G7" s="20"/>
      <c r="H7" s="20"/>
      <c r="I7" s="28"/>
      <c r="J7" s="28"/>
      <c r="K7" s="28"/>
      <c r="L7" s="28"/>
      <c r="M7" s="27"/>
      <c r="N7" s="20"/>
      <c r="O7" s="20"/>
      <c r="P7" s="20"/>
      <c r="Q7" s="20"/>
      <c r="R7" s="27"/>
      <c r="S7" s="29"/>
      <c r="AJ7">
        <f>COUNTA(AJ9:AJ412)</f>
        <v>404</v>
      </c>
    </row>
    <row r="8" spans="1:57" ht="73.5" customHeight="1">
      <c r="A8" s="2" t="s">
        <v>11</v>
      </c>
      <c r="B8" s="2" t="s">
        <v>12</v>
      </c>
      <c r="C8" s="3" t="s">
        <v>13</v>
      </c>
      <c r="D8" s="3" t="s">
        <v>14</v>
      </c>
      <c r="E8" s="3" t="s">
        <v>15</v>
      </c>
      <c r="F8" s="2" t="s">
        <v>16</v>
      </c>
      <c r="G8" s="3" t="s">
        <v>17</v>
      </c>
      <c r="H8" s="2" t="s">
        <v>18</v>
      </c>
      <c r="I8" s="3" t="s">
        <v>19</v>
      </c>
      <c r="J8" s="2" t="s">
        <v>20</v>
      </c>
      <c r="K8" s="2" t="s">
        <v>21</v>
      </c>
      <c r="L8" s="3" t="s">
        <v>22</v>
      </c>
      <c r="M8" s="4" t="s">
        <v>23</v>
      </c>
      <c r="N8" s="4" t="s">
        <v>24</v>
      </c>
      <c r="O8" s="5" t="s">
        <v>25</v>
      </c>
      <c r="P8" s="5" t="s">
        <v>26</v>
      </c>
      <c r="Q8" s="5" t="s">
        <v>27</v>
      </c>
      <c r="R8" s="4" t="s">
        <v>28</v>
      </c>
      <c r="S8" s="5" t="s">
        <v>29</v>
      </c>
      <c r="T8" s="4" t="s">
        <v>30</v>
      </c>
      <c r="U8" s="5" t="s">
        <v>31</v>
      </c>
      <c r="V8" s="4" t="s">
        <v>32</v>
      </c>
      <c r="W8" s="4" t="s">
        <v>33</v>
      </c>
      <c r="X8" s="5" t="s">
        <v>34</v>
      </c>
      <c r="Y8" s="4" t="s">
        <v>35</v>
      </c>
      <c r="Z8" s="4" t="s">
        <v>36</v>
      </c>
      <c r="AA8" s="5" t="s">
        <v>37</v>
      </c>
      <c r="AB8" s="5" t="s">
        <v>38</v>
      </c>
      <c r="AC8" s="5" t="s">
        <v>39</v>
      </c>
      <c r="AD8" s="5" t="s">
        <v>40</v>
      </c>
      <c r="AE8" s="7" t="s">
        <v>41</v>
      </c>
      <c r="AF8" s="7" t="s">
        <v>42</v>
      </c>
      <c r="AG8" s="7" t="s">
        <v>43</v>
      </c>
      <c r="AH8" s="7" t="s">
        <v>44</v>
      </c>
      <c r="AI8" s="5" t="s">
        <v>45</v>
      </c>
      <c r="AJ8" s="5" t="s">
        <v>46</v>
      </c>
      <c r="AK8" s="5" t="s">
        <v>47</v>
      </c>
      <c r="AL8" s="7" t="s">
        <v>48</v>
      </c>
      <c r="AM8" s="7" t="s">
        <v>49</v>
      </c>
      <c r="AN8" s="7" t="s">
        <v>50</v>
      </c>
      <c r="AO8" s="7" t="s">
        <v>51</v>
      </c>
      <c r="AP8" s="7" t="s">
        <v>52</v>
      </c>
      <c r="AQ8" s="5" t="s">
        <v>53</v>
      </c>
      <c r="AR8" s="30" t="s">
        <v>54</v>
      </c>
      <c r="AS8" s="4" t="s">
        <v>55</v>
      </c>
      <c r="AT8" s="4" t="s">
        <v>56</v>
      </c>
      <c r="AU8" s="8" t="s">
        <v>57</v>
      </c>
      <c r="AV8" s="5" t="s">
        <v>58</v>
      </c>
      <c r="AW8" s="5" t="s">
        <v>59</v>
      </c>
      <c r="AX8" s="31" t="s">
        <v>60</v>
      </c>
      <c r="AY8" s="7" t="s">
        <v>61</v>
      </c>
      <c r="AZ8" s="7" t="s">
        <v>62</v>
      </c>
      <c r="BA8" s="7" t="s">
        <v>63</v>
      </c>
      <c r="BB8" s="7" t="s">
        <v>64</v>
      </c>
      <c r="BC8" s="7" t="s">
        <v>65</v>
      </c>
      <c r="BD8" s="7" t="s">
        <v>66</v>
      </c>
    </row>
    <row r="9" spans="1:57" s="211" customFormat="1" ht="15.75" customHeight="1">
      <c r="A9" s="34" t="s">
        <v>67</v>
      </c>
      <c r="B9" s="34">
        <v>1</v>
      </c>
      <c r="C9" s="33" t="s">
        <v>68</v>
      </c>
      <c r="D9" s="33" t="s">
        <v>348</v>
      </c>
      <c r="E9" s="33">
        <v>1</v>
      </c>
      <c r="F9" s="33">
        <v>1</v>
      </c>
      <c r="G9" s="213" t="s">
        <v>69</v>
      </c>
      <c r="H9" s="35">
        <v>1</v>
      </c>
      <c r="I9" s="48" t="s">
        <v>983</v>
      </c>
      <c r="J9" s="139">
        <v>0.71069486849999997</v>
      </c>
      <c r="K9" s="139">
        <v>124.3257373207</v>
      </c>
      <c r="L9" s="116" t="s">
        <v>116</v>
      </c>
      <c r="M9" s="48" t="s">
        <v>117</v>
      </c>
      <c r="N9" s="50" t="s">
        <v>105</v>
      </c>
      <c r="O9" s="114" t="s">
        <v>118</v>
      </c>
      <c r="P9" s="50" t="s">
        <v>119</v>
      </c>
      <c r="Q9" s="49">
        <v>95717</v>
      </c>
      <c r="R9" s="51"/>
      <c r="S9" s="52"/>
      <c r="T9" s="53"/>
      <c r="U9" s="52"/>
      <c r="V9" s="53"/>
      <c r="W9" s="50" t="s">
        <v>105</v>
      </c>
      <c r="X9" s="54"/>
      <c r="Y9" s="54" t="s">
        <v>106</v>
      </c>
      <c r="Z9" s="54" t="s">
        <v>106</v>
      </c>
      <c r="AA9" s="55"/>
      <c r="AB9" s="55"/>
      <c r="AC9" s="55" t="s">
        <v>70</v>
      </c>
      <c r="AD9" s="116" t="s">
        <v>119</v>
      </c>
      <c r="AE9" s="57"/>
      <c r="AF9" s="57"/>
      <c r="AG9" s="57"/>
      <c r="AH9" s="57"/>
      <c r="AI9" s="58"/>
      <c r="AJ9" s="114" t="s">
        <v>614</v>
      </c>
      <c r="AK9" s="55" t="s">
        <v>96</v>
      </c>
      <c r="AL9" s="196"/>
      <c r="AM9" s="196"/>
      <c r="AN9" s="62"/>
      <c r="AO9" s="62"/>
      <c r="AP9" s="62"/>
      <c r="AQ9" s="185" t="s">
        <v>97</v>
      </c>
      <c r="AR9" s="59" t="s">
        <v>349</v>
      </c>
      <c r="AS9" s="60" t="str">
        <f>D6</f>
        <v>KPBS-2.020</v>
      </c>
      <c r="AT9" s="60" t="str">
        <f>G9</f>
        <v>A01</v>
      </c>
      <c r="AU9" s="61"/>
      <c r="AV9" s="201">
        <v>0.71082150769999897</v>
      </c>
      <c r="AW9" s="201">
        <v>124.32580629500001</v>
      </c>
      <c r="AX9" s="62" t="s">
        <v>98</v>
      </c>
      <c r="AY9" s="62" t="s">
        <v>94</v>
      </c>
      <c r="AZ9" s="62" t="s">
        <v>94</v>
      </c>
      <c r="BA9" s="63" t="s">
        <v>77</v>
      </c>
      <c r="BB9" s="62" t="s">
        <v>98</v>
      </c>
      <c r="BC9" s="62">
        <v>31</v>
      </c>
      <c r="BD9" s="62" t="s">
        <v>98</v>
      </c>
      <c r="BE9" s="211" t="str">
        <f>AJ9&amp;", "&amp;AD9&amp;","&amp;AI9</f>
        <v>450, POYOWA BESAR,</v>
      </c>
    </row>
    <row r="10" spans="1:57" s="211" customFormat="1" ht="15.75" customHeight="1">
      <c r="A10" s="45"/>
      <c r="B10" s="45"/>
      <c r="C10" s="22" t="s">
        <v>68</v>
      </c>
      <c r="D10" s="22" t="s">
        <v>348</v>
      </c>
      <c r="E10" s="33">
        <v>1</v>
      </c>
      <c r="F10" s="22">
        <f>F9+1</f>
        <v>2</v>
      </c>
      <c r="G10" s="213"/>
      <c r="H10" s="23">
        <v>2</v>
      </c>
      <c r="I10" s="64" t="str">
        <f>I9</f>
        <v>EXT.MR.KTG.KPBS.P058</v>
      </c>
      <c r="J10" s="64">
        <f t="shared" ref="J10:M12" si="0">J9</f>
        <v>0.71069486849999997</v>
      </c>
      <c r="K10" s="64">
        <f t="shared" si="0"/>
        <v>124.3257373207</v>
      </c>
      <c r="L10" s="64" t="str">
        <f>L9</f>
        <v>JL. RAYA POYOWA BESAR</v>
      </c>
      <c r="M10" s="64" t="str">
        <f>M9</f>
        <v>SULAWESI UTARA</v>
      </c>
      <c r="N10" s="65" t="s">
        <v>105</v>
      </c>
      <c r="O10" s="66" t="s">
        <v>118</v>
      </c>
      <c r="P10" s="65" t="s">
        <v>119</v>
      </c>
      <c r="Q10" s="66">
        <v>95717</v>
      </c>
      <c r="R10" s="67"/>
      <c r="S10" s="68"/>
      <c r="T10" s="68"/>
      <c r="U10" s="68"/>
      <c r="V10" s="68"/>
      <c r="W10" s="65" t="s">
        <v>105</v>
      </c>
      <c r="X10" s="64"/>
      <c r="Y10" s="64" t="s">
        <v>106</v>
      </c>
      <c r="Z10" s="64" t="str">
        <f>Z9</f>
        <v>KELURAHAN POYOWA BESAR SATU KOTAMOBAGU</v>
      </c>
      <c r="AA10" s="65"/>
      <c r="AB10" s="65"/>
      <c r="AC10" s="65" t="s">
        <v>70</v>
      </c>
      <c r="AD10" s="64" t="str">
        <f>AD9</f>
        <v>POYOWA BESAR</v>
      </c>
      <c r="AE10" s="67"/>
      <c r="AF10" s="67"/>
      <c r="AG10" s="67"/>
      <c r="AH10" s="67"/>
      <c r="AI10" s="69"/>
      <c r="AJ10" s="11" t="s">
        <v>615</v>
      </c>
      <c r="AK10" s="65" t="s">
        <v>96</v>
      </c>
      <c r="AL10" s="65"/>
      <c r="AM10" s="65"/>
      <c r="AN10" s="65"/>
      <c r="AO10" s="65"/>
      <c r="AP10" s="65"/>
      <c r="AQ10" s="177" t="s">
        <v>97</v>
      </c>
      <c r="AR10" s="70" t="str">
        <f>AR9</f>
        <v>KTG.100.0101</v>
      </c>
      <c r="AS10" s="71" t="str">
        <f>AS9</f>
        <v>KPBS-2.020</v>
      </c>
      <c r="AT10" s="71" t="str">
        <f>AT9</f>
        <v>A01</v>
      </c>
      <c r="AU10" s="72"/>
      <c r="AV10" s="202">
        <v>0.71089434809999996</v>
      </c>
      <c r="AW10" s="202">
        <v>124.3260244165</v>
      </c>
      <c r="AX10" s="65" t="s">
        <v>98</v>
      </c>
      <c r="AY10" s="65" t="s">
        <v>94</v>
      </c>
      <c r="AZ10" s="65" t="s">
        <v>94</v>
      </c>
      <c r="BA10" s="73" t="s">
        <v>77</v>
      </c>
      <c r="BB10" s="65" t="s">
        <v>98</v>
      </c>
      <c r="BC10" s="65">
        <v>31</v>
      </c>
      <c r="BD10" s="65" t="s">
        <v>98</v>
      </c>
      <c r="BE10" s="211" t="str">
        <f t="shared" ref="BE10:BE72" si="1">AJ10&amp;", "&amp;AD10&amp;","&amp;AI10</f>
        <v>446, POYOWA BESAR,</v>
      </c>
    </row>
    <row r="11" spans="1:57" s="211" customFormat="1" ht="15.75" customHeight="1">
      <c r="A11" s="221"/>
      <c r="B11" s="222"/>
      <c r="C11" s="222"/>
      <c r="D11" s="222"/>
      <c r="E11" s="222"/>
      <c r="F11" s="222"/>
      <c r="G11" s="223"/>
      <c r="H11" s="23">
        <v>3</v>
      </c>
      <c r="I11" s="64" t="str">
        <f t="shared" ref="I11:M23" si="2">I10</f>
        <v>EXT.MR.KTG.KPBS.P058</v>
      </c>
      <c r="J11" s="64">
        <f t="shared" si="2"/>
        <v>0.71069486849999997</v>
      </c>
      <c r="K11" s="64">
        <f t="shared" si="0"/>
        <v>124.3257373207</v>
      </c>
      <c r="L11" s="64" t="str">
        <f t="shared" si="0"/>
        <v>JL. RAYA POYOWA BESAR</v>
      </c>
      <c r="M11" s="64" t="str">
        <f t="shared" si="0"/>
        <v>SULAWESI UTARA</v>
      </c>
      <c r="N11" s="65" t="s">
        <v>105</v>
      </c>
      <c r="O11" s="66" t="s">
        <v>118</v>
      </c>
      <c r="P11" s="65" t="s">
        <v>119</v>
      </c>
      <c r="Q11" s="66">
        <v>95717</v>
      </c>
      <c r="R11" s="67"/>
      <c r="S11" s="68"/>
      <c r="T11" s="68"/>
      <c r="U11" s="68"/>
      <c r="V11" s="68"/>
      <c r="W11" s="65" t="s">
        <v>105</v>
      </c>
      <c r="X11" s="64"/>
      <c r="Y11" s="64" t="s">
        <v>106</v>
      </c>
      <c r="Z11" s="64" t="str">
        <f t="shared" ref="Z11:Z73" si="3">Z10</f>
        <v>KELURAHAN POYOWA BESAR SATU KOTAMOBAGU</v>
      </c>
      <c r="AA11" s="65"/>
      <c r="AB11" s="65"/>
      <c r="AC11" s="65" t="s">
        <v>70</v>
      </c>
      <c r="AD11" s="64" t="str">
        <f t="shared" ref="AD11:AD23" si="4">AD10</f>
        <v>POYOWA BESAR</v>
      </c>
      <c r="AE11" s="67"/>
      <c r="AF11" s="67"/>
      <c r="AG11" s="67"/>
      <c r="AH11" s="67"/>
      <c r="AI11" s="69"/>
      <c r="AJ11" s="11" t="s">
        <v>616</v>
      </c>
      <c r="AK11" s="65" t="s">
        <v>96</v>
      </c>
      <c r="AL11" s="65"/>
      <c r="AM11" s="65"/>
      <c r="AN11" s="65"/>
      <c r="AO11" s="65"/>
      <c r="AP11" s="65"/>
      <c r="AQ11" s="177" t="s">
        <v>97</v>
      </c>
      <c r="AR11" s="70" t="str">
        <f t="shared" ref="AR11:AT72" si="5">AR10</f>
        <v>KTG.100.0101</v>
      </c>
      <c r="AS11" s="71" t="str">
        <f t="shared" ref="AS11:AT70" si="6">AS10</f>
        <v>KPBS-2.020</v>
      </c>
      <c r="AT11" s="71" t="str">
        <f t="shared" si="6"/>
        <v>A01</v>
      </c>
      <c r="AU11" s="72"/>
      <c r="AV11" s="202">
        <v>0.71076539350000001</v>
      </c>
      <c r="AW11" s="202">
        <v>124.325546354</v>
      </c>
      <c r="AX11" s="65" t="s">
        <v>98</v>
      </c>
      <c r="AY11" s="65" t="s">
        <v>94</v>
      </c>
      <c r="AZ11" s="65" t="s">
        <v>94</v>
      </c>
      <c r="BA11" s="73" t="s">
        <v>77</v>
      </c>
      <c r="BB11" s="65" t="s">
        <v>98</v>
      </c>
      <c r="BC11" s="65">
        <v>31</v>
      </c>
      <c r="BD11" s="65" t="s">
        <v>98</v>
      </c>
      <c r="BE11" s="211" t="str">
        <f t="shared" si="1"/>
        <v>451, POYOWA BESAR,</v>
      </c>
    </row>
    <row r="12" spans="1:57" s="211" customFormat="1" ht="15.75" customHeight="1">
      <c r="A12" s="224"/>
      <c r="B12" s="225"/>
      <c r="C12" s="225"/>
      <c r="D12" s="225"/>
      <c r="E12" s="225"/>
      <c r="F12" s="225"/>
      <c r="G12" s="226"/>
      <c r="H12" s="23">
        <v>4</v>
      </c>
      <c r="I12" s="64" t="str">
        <f t="shared" si="2"/>
        <v>EXT.MR.KTG.KPBS.P058</v>
      </c>
      <c r="J12" s="64">
        <f t="shared" si="2"/>
        <v>0.71069486849999997</v>
      </c>
      <c r="K12" s="64">
        <f t="shared" si="0"/>
        <v>124.3257373207</v>
      </c>
      <c r="L12" s="64" t="str">
        <f t="shared" si="0"/>
        <v>JL. RAYA POYOWA BESAR</v>
      </c>
      <c r="M12" s="64" t="str">
        <f t="shared" si="0"/>
        <v>SULAWESI UTARA</v>
      </c>
      <c r="N12" s="65" t="s">
        <v>105</v>
      </c>
      <c r="O12" s="66" t="s">
        <v>118</v>
      </c>
      <c r="P12" s="65" t="s">
        <v>119</v>
      </c>
      <c r="Q12" s="66">
        <v>95717</v>
      </c>
      <c r="R12" s="67"/>
      <c r="S12" s="68"/>
      <c r="T12" s="68"/>
      <c r="U12" s="68"/>
      <c r="V12" s="68"/>
      <c r="W12" s="65" t="s">
        <v>105</v>
      </c>
      <c r="X12" s="64"/>
      <c r="Y12" s="64" t="s">
        <v>106</v>
      </c>
      <c r="Z12" s="64" t="str">
        <f t="shared" si="3"/>
        <v>KELURAHAN POYOWA BESAR SATU KOTAMOBAGU</v>
      </c>
      <c r="AA12" s="65"/>
      <c r="AB12" s="65"/>
      <c r="AC12" s="65" t="s">
        <v>70</v>
      </c>
      <c r="AD12" s="64" t="str">
        <f t="shared" si="4"/>
        <v>POYOWA BESAR</v>
      </c>
      <c r="AE12" s="69"/>
      <c r="AF12" s="69"/>
      <c r="AG12" s="69"/>
      <c r="AH12" s="69"/>
      <c r="AI12" s="69"/>
      <c r="AJ12" s="11" t="s">
        <v>617</v>
      </c>
      <c r="AK12" s="65" t="s">
        <v>96</v>
      </c>
      <c r="AL12" s="65"/>
      <c r="AM12" s="65"/>
      <c r="AN12" s="65"/>
      <c r="AO12" s="65"/>
      <c r="AP12" s="65"/>
      <c r="AQ12" s="177" t="s">
        <v>97</v>
      </c>
      <c r="AR12" s="70" t="str">
        <f t="shared" si="5"/>
        <v>KTG.100.0101</v>
      </c>
      <c r="AS12" s="71" t="str">
        <f t="shared" si="6"/>
        <v>KPBS-2.020</v>
      </c>
      <c r="AT12" s="71" t="str">
        <f t="shared" si="6"/>
        <v>A01</v>
      </c>
      <c r="AU12" s="72"/>
      <c r="AV12" s="202">
        <v>0.71075221099999997</v>
      </c>
      <c r="AW12" s="202">
        <v>124.3258562099</v>
      </c>
      <c r="AX12" s="65" t="s">
        <v>98</v>
      </c>
      <c r="AY12" s="65" t="s">
        <v>94</v>
      </c>
      <c r="AZ12" s="65" t="s">
        <v>94</v>
      </c>
      <c r="BA12" s="73" t="s">
        <v>77</v>
      </c>
      <c r="BB12" s="65" t="s">
        <v>98</v>
      </c>
      <c r="BC12" s="65">
        <v>31</v>
      </c>
      <c r="BD12" s="65" t="s">
        <v>98</v>
      </c>
      <c r="BE12" s="211" t="str">
        <f t="shared" si="1"/>
        <v>452, POYOWA BESAR,</v>
      </c>
    </row>
    <row r="13" spans="1:57" s="211" customFormat="1" ht="15.75" customHeight="1">
      <c r="A13" s="224"/>
      <c r="B13" s="225"/>
      <c r="C13" s="225"/>
      <c r="D13" s="225"/>
      <c r="E13" s="225"/>
      <c r="F13" s="225"/>
      <c r="G13" s="226"/>
      <c r="H13" s="23">
        <v>5</v>
      </c>
      <c r="I13" s="64" t="str">
        <f t="shared" si="2"/>
        <v>EXT.MR.KTG.KPBS.P058</v>
      </c>
      <c r="J13" s="64">
        <f t="shared" si="2"/>
        <v>0.71069486849999997</v>
      </c>
      <c r="K13" s="64">
        <f t="shared" si="2"/>
        <v>124.3257373207</v>
      </c>
      <c r="L13" s="64" t="str">
        <f t="shared" si="2"/>
        <v>JL. RAYA POYOWA BESAR</v>
      </c>
      <c r="M13" s="64" t="str">
        <f t="shared" si="2"/>
        <v>SULAWESI UTARA</v>
      </c>
      <c r="N13" s="65" t="s">
        <v>105</v>
      </c>
      <c r="O13" s="66" t="s">
        <v>118</v>
      </c>
      <c r="P13" s="65" t="s">
        <v>119</v>
      </c>
      <c r="Q13" s="66">
        <v>95717</v>
      </c>
      <c r="R13" s="67"/>
      <c r="S13" s="68"/>
      <c r="T13" s="68"/>
      <c r="U13" s="68"/>
      <c r="V13" s="68"/>
      <c r="W13" s="65" t="s">
        <v>105</v>
      </c>
      <c r="X13" s="64"/>
      <c r="Y13" s="64" t="s">
        <v>106</v>
      </c>
      <c r="Z13" s="64" t="str">
        <f t="shared" si="3"/>
        <v>KELURAHAN POYOWA BESAR SATU KOTAMOBAGU</v>
      </c>
      <c r="AA13" s="65"/>
      <c r="AB13" s="65"/>
      <c r="AC13" s="65" t="s">
        <v>70</v>
      </c>
      <c r="AD13" s="64" t="str">
        <f t="shared" si="4"/>
        <v>POYOWA BESAR</v>
      </c>
      <c r="AE13" s="67"/>
      <c r="AF13" s="67"/>
      <c r="AG13" s="67"/>
      <c r="AH13" s="67"/>
      <c r="AI13" s="69"/>
      <c r="AJ13" s="11" t="s">
        <v>618</v>
      </c>
      <c r="AK13" s="65" t="s">
        <v>96</v>
      </c>
      <c r="AL13" s="65"/>
      <c r="AM13" s="65"/>
      <c r="AN13" s="65"/>
      <c r="AO13" s="65"/>
      <c r="AP13" s="65"/>
      <c r="AQ13" s="177" t="s">
        <v>97</v>
      </c>
      <c r="AR13" s="70" t="str">
        <f t="shared" si="5"/>
        <v>KTG.100.0101</v>
      </c>
      <c r="AS13" s="71" t="str">
        <f t="shared" si="6"/>
        <v>KPBS-2.020</v>
      </c>
      <c r="AT13" s="71" t="str">
        <f t="shared" si="6"/>
        <v>A01</v>
      </c>
      <c r="AU13" s="72"/>
      <c r="AV13" s="202">
        <v>0.71067893809999905</v>
      </c>
      <c r="AW13" s="202">
        <v>124.32591467330001</v>
      </c>
      <c r="AX13" s="65" t="s">
        <v>98</v>
      </c>
      <c r="AY13" s="65" t="s">
        <v>94</v>
      </c>
      <c r="AZ13" s="65" t="s">
        <v>94</v>
      </c>
      <c r="BA13" s="73" t="s">
        <v>77</v>
      </c>
      <c r="BB13" s="65" t="s">
        <v>98</v>
      </c>
      <c r="BC13" s="65">
        <v>31</v>
      </c>
      <c r="BD13" s="65" t="s">
        <v>98</v>
      </c>
      <c r="BE13" s="211" t="str">
        <f t="shared" si="1"/>
        <v>455, POYOWA BESAR,</v>
      </c>
    </row>
    <row r="14" spans="1:57" s="211" customFormat="1" ht="15.75" customHeight="1">
      <c r="A14" s="224"/>
      <c r="B14" s="225"/>
      <c r="C14" s="225"/>
      <c r="D14" s="225"/>
      <c r="E14" s="225"/>
      <c r="F14" s="225"/>
      <c r="G14" s="226"/>
      <c r="H14" s="23">
        <v>6</v>
      </c>
      <c r="I14" s="64" t="str">
        <f t="shared" si="2"/>
        <v>EXT.MR.KTG.KPBS.P058</v>
      </c>
      <c r="J14" s="64">
        <f t="shared" si="2"/>
        <v>0.71069486849999997</v>
      </c>
      <c r="K14" s="64">
        <f t="shared" si="2"/>
        <v>124.3257373207</v>
      </c>
      <c r="L14" s="64" t="str">
        <f t="shared" si="2"/>
        <v>JL. RAYA POYOWA BESAR</v>
      </c>
      <c r="M14" s="64" t="str">
        <f t="shared" si="2"/>
        <v>SULAWESI UTARA</v>
      </c>
      <c r="N14" s="65" t="s">
        <v>105</v>
      </c>
      <c r="O14" s="66" t="s">
        <v>118</v>
      </c>
      <c r="P14" s="65" t="s">
        <v>119</v>
      </c>
      <c r="Q14" s="66">
        <v>95717</v>
      </c>
      <c r="R14" s="67"/>
      <c r="S14" s="68"/>
      <c r="T14" s="68"/>
      <c r="U14" s="68"/>
      <c r="V14" s="68"/>
      <c r="W14" s="65" t="s">
        <v>105</v>
      </c>
      <c r="X14" s="64"/>
      <c r="Y14" s="64" t="s">
        <v>106</v>
      </c>
      <c r="Z14" s="64" t="str">
        <f t="shared" si="3"/>
        <v>KELURAHAN POYOWA BESAR SATU KOTAMOBAGU</v>
      </c>
      <c r="AA14" s="65"/>
      <c r="AB14" s="65"/>
      <c r="AC14" s="65" t="s">
        <v>70</v>
      </c>
      <c r="AD14" s="64" t="str">
        <f t="shared" si="4"/>
        <v>POYOWA BESAR</v>
      </c>
      <c r="AE14" s="67"/>
      <c r="AF14" s="67"/>
      <c r="AG14" s="67"/>
      <c r="AH14" s="67"/>
      <c r="AI14" s="69"/>
      <c r="AJ14" s="11" t="s">
        <v>619</v>
      </c>
      <c r="AK14" s="65" t="s">
        <v>96</v>
      </c>
      <c r="AL14" s="65"/>
      <c r="AM14" s="65"/>
      <c r="AN14" s="65"/>
      <c r="AO14" s="65"/>
      <c r="AP14" s="65"/>
      <c r="AQ14" s="177" t="s">
        <v>97</v>
      </c>
      <c r="AR14" s="70" t="str">
        <f t="shared" si="5"/>
        <v>KTG.100.0101</v>
      </c>
      <c r="AS14" s="71" t="str">
        <f t="shared" si="6"/>
        <v>KPBS-2.020</v>
      </c>
      <c r="AT14" s="71" t="str">
        <f t="shared" si="6"/>
        <v>A01</v>
      </c>
      <c r="AU14" s="72"/>
      <c r="AV14" s="202">
        <v>0.71057937400000004</v>
      </c>
      <c r="AW14" s="202">
        <v>124.32588544159999</v>
      </c>
      <c r="AX14" s="65" t="s">
        <v>98</v>
      </c>
      <c r="AY14" s="65" t="s">
        <v>94</v>
      </c>
      <c r="AZ14" s="65" t="s">
        <v>94</v>
      </c>
      <c r="BA14" s="73" t="s">
        <v>77</v>
      </c>
      <c r="BB14" s="65" t="s">
        <v>98</v>
      </c>
      <c r="BC14" s="65">
        <v>32</v>
      </c>
      <c r="BD14" s="65" t="s">
        <v>98</v>
      </c>
      <c r="BE14" s="211" t="str">
        <f t="shared" si="1"/>
        <v>456, POYOWA BESAR,</v>
      </c>
    </row>
    <row r="15" spans="1:57" s="211" customFormat="1" ht="15.75" customHeight="1">
      <c r="A15" s="224"/>
      <c r="B15" s="225"/>
      <c r="C15" s="225"/>
      <c r="D15" s="225"/>
      <c r="E15" s="225"/>
      <c r="F15" s="225"/>
      <c r="G15" s="226"/>
      <c r="H15" s="23">
        <v>7</v>
      </c>
      <c r="I15" s="64" t="str">
        <f t="shared" si="2"/>
        <v>EXT.MR.KTG.KPBS.P058</v>
      </c>
      <c r="J15" s="64">
        <f t="shared" si="2"/>
        <v>0.71069486849999997</v>
      </c>
      <c r="K15" s="64">
        <f t="shared" si="2"/>
        <v>124.3257373207</v>
      </c>
      <c r="L15" s="64" t="str">
        <f t="shared" si="2"/>
        <v>JL. RAYA POYOWA BESAR</v>
      </c>
      <c r="M15" s="64" t="str">
        <f t="shared" si="2"/>
        <v>SULAWESI UTARA</v>
      </c>
      <c r="N15" s="65" t="s">
        <v>105</v>
      </c>
      <c r="O15" s="66" t="s">
        <v>118</v>
      </c>
      <c r="P15" s="65" t="s">
        <v>119</v>
      </c>
      <c r="Q15" s="66">
        <v>95717</v>
      </c>
      <c r="R15" s="67"/>
      <c r="S15" s="68"/>
      <c r="T15" s="68"/>
      <c r="U15" s="68"/>
      <c r="V15" s="68"/>
      <c r="W15" s="65" t="s">
        <v>105</v>
      </c>
      <c r="X15" s="64"/>
      <c r="Y15" s="64" t="s">
        <v>106</v>
      </c>
      <c r="Z15" s="64" t="str">
        <f t="shared" si="3"/>
        <v>KELURAHAN POYOWA BESAR SATU KOTAMOBAGU</v>
      </c>
      <c r="AA15" s="65"/>
      <c r="AB15" s="65"/>
      <c r="AC15" s="65" t="s">
        <v>70</v>
      </c>
      <c r="AD15" s="64" t="str">
        <f t="shared" si="4"/>
        <v>POYOWA BESAR</v>
      </c>
      <c r="AE15" s="67"/>
      <c r="AF15" s="67"/>
      <c r="AG15" s="67"/>
      <c r="AH15" s="67"/>
      <c r="AI15" s="69"/>
      <c r="AJ15" s="11" t="s">
        <v>620</v>
      </c>
      <c r="AK15" s="65" t="s">
        <v>96</v>
      </c>
      <c r="AL15" s="65"/>
      <c r="AM15" s="65"/>
      <c r="AN15" s="65"/>
      <c r="AO15" s="65"/>
      <c r="AP15" s="65"/>
      <c r="AQ15" s="177" t="s">
        <v>97</v>
      </c>
      <c r="AR15" s="70" t="str">
        <f t="shared" si="5"/>
        <v>KTG.100.0101</v>
      </c>
      <c r="AS15" s="71" t="str">
        <f t="shared" si="6"/>
        <v>KPBS-2.020</v>
      </c>
      <c r="AT15" s="71" t="str">
        <f t="shared" si="6"/>
        <v>A01</v>
      </c>
      <c r="AU15" s="72"/>
      <c r="AV15" s="202">
        <v>0.71053689710000001</v>
      </c>
      <c r="AW15" s="202">
        <v>124.326014061</v>
      </c>
      <c r="AX15" s="65" t="s">
        <v>98</v>
      </c>
      <c r="AY15" s="65" t="s">
        <v>94</v>
      </c>
      <c r="AZ15" s="65" t="s">
        <v>94</v>
      </c>
      <c r="BA15" s="73" t="s">
        <v>77</v>
      </c>
      <c r="BB15" s="65" t="s">
        <v>98</v>
      </c>
      <c r="BC15" s="65">
        <v>33</v>
      </c>
      <c r="BD15" s="65" t="s">
        <v>98</v>
      </c>
      <c r="BE15" s="211" t="str">
        <f t="shared" si="1"/>
        <v>460, POYOWA BESAR,</v>
      </c>
    </row>
    <row r="16" spans="1:57" s="211" customFormat="1" ht="15.75" customHeight="1">
      <c r="A16" s="224"/>
      <c r="B16" s="225"/>
      <c r="C16" s="225"/>
      <c r="D16" s="225"/>
      <c r="E16" s="225"/>
      <c r="F16" s="225"/>
      <c r="G16" s="226"/>
      <c r="H16" s="23">
        <v>8</v>
      </c>
      <c r="I16" s="64" t="str">
        <f t="shared" si="2"/>
        <v>EXT.MR.KTG.KPBS.P058</v>
      </c>
      <c r="J16" s="64">
        <f t="shared" si="2"/>
        <v>0.71069486849999997</v>
      </c>
      <c r="K16" s="64">
        <f t="shared" si="2"/>
        <v>124.3257373207</v>
      </c>
      <c r="L16" s="64" t="str">
        <f t="shared" si="2"/>
        <v>JL. RAYA POYOWA BESAR</v>
      </c>
      <c r="M16" s="64" t="str">
        <f t="shared" si="2"/>
        <v>SULAWESI UTARA</v>
      </c>
      <c r="N16" s="65" t="s">
        <v>105</v>
      </c>
      <c r="O16" s="66" t="s">
        <v>118</v>
      </c>
      <c r="P16" s="65" t="s">
        <v>119</v>
      </c>
      <c r="Q16" s="66">
        <v>95717</v>
      </c>
      <c r="R16" s="67"/>
      <c r="S16" s="68"/>
      <c r="T16" s="68"/>
      <c r="U16" s="68"/>
      <c r="V16" s="68"/>
      <c r="W16" s="65" t="s">
        <v>105</v>
      </c>
      <c r="X16" s="64"/>
      <c r="Y16" s="64" t="s">
        <v>106</v>
      </c>
      <c r="Z16" s="64" t="str">
        <f t="shared" si="3"/>
        <v>KELURAHAN POYOWA BESAR SATU KOTAMOBAGU</v>
      </c>
      <c r="AA16" s="65"/>
      <c r="AB16" s="65"/>
      <c r="AC16" s="65" t="s">
        <v>70</v>
      </c>
      <c r="AD16" s="64" t="str">
        <f t="shared" si="4"/>
        <v>POYOWA BESAR</v>
      </c>
      <c r="AE16" s="67"/>
      <c r="AF16" s="67"/>
      <c r="AG16" s="67"/>
      <c r="AH16" s="67"/>
      <c r="AI16" s="69"/>
      <c r="AJ16" s="11" t="s">
        <v>621</v>
      </c>
      <c r="AK16" s="65" t="s">
        <v>96</v>
      </c>
      <c r="AL16" s="65"/>
      <c r="AM16" s="65"/>
      <c r="AN16" s="65"/>
      <c r="AO16" s="65"/>
      <c r="AP16" s="65"/>
      <c r="AQ16" s="177" t="s">
        <v>97</v>
      </c>
      <c r="AR16" s="70" t="str">
        <f t="shared" si="5"/>
        <v>KTG.100.0101</v>
      </c>
      <c r="AS16" s="71" t="str">
        <f t="shared" si="6"/>
        <v>KPBS-2.020</v>
      </c>
      <c r="AT16" s="71" t="str">
        <f t="shared" si="6"/>
        <v>A01</v>
      </c>
      <c r="AU16" s="72"/>
      <c r="AV16" s="202">
        <v>0.71048270250000001</v>
      </c>
      <c r="AW16" s="202">
        <v>124.3260783707</v>
      </c>
      <c r="AX16" s="65" t="s">
        <v>98</v>
      </c>
      <c r="AY16" s="65" t="s">
        <v>94</v>
      </c>
      <c r="AZ16" s="65" t="s">
        <v>94</v>
      </c>
      <c r="BA16" s="73" t="s">
        <v>77</v>
      </c>
      <c r="BB16" s="65" t="s">
        <v>98</v>
      </c>
      <c r="BC16" s="65">
        <v>34</v>
      </c>
      <c r="BD16" s="65" t="s">
        <v>98</v>
      </c>
      <c r="BE16" s="211" t="str">
        <f t="shared" si="1"/>
        <v>461, POYOWA BESAR,</v>
      </c>
    </row>
    <row r="17" spans="1:57" s="211" customFormat="1" ht="15.75" customHeight="1">
      <c r="A17" s="224"/>
      <c r="B17" s="225"/>
      <c r="C17" s="225"/>
      <c r="D17" s="225"/>
      <c r="E17" s="225"/>
      <c r="F17" s="225"/>
      <c r="G17" s="226"/>
      <c r="H17" s="23">
        <v>9</v>
      </c>
      <c r="I17" s="64" t="str">
        <f t="shared" si="2"/>
        <v>EXT.MR.KTG.KPBS.P058</v>
      </c>
      <c r="J17" s="64">
        <f t="shared" si="2"/>
        <v>0.71069486849999997</v>
      </c>
      <c r="K17" s="64">
        <f t="shared" si="2"/>
        <v>124.3257373207</v>
      </c>
      <c r="L17" s="64" t="str">
        <f t="shared" si="2"/>
        <v>JL. RAYA POYOWA BESAR</v>
      </c>
      <c r="M17" s="64" t="str">
        <f t="shared" si="2"/>
        <v>SULAWESI UTARA</v>
      </c>
      <c r="N17" s="65" t="s">
        <v>105</v>
      </c>
      <c r="O17" s="66" t="s">
        <v>118</v>
      </c>
      <c r="P17" s="65" t="s">
        <v>119</v>
      </c>
      <c r="Q17" s="66">
        <v>95717</v>
      </c>
      <c r="R17" s="67"/>
      <c r="S17" s="68"/>
      <c r="T17" s="68"/>
      <c r="U17" s="68"/>
      <c r="V17" s="68"/>
      <c r="W17" s="65" t="s">
        <v>105</v>
      </c>
      <c r="X17" s="64"/>
      <c r="Y17" s="64" t="s">
        <v>106</v>
      </c>
      <c r="Z17" s="64" t="str">
        <f t="shared" ref="Z17:Z18" si="7">Z16</f>
        <v>KELURAHAN POYOWA BESAR SATU KOTAMOBAGU</v>
      </c>
      <c r="AA17" s="65"/>
      <c r="AB17" s="65"/>
      <c r="AC17" s="65" t="s">
        <v>70</v>
      </c>
      <c r="AD17" s="64" t="str">
        <f t="shared" si="4"/>
        <v>POYOWA BESAR</v>
      </c>
      <c r="AE17" s="67"/>
      <c r="AF17" s="67"/>
      <c r="AG17" s="67"/>
      <c r="AH17" s="67"/>
      <c r="AI17" s="69"/>
      <c r="AJ17" s="11" t="s">
        <v>622</v>
      </c>
      <c r="AK17" s="65" t="s">
        <v>96</v>
      </c>
      <c r="AL17" s="65"/>
      <c r="AM17" s="65"/>
      <c r="AN17" s="65"/>
      <c r="AO17" s="65"/>
      <c r="AP17" s="65"/>
      <c r="AQ17" s="177" t="s">
        <v>97</v>
      </c>
      <c r="AR17" s="70" t="str">
        <f t="shared" si="5"/>
        <v>KTG.100.0101</v>
      </c>
      <c r="AS17" s="71" t="str">
        <f t="shared" ref="AS17:AS18" si="8">AS16</f>
        <v>KPBS-2.020</v>
      </c>
      <c r="AT17" s="71" t="str">
        <f t="shared" ref="AT17:AT18" si="9">AT16</f>
        <v>A01</v>
      </c>
      <c r="AU17" s="72"/>
      <c r="AV17" s="202">
        <v>0.71038456630000002</v>
      </c>
      <c r="AW17" s="202">
        <v>124.3256603575</v>
      </c>
      <c r="AX17" s="65" t="s">
        <v>98</v>
      </c>
      <c r="AY17" s="65" t="s">
        <v>94</v>
      </c>
      <c r="AZ17" s="65" t="s">
        <v>94</v>
      </c>
      <c r="BA17" s="73" t="s">
        <v>77</v>
      </c>
      <c r="BB17" s="65" t="s">
        <v>98</v>
      </c>
      <c r="BC17" s="65">
        <v>34</v>
      </c>
      <c r="BD17" s="65" t="s">
        <v>98</v>
      </c>
      <c r="BE17" s="211" t="str">
        <f t="shared" ref="BE17:BE18" si="10">AJ17&amp;", "&amp;AD17&amp;","&amp;AI17</f>
        <v>459, POYOWA BESAR,</v>
      </c>
    </row>
    <row r="18" spans="1:57" s="211" customFormat="1" ht="15.75" customHeight="1">
      <c r="A18" s="224"/>
      <c r="B18" s="225"/>
      <c r="C18" s="225"/>
      <c r="D18" s="225"/>
      <c r="E18" s="225"/>
      <c r="F18" s="225"/>
      <c r="G18" s="226"/>
      <c r="H18" s="23">
        <v>10</v>
      </c>
      <c r="I18" s="64" t="str">
        <f t="shared" ref="I18:M18" si="11">I17</f>
        <v>EXT.MR.KTG.KPBS.P058</v>
      </c>
      <c r="J18" s="64">
        <f t="shared" si="11"/>
        <v>0.71069486849999997</v>
      </c>
      <c r="K18" s="64">
        <f t="shared" si="11"/>
        <v>124.3257373207</v>
      </c>
      <c r="L18" s="64" t="str">
        <f t="shared" si="11"/>
        <v>JL. RAYA POYOWA BESAR</v>
      </c>
      <c r="M18" s="64" t="str">
        <f t="shared" si="11"/>
        <v>SULAWESI UTARA</v>
      </c>
      <c r="N18" s="65" t="s">
        <v>105</v>
      </c>
      <c r="O18" s="66" t="s">
        <v>118</v>
      </c>
      <c r="P18" s="65" t="s">
        <v>119</v>
      </c>
      <c r="Q18" s="66">
        <v>95717</v>
      </c>
      <c r="R18" s="67"/>
      <c r="S18" s="68"/>
      <c r="T18" s="68"/>
      <c r="U18" s="68"/>
      <c r="V18" s="68"/>
      <c r="W18" s="65" t="s">
        <v>105</v>
      </c>
      <c r="X18" s="64"/>
      <c r="Y18" s="64" t="s">
        <v>106</v>
      </c>
      <c r="Z18" s="64" t="str">
        <f t="shared" si="7"/>
        <v>KELURAHAN POYOWA BESAR SATU KOTAMOBAGU</v>
      </c>
      <c r="AA18" s="65"/>
      <c r="AB18" s="65"/>
      <c r="AC18" s="65" t="s">
        <v>70</v>
      </c>
      <c r="AD18" s="64" t="str">
        <f t="shared" si="4"/>
        <v>POYOWA BESAR</v>
      </c>
      <c r="AE18" s="67"/>
      <c r="AF18" s="67"/>
      <c r="AG18" s="67"/>
      <c r="AH18" s="67"/>
      <c r="AI18" s="69"/>
      <c r="AJ18" s="11" t="s">
        <v>623</v>
      </c>
      <c r="AK18" s="65" t="s">
        <v>96</v>
      </c>
      <c r="AL18" s="65"/>
      <c r="AM18" s="65"/>
      <c r="AN18" s="65"/>
      <c r="AO18" s="65"/>
      <c r="AP18" s="65"/>
      <c r="AQ18" s="177" t="s">
        <v>97</v>
      </c>
      <c r="AR18" s="70" t="str">
        <f t="shared" si="5"/>
        <v>KTG.100.0101</v>
      </c>
      <c r="AS18" s="71" t="str">
        <f t="shared" si="8"/>
        <v>KPBS-2.020</v>
      </c>
      <c r="AT18" s="71" t="str">
        <f t="shared" si="9"/>
        <v>A01</v>
      </c>
      <c r="AU18" s="72"/>
      <c r="AV18" s="202">
        <v>0.71045926699999895</v>
      </c>
      <c r="AW18" s="202">
        <v>124.32561797149999</v>
      </c>
      <c r="AX18" s="65" t="s">
        <v>98</v>
      </c>
      <c r="AY18" s="65" t="s">
        <v>94</v>
      </c>
      <c r="AZ18" s="65" t="s">
        <v>94</v>
      </c>
      <c r="BA18" s="73" t="s">
        <v>77</v>
      </c>
      <c r="BB18" s="65" t="s">
        <v>98</v>
      </c>
      <c r="BC18" s="65">
        <v>34</v>
      </c>
      <c r="BD18" s="65" t="s">
        <v>98</v>
      </c>
      <c r="BE18" s="211" t="str">
        <f t="shared" si="10"/>
        <v>458, POYOWA BESAR,</v>
      </c>
    </row>
    <row r="19" spans="1:57" s="211" customFormat="1" ht="15.75" customHeight="1">
      <c r="A19" s="224"/>
      <c r="B19" s="225"/>
      <c r="C19" s="225"/>
      <c r="D19" s="225"/>
      <c r="E19" s="225"/>
      <c r="F19" s="225"/>
      <c r="G19" s="226"/>
      <c r="H19" s="23">
        <v>11</v>
      </c>
      <c r="I19" s="64" t="str">
        <f t="shared" ref="I19:M19" si="12">I18</f>
        <v>EXT.MR.KTG.KPBS.P058</v>
      </c>
      <c r="J19" s="64">
        <f t="shared" si="12"/>
        <v>0.71069486849999997</v>
      </c>
      <c r="K19" s="64">
        <f t="shared" si="12"/>
        <v>124.3257373207</v>
      </c>
      <c r="L19" s="64" t="str">
        <f t="shared" si="12"/>
        <v>JL. RAYA POYOWA BESAR</v>
      </c>
      <c r="M19" s="64" t="str">
        <f t="shared" si="12"/>
        <v>SULAWESI UTARA</v>
      </c>
      <c r="N19" s="65" t="s">
        <v>105</v>
      </c>
      <c r="O19" s="66" t="s">
        <v>118</v>
      </c>
      <c r="P19" s="65" t="s">
        <v>119</v>
      </c>
      <c r="Q19" s="66">
        <v>95717</v>
      </c>
      <c r="R19" s="67"/>
      <c r="S19" s="68"/>
      <c r="T19" s="68"/>
      <c r="U19" s="68"/>
      <c r="V19" s="68"/>
      <c r="W19" s="65" t="s">
        <v>105</v>
      </c>
      <c r="X19" s="64"/>
      <c r="Y19" s="64" t="s">
        <v>106</v>
      </c>
      <c r="Z19" s="64" t="str">
        <f>Z17</f>
        <v>KELURAHAN POYOWA BESAR SATU KOTAMOBAGU</v>
      </c>
      <c r="AA19" s="65"/>
      <c r="AB19" s="65"/>
      <c r="AC19" s="65" t="s">
        <v>70</v>
      </c>
      <c r="AD19" s="64" t="str">
        <f>AD17</f>
        <v>POYOWA BESAR</v>
      </c>
      <c r="AE19" s="67"/>
      <c r="AF19" s="67"/>
      <c r="AG19" s="67"/>
      <c r="AH19" s="67"/>
      <c r="AI19" s="69"/>
      <c r="AJ19" s="11" t="s">
        <v>624</v>
      </c>
      <c r="AK19" s="65" t="s">
        <v>96</v>
      </c>
      <c r="AL19" s="65"/>
      <c r="AM19" s="65"/>
      <c r="AN19" s="65"/>
      <c r="AO19" s="65"/>
      <c r="AP19" s="65"/>
      <c r="AQ19" s="177" t="s">
        <v>97</v>
      </c>
      <c r="AR19" s="70" t="str">
        <f t="shared" si="5"/>
        <v>KTG.100.0101</v>
      </c>
      <c r="AS19" s="71" t="str">
        <f>AS17</f>
        <v>KPBS-2.020</v>
      </c>
      <c r="AT19" s="71" t="str">
        <f>AT17</f>
        <v>A01</v>
      </c>
      <c r="AU19" s="72"/>
      <c r="AV19" s="202">
        <v>0.71052221299999996</v>
      </c>
      <c r="AW19" s="202">
        <v>124.3256252795</v>
      </c>
      <c r="AX19" s="65" t="s">
        <v>98</v>
      </c>
      <c r="AY19" s="65" t="s">
        <v>94</v>
      </c>
      <c r="AZ19" s="65" t="s">
        <v>94</v>
      </c>
      <c r="BA19" s="73" t="s">
        <v>77</v>
      </c>
      <c r="BB19" s="65" t="s">
        <v>98</v>
      </c>
      <c r="BC19" s="65">
        <v>36</v>
      </c>
      <c r="BD19" s="65" t="s">
        <v>98</v>
      </c>
      <c r="BE19" s="211" t="str">
        <f t="shared" si="1"/>
        <v>457, POYOWA BESAR,</v>
      </c>
    </row>
    <row r="20" spans="1:57" s="211" customFormat="1" ht="15.75" customHeight="1">
      <c r="A20" s="224"/>
      <c r="B20" s="225"/>
      <c r="C20" s="225"/>
      <c r="D20" s="225"/>
      <c r="E20" s="225"/>
      <c r="F20" s="225"/>
      <c r="G20" s="226"/>
      <c r="H20" s="23">
        <v>12</v>
      </c>
      <c r="I20" s="64" t="str">
        <f t="shared" si="2"/>
        <v>EXT.MR.KTG.KPBS.P058</v>
      </c>
      <c r="J20" s="64">
        <f t="shared" si="2"/>
        <v>0.71069486849999997</v>
      </c>
      <c r="K20" s="64">
        <f t="shared" si="2"/>
        <v>124.3257373207</v>
      </c>
      <c r="L20" s="64" t="str">
        <f t="shared" si="2"/>
        <v>JL. RAYA POYOWA BESAR</v>
      </c>
      <c r="M20" s="64" t="str">
        <f t="shared" si="2"/>
        <v>SULAWESI UTARA</v>
      </c>
      <c r="N20" s="65" t="s">
        <v>105</v>
      </c>
      <c r="O20" s="66" t="s">
        <v>118</v>
      </c>
      <c r="P20" s="65" t="s">
        <v>119</v>
      </c>
      <c r="Q20" s="66">
        <v>95717</v>
      </c>
      <c r="R20" s="67"/>
      <c r="S20" s="68"/>
      <c r="T20" s="68"/>
      <c r="U20" s="68"/>
      <c r="V20" s="68"/>
      <c r="W20" s="65" t="s">
        <v>105</v>
      </c>
      <c r="X20" s="64"/>
      <c r="Y20" s="64" t="s">
        <v>106</v>
      </c>
      <c r="Z20" s="64" t="str">
        <f t="shared" si="3"/>
        <v>KELURAHAN POYOWA BESAR SATU KOTAMOBAGU</v>
      </c>
      <c r="AA20" s="65"/>
      <c r="AB20" s="65"/>
      <c r="AC20" s="65" t="s">
        <v>70</v>
      </c>
      <c r="AD20" s="64" t="str">
        <f t="shared" si="4"/>
        <v>POYOWA BESAR</v>
      </c>
      <c r="AE20" s="67"/>
      <c r="AF20" s="67"/>
      <c r="AG20" s="67"/>
      <c r="AH20" s="67"/>
      <c r="AI20" s="69"/>
      <c r="AJ20" s="11" t="s">
        <v>625</v>
      </c>
      <c r="AK20" s="65" t="s">
        <v>96</v>
      </c>
      <c r="AL20" s="65"/>
      <c r="AM20" s="65"/>
      <c r="AN20" s="65"/>
      <c r="AO20" s="65"/>
      <c r="AP20" s="65"/>
      <c r="AQ20" s="177" t="s">
        <v>97</v>
      </c>
      <c r="AR20" s="70" t="str">
        <f t="shared" si="5"/>
        <v>KTG.100.0101</v>
      </c>
      <c r="AS20" s="71" t="str">
        <f t="shared" si="6"/>
        <v>KPBS-2.020</v>
      </c>
      <c r="AT20" s="71" t="str">
        <f t="shared" si="6"/>
        <v>A01</v>
      </c>
      <c r="AU20" s="72"/>
      <c r="AV20" s="202">
        <v>0.71060130789999998</v>
      </c>
      <c r="AW20" s="202">
        <v>124.32560481740001</v>
      </c>
      <c r="AX20" s="65" t="s">
        <v>98</v>
      </c>
      <c r="AY20" s="65" t="s">
        <v>94</v>
      </c>
      <c r="AZ20" s="65" t="s">
        <v>94</v>
      </c>
      <c r="BA20" s="73" t="s">
        <v>77</v>
      </c>
      <c r="BB20" s="65" t="s">
        <v>98</v>
      </c>
      <c r="BC20" s="65">
        <v>37</v>
      </c>
      <c r="BD20" s="65" t="s">
        <v>98</v>
      </c>
      <c r="BE20" s="211" t="str">
        <f t="shared" si="1"/>
        <v>454, POYOWA BESAR,</v>
      </c>
    </row>
    <row r="21" spans="1:57" s="211" customFormat="1" ht="15.75" customHeight="1">
      <c r="A21" s="224"/>
      <c r="B21" s="225"/>
      <c r="C21" s="225"/>
      <c r="D21" s="225"/>
      <c r="E21" s="225"/>
      <c r="F21" s="225"/>
      <c r="G21" s="226"/>
      <c r="H21" s="23">
        <v>13</v>
      </c>
      <c r="I21" s="64" t="str">
        <f t="shared" si="2"/>
        <v>EXT.MR.KTG.KPBS.P058</v>
      </c>
      <c r="J21" s="64">
        <f t="shared" si="2"/>
        <v>0.71069486849999997</v>
      </c>
      <c r="K21" s="64">
        <f t="shared" si="2"/>
        <v>124.3257373207</v>
      </c>
      <c r="L21" s="64" t="str">
        <f t="shared" si="2"/>
        <v>JL. RAYA POYOWA BESAR</v>
      </c>
      <c r="M21" s="64" t="str">
        <f t="shared" si="2"/>
        <v>SULAWESI UTARA</v>
      </c>
      <c r="N21" s="65" t="s">
        <v>105</v>
      </c>
      <c r="O21" s="66" t="s">
        <v>118</v>
      </c>
      <c r="P21" s="65" t="s">
        <v>119</v>
      </c>
      <c r="Q21" s="66">
        <v>95717</v>
      </c>
      <c r="R21" s="67"/>
      <c r="S21" s="68"/>
      <c r="T21" s="68"/>
      <c r="U21" s="68"/>
      <c r="V21" s="68"/>
      <c r="W21" s="65" t="s">
        <v>105</v>
      </c>
      <c r="X21" s="64"/>
      <c r="Y21" s="64" t="s">
        <v>106</v>
      </c>
      <c r="Z21" s="64" t="str">
        <f t="shared" si="3"/>
        <v>KELURAHAN POYOWA BESAR SATU KOTAMOBAGU</v>
      </c>
      <c r="AA21" s="65"/>
      <c r="AB21" s="65"/>
      <c r="AC21" s="65" t="s">
        <v>70</v>
      </c>
      <c r="AD21" s="64" t="str">
        <f t="shared" si="4"/>
        <v>POYOWA BESAR</v>
      </c>
      <c r="AE21" s="67"/>
      <c r="AF21" s="67"/>
      <c r="AG21" s="67"/>
      <c r="AH21" s="67"/>
      <c r="AI21" s="69"/>
      <c r="AJ21" s="11" t="s">
        <v>626</v>
      </c>
      <c r="AK21" s="65" t="s">
        <v>96</v>
      </c>
      <c r="AL21" s="65"/>
      <c r="AM21" s="65"/>
      <c r="AN21" s="65"/>
      <c r="AO21" s="65"/>
      <c r="AP21" s="65"/>
      <c r="AQ21" s="177" t="s">
        <v>97</v>
      </c>
      <c r="AR21" s="70" t="str">
        <f t="shared" si="5"/>
        <v>KTG.100.0101</v>
      </c>
      <c r="AS21" s="71" t="str">
        <f t="shared" si="6"/>
        <v>KPBS-2.020</v>
      </c>
      <c r="AT21" s="71" t="str">
        <f t="shared" si="6"/>
        <v>A01</v>
      </c>
      <c r="AU21" s="72"/>
      <c r="AV21" s="202">
        <v>0.71068629240000003</v>
      </c>
      <c r="AW21" s="202">
        <v>124.3255580467</v>
      </c>
      <c r="AX21" s="65" t="s">
        <v>98</v>
      </c>
      <c r="AY21" s="65" t="s">
        <v>94</v>
      </c>
      <c r="AZ21" s="65" t="s">
        <v>94</v>
      </c>
      <c r="BA21" s="73" t="s">
        <v>77</v>
      </c>
      <c r="BB21" s="65" t="s">
        <v>98</v>
      </c>
      <c r="BC21" s="65">
        <v>38</v>
      </c>
      <c r="BD21" s="65" t="s">
        <v>98</v>
      </c>
      <c r="BE21" s="211" t="str">
        <f t="shared" si="1"/>
        <v>453, POYOWA BESAR,</v>
      </c>
    </row>
    <row r="22" spans="1:57" s="211" customFormat="1" ht="15.75" customHeight="1">
      <c r="A22" s="224"/>
      <c r="B22" s="225"/>
      <c r="C22" s="225"/>
      <c r="D22" s="225"/>
      <c r="E22" s="225"/>
      <c r="F22" s="225"/>
      <c r="G22" s="226"/>
      <c r="H22" s="23">
        <v>14</v>
      </c>
      <c r="I22" s="64" t="str">
        <f t="shared" si="2"/>
        <v>EXT.MR.KTG.KPBS.P058</v>
      </c>
      <c r="J22" s="64">
        <f t="shared" si="2"/>
        <v>0.71069486849999997</v>
      </c>
      <c r="K22" s="64">
        <f t="shared" si="2"/>
        <v>124.3257373207</v>
      </c>
      <c r="L22" s="64" t="str">
        <f t="shared" si="2"/>
        <v>JL. RAYA POYOWA BESAR</v>
      </c>
      <c r="M22" s="64" t="str">
        <f t="shared" si="2"/>
        <v>SULAWESI UTARA</v>
      </c>
      <c r="N22" s="65" t="s">
        <v>105</v>
      </c>
      <c r="O22" s="66" t="s">
        <v>118</v>
      </c>
      <c r="P22" s="65" t="s">
        <v>119</v>
      </c>
      <c r="Q22" s="66">
        <v>95717</v>
      </c>
      <c r="R22" s="67"/>
      <c r="S22" s="68"/>
      <c r="T22" s="68"/>
      <c r="U22" s="68"/>
      <c r="V22" s="68"/>
      <c r="W22" s="65" t="s">
        <v>105</v>
      </c>
      <c r="X22" s="64"/>
      <c r="Y22" s="64" t="s">
        <v>106</v>
      </c>
      <c r="Z22" s="64" t="str">
        <f t="shared" si="3"/>
        <v>KELURAHAN POYOWA BESAR SATU KOTAMOBAGU</v>
      </c>
      <c r="AA22" s="65"/>
      <c r="AB22" s="65"/>
      <c r="AC22" s="65" t="s">
        <v>70</v>
      </c>
      <c r="AD22" s="64" t="str">
        <f t="shared" si="4"/>
        <v>POYOWA BESAR</v>
      </c>
      <c r="AE22" s="67"/>
      <c r="AF22" s="67"/>
      <c r="AG22" s="67"/>
      <c r="AH22" s="67"/>
      <c r="AI22" s="69"/>
      <c r="AJ22" s="11" t="s">
        <v>627</v>
      </c>
      <c r="AK22" s="65" t="s">
        <v>96</v>
      </c>
      <c r="AL22" s="65"/>
      <c r="AM22" s="65"/>
      <c r="AN22" s="65"/>
      <c r="AO22" s="65"/>
      <c r="AP22" s="65"/>
      <c r="AQ22" s="177" t="s">
        <v>97</v>
      </c>
      <c r="AR22" s="70" t="str">
        <f t="shared" si="5"/>
        <v>KTG.100.0101</v>
      </c>
      <c r="AS22" s="71" t="str">
        <f t="shared" si="6"/>
        <v>KPBS-2.020</v>
      </c>
      <c r="AT22" s="71" t="str">
        <f t="shared" si="6"/>
        <v>A01</v>
      </c>
      <c r="AU22" s="72"/>
      <c r="AV22" s="202">
        <v>0.71038163679999899</v>
      </c>
      <c r="AW22" s="202">
        <v>124.325946828</v>
      </c>
      <c r="AX22" s="65" t="s">
        <v>98</v>
      </c>
      <c r="AY22" s="65" t="s">
        <v>94</v>
      </c>
      <c r="AZ22" s="65" t="s">
        <v>94</v>
      </c>
      <c r="BA22" s="73" t="s">
        <v>77</v>
      </c>
      <c r="BB22" s="65" t="s">
        <v>98</v>
      </c>
      <c r="BC22" s="65">
        <v>39</v>
      </c>
      <c r="BD22" s="65" t="s">
        <v>98</v>
      </c>
      <c r="BE22" s="211" t="str">
        <f t="shared" si="1"/>
        <v>462, POYOWA BESAR,</v>
      </c>
    </row>
    <row r="23" spans="1:57" s="211" customFormat="1" ht="15.75" customHeight="1">
      <c r="A23" s="224"/>
      <c r="B23" s="225"/>
      <c r="C23" s="225"/>
      <c r="D23" s="225"/>
      <c r="E23" s="225"/>
      <c r="F23" s="225"/>
      <c r="G23" s="226"/>
      <c r="H23" s="23">
        <v>15</v>
      </c>
      <c r="I23" s="64" t="str">
        <f t="shared" si="2"/>
        <v>EXT.MR.KTG.KPBS.P058</v>
      </c>
      <c r="J23" s="64">
        <f t="shared" si="2"/>
        <v>0.71069486849999997</v>
      </c>
      <c r="K23" s="64">
        <f t="shared" si="2"/>
        <v>124.3257373207</v>
      </c>
      <c r="L23" s="64" t="str">
        <f t="shared" si="2"/>
        <v>JL. RAYA POYOWA BESAR</v>
      </c>
      <c r="M23" s="64" t="str">
        <f t="shared" si="2"/>
        <v>SULAWESI UTARA</v>
      </c>
      <c r="N23" s="65" t="s">
        <v>105</v>
      </c>
      <c r="O23" s="66" t="s">
        <v>118</v>
      </c>
      <c r="P23" s="65" t="s">
        <v>119</v>
      </c>
      <c r="Q23" s="66">
        <v>95717</v>
      </c>
      <c r="R23" s="67"/>
      <c r="S23" s="68"/>
      <c r="T23" s="68"/>
      <c r="U23" s="68"/>
      <c r="V23" s="68"/>
      <c r="W23" s="65" t="s">
        <v>105</v>
      </c>
      <c r="X23" s="64"/>
      <c r="Y23" s="64" t="s">
        <v>106</v>
      </c>
      <c r="Z23" s="64" t="str">
        <f t="shared" si="3"/>
        <v>KELURAHAN POYOWA BESAR SATU KOTAMOBAGU</v>
      </c>
      <c r="AA23" s="65"/>
      <c r="AB23" s="65"/>
      <c r="AC23" s="65" t="s">
        <v>70</v>
      </c>
      <c r="AD23" s="64" t="str">
        <f t="shared" si="4"/>
        <v>POYOWA BESAR</v>
      </c>
      <c r="AE23" s="67"/>
      <c r="AF23" s="67"/>
      <c r="AG23" s="67"/>
      <c r="AH23" s="67"/>
      <c r="AI23" s="69"/>
      <c r="AJ23" s="11" t="s">
        <v>628</v>
      </c>
      <c r="AK23" s="65" t="s">
        <v>96</v>
      </c>
      <c r="AL23" s="65"/>
      <c r="AM23" s="65"/>
      <c r="AN23" s="65"/>
      <c r="AO23" s="65"/>
      <c r="AP23" s="65"/>
      <c r="AQ23" s="177" t="s">
        <v>97</v>
      </c>
      <c r="AR23" s="70" t="str">
        <f t="shared" si="5"/>
        <v>KTG.100.0101</v>
      </c>
      <c r="AS23" s="71" t="str">
        <f t="shared" si="6"/>
        <v>KPBS-2.020</v>
      </c>
      <c r="AT23" s="71" t="str">
        <f t="shared" si="6"/>
        <v>A01</v>
      </c>
      <c r="AU23" s="72"/>
      <c r="AV23" s="202">
        <v>0.710747868</v>
      </c>
      <c r="AW23" s="202">
        <v>124.3254736013</v>
      </c>
      <c r="AX23" s="65" t="s">
        <v>98</v>
      </c>
      <c r="AY23" s="65" t="s">
        <v>94</v>
      </c>
      <c r="AZ23" s="65" t="s">
        <v>94</v>
      </c>
      <c r="BA23" s="73" t="s">
        <v>77</v>
      </c>
      <c r="BB23" s="65" t="s">
        <v>98</v>
      </c>
      <c r="BC23" s="65">
        <v>31</v>
      </c>
      <c r="BD23" s="65" t="s">
        <v>98</v>
      </c>
      <c r="BE23" s="211" t="str">
        <f t="shared" si="1"/>
        <v>498, POYOWA BESAR,</v>
      </c>
    </row>
    <row r="24" spans="1:57" s="211" customFormat="1" ht="15.75" customHeight="1">
      <c r="A24" s="36" t="s">
        <v>67</v>
      </c>
      <c r="B24" s="36">
        <f>B9+1</f>
        <v>2</v>
      </c>
      <c r="C24" s="33" t="s">
        <v>68</v>
      </c>
      <c r="D24" s="37" t="s">
        <v>348</v>
      </c>
      <c r="E24" s="38">
        <v>1</v>
      </c>
      <c r="F24" s="39">
        <f>F10+1</f>
        <v>3</v>
      </c>
      <c r="G24" s="213" t="s">
        <v>71</v>
      </c>
      <c r="H24" s="35">
        <v>1</v>
      </c>
      <c r="I24" s="48" t="s">
        <v>982</v>
      </c>
      <c r="J24" s="54">
        <v>0.71102700620000003</v>
      </c>
      <c r="K24" s="54">
        <v>124.32564867240001</v>
      </c>
      <c r="L24" s="116" t="s">
        <v>116</v>
      </c>
      <c r="M24" s="48" t="str">
        <f>M9</f>
        <v>SULAWESI UTARA</v>
      </c>
      <c r="N24" s="76" t="s">
        <v>105</v>
      </c>
      <c r="O24" s="49" t="s">
        <v>118</v>
      </c>
      <c r="P24" s="76" t="s">
        <v>119</v>
      </c>
      <c r="Q24" s="49">
        <v>95717</v>
      </c>
      <c r="R24" s="51"/>
      <c r="S24" s="52"/>
      <c r="T24" s="53"/>
      <c r="U24" s="52"/>
      <c r="V24" s="53"/>
      <c r="W24" s="50" t="s">
        <v>105</v>
      </c>
      <c r="X24" s="54"/>
      <c r="Y24" s="56" t="s">
        <v>106</v>
      </c>
      <c r="Z24" s="56" t="str">
        <f t="shared" si="3"/>
        <v>KELURAHAN POYOWA BESAR SATU KOTAMOBAGU</v>
      </c>
      <c r="AA24" s="55"/>
      <c r="AB24" s="55"/>
      <c r="AC24" s="55" t="s">
        <v>70</v>
      </c>
      <c r="AD24" s="116" t="s">
        <v>119</v>
      </c>
      <c r="AE24" s="57"/>
      <c r="AF24" s="57"/>
      <c r="AG24" s="57"/>
      <c r="AH24" s="57"/>
      <c r="AI24" s="58"/>
      <c r="AJ24" s="114" t="s">
        <v>629</v>
      </c>
      <c r="AK24" s="55" t="s">
        <v>96</v>
      </c>
      <c r="AL24" s="62"/>
      <c r="AM24" s="184"/>
      <c r="AN24" s="184"/>
      <c r="AO24" s="184"/>
      <c r="AP24" s="184"/>
      <c r="AQ24" s="185" t="s">
        <v>97</v>
      </c>
      <c r="AR24" s="59" t="str">
        <f t="shared" si="5"/>
        <v>KTG.100.0101</v>
      </c>
      <c r="AS24" s="80" t="str">
        <f>AS9</f>
        <v>KPBS-2.020</v>
      </c>
      <c r="AT24" s="60" t="str">
        <f>G24</f>
        <v>A02</v>
      </c>
      <c r="AU24" s="61"/>
      <c r="AV24" s="201">
        <v>0.71110286410000001</v>
      </c>
      <c r="AW24" s="201">
        <v>124.32575928040001</v>
      </c>
      <c r="AX24" s="62" t="s">
        <v>98</v>
      </c>
      <c r="AY24" s="62" t="s">
        <v>94</v>
      </c>
      <c r="AZ24" s="62" t="s">
        <v>94</v>
      </c>
      <c r="BA24" s="63" t="s">
        <v>77</v>
      </c>
      <c r="BB24" s="62" t="s">
        <v>98</v>
      </c>
      <c r="BC24" s="62">
        <v>31</v>
      </c>
      <c r="BD24" s="62" t="s">
        <v>98</v>
      </c>
      <c r="BE24" s="211" t="str">
        <f t="shared" si="1"/>
        <v>438, POYOWA BESAR,</v>
      </c>
    </row>
    <row r="25" spans="1:57" s="211" customFormat="1" ht="15.75" customHeight="1">
      <c r="A25" s="46"/>
      <c r="B25" s="46"/>
      <c r="C25" s="22" t="s">
        <v>68</v>
      </c>
      <c r="D25" s="22" t="s">
        <v>348</v>
      </c>
      <c r="E25" s="33">
        <v>1</v>
      </c>
      <c r="F25" s="47">
        <f>F24+1</f>
        <v>4</v>
      </c>
      <c r="G25" s="214"/>
      <c r="H25" s="23">
        <v>2</v>
      </c>
      <c r="I25" s="64" t="str">
        <f t="shared" ref="I25:M35" si="13">I24</f>
        <v>EXT.MR.KTG.KPBS.P057</v>
      </c>
      <c r="J25" s="64">
        <f t="shared" si="13"/>
        <v>0.71102700620000003</v>
      </c>
      <c r="K25" s="64">
        <f t="shared" si="13"/>
        <v>124.32564867240001</v>
      </c>
      <c r="L25" s="64" t="str">
        <f t="shared" si="13"/>
        <v>JL. RAYA POYOWA BESAR</v>
      </c>
      <c r="M25" s="64" t="str">
        <f>M24</f>
        <v>SULAWESI UTARA</v>
      </c>
      <c r="N25" s="65" t="s">
        <v>105</v>
      </c>
      <c r="O25" s="66" t="s">
        <v>118</v>
      </c>
      <c r="P25" s="65" t="s">
        <v>119</v>
      </c>
      <c r="Q25" s="66">
        <v>95717</v>
      </c>
      <c r="R25" s="67"/>
      <c r="S25" s="68"/>
      <c r="T25" s="68"/>
      <c r="U25" s="68"/>
      <c r="V25" s="68"/>
      <c r="W25" s="65" t="s">
        <v>105</v>
      </c>
      <c r="X25" s="64"/>
      <c r="Y25" s="64" t="s">
        <v>106</v>
      </c>
      <c r="Z25" s="64" t="str">
        <f t="shared" si="3"/>
        <v>KELURAHAN POYOWA BESAR SATU KOTAMOBAGU</v>
      </c>
      <c r="AA25" s="65"/>
      <c r="AB25" s="65"/>
      <c r="AC25" s="65" t="s">
        <v>70</v>
      </c>
      <c r="AD25" s="64" t="str">
        <f t="shared" ref="AD25:AD32" si="14">AD24</f>
        <v>POYOWA BESAR</v>
      </c>
      <c r="AE25" s="67"/>
      <c r="AF25" s="67"/>
      <c r="AG25" s="67"/>
      <c r="AH25" s="67"/>
      <c r="AI25" s="69"/>
      <c r="AJ25" s="11" t="s">
        <v>630</v>
      </c>
      <c r="AK25" s="65" t="s">
        <v>96</v>
      </c>
      <c r="AL25" s="65"/>
      <c r="AM25" s="176"/>
      <c r="AN25" s="176"/>
      <c r="AO25" s="176"/>
      <c r="AP25" s="176"/>
      <c r="AQ25" s="177" t="s">
        <v>97</v>
      </c>
      <c r="AR25" s="70" t="str">
        <f t="shared" si="5"/>
        <v>KTG.100.0101</v>
      </c>
      <c r="AS25" s="71" t="str">
        <f>AS24</f>
        <v>KPBS-2.020</v>
      </c>
      <c r="AT25" s="71" t="str">
        <f t="shared" si="6"/>
        <v>A02</v>
      </c>
      <c r="AU25" s="72"/>
      <c r="AV25" s="202">
        <v>0.71114737879999901</v>
      </c>
      <c r="AW25" s="202">
        <v>124.3254243924</v>
      </c>
      <c r="AX25" s="65" t="s">
        <v>98</v>
      </c>
      <c r="AY25" s="65" t="s">
        <v>94</v>
      </c>
      <c r="AZ25" s="65" t="s">
        <v>94</v>
      </c>
      <c r="BA25" s="73" t="s">
        <v>77</v>
      </c>
      <c r="BB25" s="65" t="s">
        <v>98</v>
      </c>
      <c r="BC25" s="65">
        <v>31</v>
      </c>
      <c r="BD25" s="65" t="s">
        <v>98</v>
      </c>
      <c r="BE25" s="211" t="str">
        <f t="shared" si="1"/>
        <v>431, POYOWA BESAR,</v>
      </c>
    </row>
    <row r="26" spans="1:57" s="211" customFormat="1" ht="15.75" customHeight="1">
      <c r="A26" s="214"/>
      <c r="B26" s="236"/>
      <c r="C26" s="236"/>
      <c r="D26" s="236"/>
      <c r="E26" s="236"/>
      <c r="F26" s="236"/>
      <c r="G26" s="237"/>
      <c r="H26" s="23">
        <v>3</v>
      </c>
      <c r="I26" s="64" t="str">
        <f t="shared" si="13"/>
        <v>EXT.MR.KTG.KPBS.P057</v>
      </c>
      <c r="J26" s="64">
        <f t="shared" si="13"/>
        <v>0.71102700620000003</v>
      </c>
      <c r="K26" s="64">
        <f t="shared" si="13"/>
        <v>124.32564867240001</v>
      </c>
      <c r="L26" s="64" t="str">
        <f t="shared" si="13"/>
        <v>JL. RAYA POYOWA BESAR</v>
      </c>
      <c r="M26" s="64" t="str">
        <f t="shared" si="13"/>
        <v>SULAWESI UTARA</v>
      </c>
      <c r="N26" s="65" t="s">
        <v>105</v>
      </c>
      <c r="O26" s="66" t="s">
        <v>118</v>
      </c>
      <c r="P26" s="65" t="s">
        <v>119</v>
      </c>
      <c r="Q26" s="66">
        <v>95717</v>
      </c>
      <c r="R26" s="67"/>
      <c r="S26" s="68"/>
      <c r="T26" s="68"/>
      <c r="U26" s="68"/>
      <c r="V26" s="68"/>
      <c r="W26" s="65" t="s">
        <v>105</v>
      </c>
      <c r="X26" s="64"/>
      <c r="Y26" s="64" t="s">
        <v>106</v>
      </c>
      <c r="Z26" s="64" t="str">
        <f t="shared" si="3"/>
        <v>KELURAHAN POYOWA BESAR SATU KOTAMOBAGU</v>
      </c>
      <c r="AA26" s="65"/>
      <c r="AB26" s="65"/>
      <c r="AC26" s="65" t="s">
        <v>70</v>
      </c>
      <c r="AD26" s="64" t="str">
        <f t="shared" si="14"/>
        <v>POYOWA BESAR</v>
      </c>
      <c r="AE26" s="67"/>
      <c r="AF26" s="67"/>
      <c r="AG26" s="67"/>
      <c r="AH26" s="67"/>
      <c r="AI26" s="69"/>
      <c r="AJ26" s="11" t="s">
        <v>631</v>
      </c>
      <c r="AK26" s="65" t="s">
        <v>96</v>
      </c>
      <c r="AL26" s="65"/>
      <c r="AM26" s="176"/>
      <c r="AN26" s="176"/>
      <c r="AO26" s="176"/>
      <c r="AP26" s="176"/>
      <c r="AQ26" s="177" t="s">
        <v>97</v>
      </c>
      <c r="AR26" s="70" t="str">
        <f t="shared" si="5"/>
        <v>KTG.100.0101</v>
      </c>
      <c r="AS26" s="71" t="str">
        <f t="shared" si="6"/>
        <v>KPBS-2.020</v>
      </c>
      <c r="AT26" s="71" t="str">
        <f t="shared" si="6"/>
        <v>A02</v>
      </c>
      <c r="AU26" s="72"/>
      <c r="AV26" s="202">
        <v>0.71105493990000002</v>
      </c>
      <c r="AW26" s="202">
        <v>124.3254589828</v>
      </c>
      <c r="AX26" s="65" t="s">
        <v>98</v>
      </c>
      <c r="AY26" s="65" t="s">
        <v>94</v>
      </c>
      <c r="AZ26" s="65" t="s">
        <v>94</v>
      </c>
      <c r="BA26" s="73" t="s">
        <v>77</v>
      </c>
      <c r="BB26" s="65" t="s">
        <v>98</v>
      </c>
      <c r="BC26" s="65">
        <v>32</v>
      </c>
      <c r="BD26" s="65" t="s">
        <v>98</v>
      </c>
      <c r="BE26" s="211" t="str">
        <f t="shared" si="1"/>
        <v>430, POYOWA BESAR,</v>
      </c>
    </row>
    <row r="27" spans="1:57" s="211" customFormat="1" ht="15.75" customHeight="1">
      <c r="A27" s="238"/>
      <c r="B27" s="239"/>
      <c r="C27" s="239"/>
      <c r="D27" s="239"/>
      <c r="E27" s="239"/>
      <c r="F27" s="239"/>
      <c r="G27" s="240"/>
      <c r="H27" s="23">
        <v>4</v>
      </c>
      <c r="I27" s="64" t="str">
        <f t="shared" si="13"/>
        <v>EXT.MR.KTG.KPBS.P057</v>
      </c>
      <c r="J27" s="64">
        <f t="shared" si="13"/>
        <v>0.71102700620000003</v>
      </c>
      <c r="K27" s="64">
        <f t="shared" si="13"/>
        <v>124.32564867240001</v>
      </c>
      <c r="L27" s="64" t="str">
        <f t="shared" si="13"/>
        <v>JL. RAYA POYOWA BESAR</v>
      </c>
      <c r="M27" s="64" t="str">
        <f t="shared" si="13"/>
        <v>SULAWESI UTARA</v>
      </c>
      <c r="N27" s="65" t="s">
        <v>105</v>
      </c>
      <c r="O27" s="66" t="s">
        <v>118</v>
      </c>
      <c r="P27" s="65" t="s">
        <v>119</v>
      </c>
      <c r="Q27" s="66">
        <v>95717</v>
      </c>
      <c r="R27" s="67"/>
      <c r="S27" s="68"/>
      <c r="T27" s="68"/>
      <c r="U27" s="68"/>
      <c r="V27" s="68"/>
      <c r="W27" s="65" t="s">
        <v>105</v>
      </c>
      <c r="X27" s="64"/>
      <c r="Y27" s="64" t="s">
        <v>106</v>
      </c>
      <c r="Z27" s="64" t="str">
        <f t="shared" si="3"/>
        <v>KELURAHAN POYOWA BESAR SATU KOTAMOBAGU</v>
      </c>
      <c r="AA27" s="65"/>
      <c r="AB27" s="65"/>
      <c r="AC27" s="65" t="s">
        <v>70</v>
      </c>
      <c r="AD27" s="64" t="str">
        <f t="shared" si="14"/>
        <v>POYOWA BESAR</v>
      </c>
      <c r="AE27" s="67"/>
      <c r="AF27" s="67"/>
      <c r="AG27" s="67"/>
      <c r="AH27" s="67"/>
      <c r="AI27" s="69"/>
      <c r="AJ27" s="11" t="s">
        <v>632</v>
      </c>
      <c r="AK27" s="65" t="s">
        <v>96</v>
      </c>
      <c r="AL27" s="65"/>
      <c r="AM27" s="176"/>
      <c r="AN27" s="176"/>
      <c r="AO27" s="176"/>
      <c r="AP27" s="176"/>
      <c r="AQ27" s="177" t="s">
        <v>97</v>
      </c>
      <c r="AR27" s="70" t="str">
        <f t="shared" si="5"/>
        <v>KTG.100.0101</v>
      </c>
      <c r="AS27" s="71" t="str">
        <f t="shared" si="6"/>
        <v>KPBS-2.020</v>
      </c>
      <c r="AT27" s="71" t="str">
        <f t="shared" si="6"/>
        <v>A02</v>
      </c>
      <c r="AU27" s="72"/>
      <c r="AV27" s="202">
        <v>0.7109717512</v>
      </c>
      <c r="AW27" s="202">
        <v>124.3254682068</v>
      </c>
      <c r="AX27" s="65" t="s">
        <v>98</v>
      </c>
      <c r="AY27" s="65" t="s">
        <v>94</v>
      </c>
      <c r="AZ27" s="65" t="s">
        <v>94</v>
      </c>
      <c r="BA27" s="73" t="s">
        <v>77</v>
      </c>
      <c r="BB27" s="65" t="s">
        <v>98</v>
      </c>
      <c r="BC27" s="65">
        <v>33</v>
      </c>
      <c r="BD27" s="65" t="s">
        <v>98</v>
      </c>
      <c r="BE27" s="211" t="str">
        <f t="shared" si="1"/>
        <v>429, POYOWA BESAR,</v>
      </c>
    </row>
    <row r="28" spans="1:57" s="211" customFormat="1" ht="15.75" customHeight="1">
      <c r="A28" s="238"/>
      <c r="B28" s="239"/>
      <c r="C28" s="239"/>
      <c r="D28" s="239"/>
      <c r="E28" s="239"/>
      <c r="F28" s="239"/>
      <c r="G28" s="240"/>
      <c r="H28" s="23">
        <v>5</v>
      </c>
      <c r="I28" s="64" t="str">
        <f t="shared" si="13"/>
        <v>EXT.MR.KTG.KPBS.P057</v>
      </c>
      <c r="J28" s="64">
        <f t="shared" si="13"/>
        <v>0.71102700620000003</v>
      </c>
      <c r="K28" s="64">
        <f t="shared" si="13"/>
        <v>124.32564867240001</v>
      </c>
      <c r="L28" s="64" t="str">
        <f t="shared" si="13"/>
        <v>JL. RAYA POYOWA BESAR</v>
      </c>
      <c r="M28" s="64" t="str">
        <f t="shared" si="13"/>
        <v>SULAWESI UTARA</v>
      </c>
      <c r="N28" s="65" t="s">
        <v>105</v>
      </c>
      <c r="O28" s="66" t="s">
        <v>118</v>
      </c>
      <c r="P28" s="65" t="s">
        <v>119</v>
      </c>
      <c r="Q28" s="66">
        <v>95717</v>
      </c>
      <c r="R28" s="67"/>
      <c r="S28" s="68"/>
      <c r="T28" s="68"/>
      <c r="U28" s="68"/>
      <c r="V28" s="68"/>
      <c r="W28" s="65" t="s">
        <v>105</v>
      </c>
      <c r="X28" s="64"/>
      <c r="Y28" s="64" t="s">
        <v>106</v>
      </c>
      <c r="Z28" s="64" t="str">
        <f t="shared" si="3"/>
        <v>KELURAHAN POYOWA BESAR SATU KOTAMOBAGU</v>
      </c>
      <c r="AA28" s="65"/>
      <c r="AB28" s="65"/>
      <c r="AC28" s="65" t="s">
        <v>70</v>
      </c>
      <c r="AD28" s="64" t="str">
        <f t="shared" si="14"/>
        <v>POYOWA BESAR</v>
      </c>
      <c r="AE28" s="67"/>
      <c r="AF28" s="67"/>
      <c r="AG28" s="67"/>
      <c r="AH28" s="67"/>
      <c r="AI28" s="69"/>
      <c r="AJ28" s="11" t="s">
        <v>633</v>
      </c>
      <c r="AK28" s="65" t="s">
        <v>96</v>
      </c>
      <c r="AL28" s="65"/>
      <c r="AM28" s="176"/>
      <c r="AN28" s="176"/>
      <c r="AO28" s="176"/>
      <c r="AP28" s="176"/>
      <c r="AQ28" s="177" t="s">
        <v>97</v>
      </c>
      <c r="AR28" s="70" t="str">
        <f t="shared" si="5"/>
        <v>KTG.100.0101</v>
      </c>
      <c r="AS28" s="71" t="str">
        <f t="shared" si="6"/>
        <v>KPBS-2.020</v>
      </c>
      <c r="AT28" s="71" t="str">
        <f t="shared" si="6"/>
        <v>A02</v>
      </c>
      <c r="AU28" s="72"/>
      <c r="AV28" s="202">
        <v>0.71088855620000002</v>
      </c>
      <c r="AW28" s="202">
        <v>124.3254981852</v>
      </c>
      <c r="AX28" s="65" t="s">
        <v>98</v>
      </c>
      <c r="AY28" s="65" t="s">
        <v>94</v>
      </c>
      <c r="AZ28" s="65" t="s">
        <v>94</v>
      </c>
      <c r="BA28" s="73" t="s">
        <v>77</v>
      </c>
      <c r="BB28" s="65" t="s">
        <v>98</v>
      </c>
      <c r="BC28" s="65">
        <v>34</v>
      </c>
      <c r="BD28" s="65" t="s">
        <v>98</v>
      </c>
      <c r="BE28" s="211" t="str">
        <f t="shared" si="1"/>
        <v>428, POYOWA BESAR,</v>
      </c>
    </row>
    <row r="29" spans="1:57" s="211" customFormat="1" ht="15.75" customHeight="1">
      <c r="A29" s="238"/>
      <c r="B29" s="239"/>
      <c r="C29" s="239"/>
      <c r="D29" s="239"/>
      <c r="E29" s="239"/>
      <c r="F29" s="239"/>
      <c r="G29" s="240"/>
      <c r="H29" s="23">
        <v>6</v>
      </c>
      <c r="I29" s="64" t="str">
        <f t="shared" si="13"/>
        <v>EXT.MR.KTG.KPBS.P057</v>
      </c>
      <c r="J29" s="64">
        <f t="shared" si="13"/>
        <v>0.71102700620000003</v>
      </c>
      <c r="K29" s="64">
        <f t="shared" si="13"/>
        <v>124.32564867240001</v>
      </c>
      <c r="L29" s="64" t="str">
        <f t="shared" si="13"/>
        <v>JL. RAYA POYOWA BESAR</v>
      </c>
      <c r="M29" s="64" t="str">
        <f t="shared" si="13"/>
        <v>SULAWESI UTARA</v>
      </c>
      <c r="N29" s="65" t="s">
        <v>105</v>
      </c>
      <c r="O29" s="66" t="s">
        <v>118</v>
      </c>
      <c r="P29" s="65" t="s">
        <v>119</v>
      </c>
      <c r="Q29" s="66">
        <v>95717</v>
      </c>
      <c r="R29" s="67"/>
      <c r="S29" s="68"/>
      <c r="T29" s="68"/>
      <c r="U29" s="68"/>
      <c r="V29" s="68"/>
      <c r="W29" s="65" t="s">
        <v>105</v>
      </c>
      <c r="X29" s="64"/>
      <c r="Y29" s="64" t="s">
        <v>106</v>
      </c>
      <c r="Z29" s="64" t="str">
        <f t="shared" si="3"/>
        <v>KELURAHAN POYOWA BESAR SATU KOTAMOBAGU</v>
      </c>
      <c r="AA29" s="65"/>
      <c r="AB29" s="65"/>
      <c r="AC29" s="65" t="s">
        <v>70</v>
      </c>
      <c r="AD29" s="64" t="str">
        <f t="shared" si="14"/>
        <v>POYOWA BESAR</v>
      </c>
      <c r="AE29" s="67"/>
      <c r="AF29" s="67"/>
      <c r="AG29" s="67"/>
      <c r="AH29" s="67"/>
      <c r="AI29" s="69"/>
      <c r="AJ29" s="11" t="s">
        <v>634</v>
      </c>
      <c r="AK29" s="65" t="s">
        <v>96</v>
      </c>
      <c r="AL29" s="65"/>
      <c r="AM29" s="176"/>
      <c r="AN29" s="176"/>
      <c r="AO29" s="176"/>
      <c r="AP29" s="176"/>
      <c r="AQ29" s="177" t="s">
        <v>97</v>
      </c>
      <c r="AR29" s="70" t="str">
        <f t="shared" si="5"/>
        <v>KTG.100.0101</v>
      </c>
      <c r="AS29" s="71" t="str">
        <f t="shared" si="6"/>
        <v>KPBS-2.020</v>
      </c>
      <c r="AT29" s="71" t="str">
        <f t="shared" si="6"/>
        <v>A02</v>
      </c>
      <c r="AU29" s="72"/>
      <c r="AV29" s="202">
        <v>0.71092764529999997</v>
      </c>
      <c r="AW29" s="202">
        <v>124.3257163438</v>
      </c>
      <c r="AX29" s="65" t="s">
        <v>98</v>
      </c>
      <c r="AY29" s="65" t="s">
        <v>94</v>
      </c>
      <c r="AZ29" s="65" t="s">
        <v>94</v>
      </c>
      <c r="BA29" s="73" t="s">
        <v>77</v>
      </c>
      <c r="BB29" s="65" t="s">
        <v>98</v>
      </c>
      <c r="BC29" s="65">
        <v>35</v>
      </c>
      <c r="BD29" s="65" t="s">
        <v>98</v>
      </c>
      <c r="BE29" s="211" t="str">
        <f t="shared" si="1"/>
        <v>449, POYOWA BESAR,</v>
      </c>
    </row>
    <row r="30" spans="1:57" s="211" customFormat="1" ht="15.75" customHeight="1">
      <c r="A30" s="238"/>
      <c r="B30" s="239"/>
      <c r="C30" s="239"/>
      <c r="D30" s="239"/>
      <c r="E30" s="239"/>
      <c r="F30" s="239"/>
      <c r="G30" s="240"/>
      <c r="H30" s="23">
        <v>7</v>
      </c>
      <c r="I30" s="64" t="str">
        <f t="shared" si="13"/>
        <v>EXT.MR.KTG.KPBS.P057</v>
      </c>
      <c r="J30" s="64">
        <f t="shared" si="13"/>
        <v>0.71102700620000003</v>
      </c>
      <c r="K30" s="64">
        <f t="shared" si="13"/>
        <v>124.32564867240001</v>
      </c>
      <c r="L30" s="64" t="str">
        <f t="shared" si="13"/>
        <v>JL. RAYA POYOWA BESAR</v>
      </c>
      <c r="M30" s="64" t="str">
        <f t="shared" si="13"/>
        <v>SULAWESI UTARA</v>
      </c>
      <c r="N30" s="65" t="s">
        <v>105</v>
      </c>
      <c r="O30" s="66" t="s">
        <v>118</v>
      </c>
      <c r="P30" s="65" t="s">
        <v>119</v>
      </c>
      <c r="Q30" s="66">
        <v>95717</v>
      </c>
      <c r="R30" s="67"/>
      <c r="S30" s="68"/>
      <c r="T30" s="68"/>
      <c r="U30" s="68"/>
      <c r="V30" s="68"/>
      <c r="W30" s="65" t="s">
        <v>105</v>
      </c>
      <c r="X30" s="64"/>
      <c r="Y30" s="64" t="s">
        <v>106</v>
      </c>
      <c r="Z30" s="64" t="str">
        <f t="shared" si="3"/>
        <v>KELURAHAN POYOWA BESAR SATU KOTAMOBAGU</v>
      </c>
      <c r="AA30" s="65"/>
      <c r="AB30" s="65"/>
      <c r="AC30" s="65" t="s">
        <v>70</v>
      </c>
      <c r="AD30" s="64" t="str">
        <f t="shared" si="14"/>
        <v>POYOWA BESAR</v>
      </c>
      <c r="AE30" s="67"/>
      <c r="AF30" s="67"/>
      <c r="AG30" s="67"/>
      <c r="AH30" s="67"/>
      <c r="AI30" s="69"/>
      <c r="AJ30" s="11" t="s">
        <v>635</v>
      </c>
      <c r="AK30" s="65" t="s">
        <v>96</v>
      </c>
      <c r="AL30" s="65"/>
      <c r="AM30" s="176"/>
      <c r="AN30" s="176"/>
      <c r="AO30" s="176"/>
      <c r="AP30" s="176"/>
      <c r="AQ30" s="177" t="s">
        <v>97</v>
      </c>
      <c r="AR30" s="70" t="str">
        <f t="shared" si="5"/>
        <v>KTG.100.0101</v>
      </c>
      <c r="AS30" s="71" t="str">
        <f t="shared" si="6"/>
        <v>KPBS-2.020</v>
      </c>
      <c r="AT30" s="71" t="str">
        <f t="shared" si="6"/>
        <v>A02</v>
      </c>
      <c r="AU30" s="72"/>
      <c r="AV30" s="202">
        <v>0.71117297779999999</v>
      </c>
      <c r="AW30" s="202">
        <v>124.3257431079</v>
      </c>
      <c r="AX30" s="65" t="s">
        <v>98</v>
      </c>
      <c r="AY30" s="65" t="s">
        <v>94</v>
      </c>
      <c r="AZ30" s="65" t="s">
        <v>94</v>
      </c>
      <c r="BA30" s="73" t="s">
        <v>77</v>
      </c>
      <c r="BB30" s="65" t="s">
        <v>98</v>
      </c>
      <c r="BC30" s="65">
        <v>36</v>
      </c>
      <c r="BD30" s="65" t="s">
        <v>98</v>
      </c>
      <c r="BE30" s="211" t="str">
        <f t="shared" si="1"/>
        <v>437, POYOWA BESAR,</v>
      </c>
    </row>
    <row r="31" spans="1:57" s="211" customFormat="1" ht="15.75" customHeight="1">
      <c r="A31" s="238"/>
      <c r="B31" s="239"/>
      <c r="C31" s="239"/>
      <c r="D31" s="239"/>
      <c r="E31" s="239"/>
      <c r="F31" s="239"/>
      <c r="G31" s="240"/>
      <c r="H31" s="23">
        <v>8</v>
      </c>
      <c r="I31" s="64" t="str">
        <f t="shared" si="13"/>
        <v>EXT.MR.KTG.KPBS.P057</v>
      </c>
      <c r="J31" s="64">
        <f t="shared" si="13"/>
        <v>0.71102700620000003</v>
      </c>
      <c r="K31" s="64">
        <f t="shared" si="13"/>
        <v>124.32564867240001</v>
      </c>
      <c r="L31" s="64" t="str">
        <f t="shared" si="13"/>
        <v>JL. RAYA POYOWA BESAR</v>
      </c>
      <c r="M31" s="64" t="str">
        <f t="shared" si="13"/>
        <v>SULAWESI UTARA</v>
      </c>
      <c r="N31" s="65" t="s">
        <v>105</v>
      </c>
      <c r="O31" s="66" t="s">
        <v>118</v>
      </c>
      <c r="P31" s="65" t="s">
        <v>119</v>
      </c>
      <c r="Q31" s="66">
        <v>95717</v>
      </c>
      <c r="R31" s="67"/>
      <c r="S31" s="68"/>
      <c r="T31" s="68"/>
      <c r="U31" s="68"/>
      <c r="V31" s="68"/>
      <c r="W31" s="65" t="s">
        <v>105</v>
      </c>
      <c r="X31" s="64"/>
      <c r="Y31" s="64" t="s">
        <v>106</v>
      </c>
      <c r="Z31" s="64" t="str">
        <f t="shared" si="3"/>
        <v>KELURAHAN POYOWA BESAR SATU KOTAMOBAGU</v>
      </c>
      <c r="AA31" s="65"/>
      <c r="AB31" s="65"/>
      <c r="AC31" s="65" t="s">
        <v>70</v>
      </c>
      <c r="AD31" s="64" t="str">
        <f t="shared" si="14"/>
        <v>POYOWA BESAR</v>
      </c>
      <c r="AE31" s="67"/>
      <c r="AF31" s="67"/>
      <c r="AG31" s="67"/>
      <c r="AH31" s="67"/>
      <c r="AI31" s="69"/>
      <c r="AJ31" s="11" t="s">
        <v>636</v>
      </c>
      <c r="AK31" s="65" t="s">
        <v>96</v>
      </c>
      <c r="AL31" s="65"/>
      <c r="AM31" s="176"/>
      <c r="AN31" s="176"/>
      <c r="AO31" s="176"/>
      <c r="AP31" s="176"/>
      <c r="AQ31" s="177" t="s">
        <v>97</v>
      </c>
      <c r="AR31" s="70" t="str">
        <f t="shared" si="5"/>
        <v>KTG.100.0101</v>
      </c>
      <c r="AS31" s="71" t="str">
        <f t="shared" si="6"/>
        <v>KPBS-2.020</v>
      </c>
      <c r="AT31" s="71" t="str">
        <f t="shared" si="6"/>
        <v>A02</v>
      </c>
      <c r="AU31" s="72"/>
      <c r="AV31" s="202">
        <v>0.71093927680000002</v>
      </c>
      <c r="AW31" s="202">
        <v>124.3257830819</v>
      </c>
      <c r="AX31" s="65" t="s">
        <v>98</v>
      </c>
      <c r="AY31" s="65" t="s">
        <v>94</v>
      </c>
      <c r="AZ31" s="65" t="s">
        <v>94</v>
      </c>
      <c r="BA31" s="73" t="s">
        <v>77</v>
      </c>
      <c r="BB31" s="65" t="s">
        <v>98</v>
      </c>
      <c r="BC31" s="65">
        <v>37</v>
      </c>
      <c r="BD31" s="65" t="s">
        <v>98</v>
      </c>
      <c r="BE31" s="211" t="str">
        <f t="shared" si="1"/>
        <v>448, POYOWA BESAR,</v>
      </c>
    </row>
    <row r="32" spans="1:57" s="211" customFormat="1" ht="15.75" customHeight="1">
      <c r="A32" s="238"/>
      <c r="B32" s="239"/>
      <c r="C32" s="239"/>
      <c r="D32" s="239"/>
      <c r="E32" s="239"/>
      <c r="F32" s="239"/>
      <c r="G32" s="240"/>
      <c r="H32" s="23">
        <v>9</v>
      </c>
      <c r="I32" s="64" t="str">
        <f t="shared" si="13"/>
        <v>EXT.MR.KTG.KPBS.P057</v>
      </c>
      <c r="J32" s="64">
        <f t="shared" si="13"/>
        <v>0.71102700620000003</v>
      </c>
      <c r="K32" s="64">
        <f t="shared" si="13"/>
        <v>124.32564867240001</v>
      </c>
      <c r="L32" s="64" t="str">
        <f t="shared" si="13"/>
        <v>JL. RAYA POYOWA BESAR</v>
      </c>
      <c r="M32" s="64" t="str">
        <f t="shared" si="13"/>
        <v>SULAWESI UTARA</v>
      </c>
      <c r="N32" s="65" t="s">
        <v>105</v>
      </c>
      <c r="O32" s="66" t="s">
        <v>118</v>
      </c>
      <c r="P32" s="65" t="s">
        <v>119</v>
      </c>
      <c r="Q32" s="66">
        <v>95717</v>
      </c>
      <c r="R32" s="67"/>
      <c r="S32" s="68"/>
      <c r="T32" s="68"/>
      <c r="U32" s="68"/>
      <c r="V32" s="68"/>
      <c r="W32" s="65" t="s">
        <v>105</v>
      </c>
      <c r="X32" s="64"/>
      <c r="Y32" s="64" t="s">
        <v>106</v>
      </c>
      <c r="Z32" s="64" t="str">
        <f t="shared" si="3"/>
        <v>KELURAHAN POYOWA BESAR SATU KOTAMOBAGU</v>
      </c>
      <c r="AA32" s="65"/>
      <c r="AB32" s="65"/>
      <c r="AC32" s="65" t="s">
        <v>70</v>
      </c>
      <c r="AD32" s="64" t="str">
        <f t="shared" si="14"/>
        <v>POYOWA BESAR</v>
      </c>
      <c r="AE32" s="67"/>
      <c r="AF32" s="67"/>
      <c r="AG32" s="67"/>
      <c r="AH32" s="67"/>
      <c r="AI32" s="69"/>
      <c r="AJ32" s="11" t="s">
        <v>637</v>
      </c>
      <c r="AK32" s="65" t="s">
        <v>96</v>
      </c>
      <c r="AL32" s="65"/>
      <c r="AM32" s="176"/>
      <c r="AN32" s="176"/>
      <c r="AO32" s="176"/>
      <c r="AP32" s="176"/>
      <c r="AQ32" s="177" t="s">
        <v>97</v>
      </c>
      <c r="AR32" s="70" t="str">
        <f t="shared" si="5"/>
        <v>KTG.100.0101</v>
      </c>
      <c r="AS32" s="71" t="str">
        <f t="shared" si="6"/>
        <v>KPBS-2.020</v>
      </c>
      <c r="AT32" s="71" t="str">
        <f t="shared" si="6"/>
        <v>A02</v>
      </c>
      <c r="AU32" s="72"/>
      <c r="AV32" s="202">
        <v>0.71095407499999996</v>
      </c>
      <c r="AW32" s="202">
        <v>124.325862894</v>
      </c>
      <c r="AX32" s="65" t="s">
        <v>98</v>
      </c>
      <c r="AY32" s="65" t="s">
        <v>94</v>
      </c>
      <c r="AZ32" s="65" t="s">
        <v>94</v>
      </c>
      <c r="BA32" s="73" t="s">
        <v>77</v>
      </c>
      <c r="BB32" s="65" t="s">
        <v>98</v>
      </c>
      <c r="BC32" s="65">
        <v>38</v>
      </c>
      <c r="BD32" s="65" t="s">
        <v>98</v>
      </c>
      <c r="BE32" s="211" t="str">
        <f t="shared" si="1"/>
        <v>447, POYOWA BESAR,</v>
      </c>
    </row>
    <row r="33" spans="1:57" s="211" customFormat="1" ht="15.75" customHeight="1">
      <c r="A33" s="238"/>
      <c r="B33" s="239"/>
      <c r="C33" s="239"/>
      <c r="D33" s="239"/>
      <c r="E33" s="239"/>
      <c r="F33" s="239"/>
      <c r="G33" s="240"/>
      <c r="H33" s="23">
        <v>10</v>
      </c>
      <c r="I33" s="64" t="str">
        <f t="shared" si="13"/>
        <v>EXT.MR.KTG.KPBS.P057</v>
      </c>
      <c r="J33" s="64">
        <f t="shared" si="13"/>
        <v>0.71102700620000003</v>
      </c>
      <c r="K33" s="64">
        <f t="shared" si="13"/>
        <v>124.32564867240001</v>
      </c>
      <c r="L33" s="64" t="str">
        <f t="shared" si="13"/>
        <v>JL. RAYA POYOWA BESAR</v>
      </c>
      <c r="M33" s="64" t="str">
        <f t="shared" si="13"/>
        <v>SULAWESI UTARA</v>
      </c>
      <c r="N33" s="65" t="s">
        <v>105</v>
      </c>
      <c r="O33" s="66" t="s">
        <v>118</v>
      </c>
      <c r="P33" s="65" t="s">
        <v>119</v>
      </c>
      <c r="Q33" s="66">
        <v>95717</v>
      </c>
      <c r="R33" s="67"/>
      <c r="S33" s="68"/>
      <c r="T33" s="68"/>
      <c r="U33" s="68"/>
      <c r="V33" s="68"/>
      <c r="W33" s="65" t="s">
        <v>105</v>
      </c>
      <c r="X33" s="64"/>
      <c r="Y33" s="64" t="s">
        <v>106</v>
      </c>
      <c r="Z33" s="64" t="str">
        <f t="shared" si="3"/>
        <v>KELURAHAN POYOWA BESAR SATU KOTAMOBAGU</v>
      </c>
      <c r="AA33" s="65"/>
      <c r="AB33" s="65"/>
      <c r="AC33" s="65" t="s">
        <v>70</v>
      </c>
      <c r="AD33" s="64" t="str">
        <f>AD25</f>
        <v>POYOWA BESAR</v>
      </c>
      <c r="AE33" s="67"/>
      <c r="AF33" s="67"/>
      <c r="AG33" s="67"/>
      <c r="AH33" s="67"/>
      <c r="AI33" s="69"/>
      <c r="AJ33" s="11" t="s">
        <v>638</v>
      </c>
      <c r="AK33" s="65" t="s">
        <v>96</v>
      </c>
      <c r="AL33" s="65"/>
      <c r="AM33" s="176"/>
      <c r="AN33" s="176"/>
      <c r="AO33" s="176"/>
      <c r="AP33" s="176"/>
      <c r="AQ33" s="177" t="s">
        <v>97</v>
      </c>
      <c r="AR33" s="70" t="str">
        <f t="shared" si="5"/>
        <v>KTG.100.0101</v>
      </c>
      <c r="AS33" s="71" t="str">
        <f t="shared" si="6"/>
        <v>KPBS-2.020</v>
      </c>
      <c r="AT33" s="71" t="str">
        <f t="shared" si="6"/>
        <v>A02</v>
      </c>
      <c r="AU33" s="72"/>
      <c r="AV33" s="202">
        <v>0.71109051430000003</v>
      </c>
      <c r="AW33" s="202">
        <v>124.32606640740001</v>
      </c>
      <c r="AX33" s="65" t="s">
        <v>98</v>
      </c>
      <c r="AY33" s="65" t="s">
        <v>94</v>
      </c>
      <c r="AZ33" s="65" t="s">
        <v>94</v>
      </c>
      <c r="BA33" s="73" t="s">
        <v>77</v>
      </c>
      <c r="BB33" s="65" t="s">
        <v>98</v>
      </c>
      <c r="BC33" s="65">
        <v>31</v>
      </c>
      <c r="BD33" s="65" t="s">
        <v>98</v>
      </c>
      <c r="BE33" s="211" t="str">
        <f t="shared" si="1"/>
        <v>445, POYOWA BESAR,</v>
      </c>
    </row>
    <row r="34" spans="1:57" s="211" customFormat="1" ht="15.75" customHeight="1">
      <c r="A34" s="235"/>
      <c r="B34" s="241"/>
      <c r="C34" s="241"/>
      <c r="D34" s="241"/>
      <c r="E34" s="241"/>
      <c r="F34" s="241"/>
      <c r="G34" s="242"/>
      <c r="H34" s="23">
        <v>11</v>
      </c>
      <c r="I34" s="64" t="str">
        <f t="shared" si="13"/>
        <v>EXT.MR.KTG.KPBS.P057</v>
      </c>
      <c r="J34" s="64">
        <f t="shared" si="13"/>
        <v>0.71102700620000003</v>
      </c>
      <c r="K34" s="64">
        <f t="shared" si="13"/>
        <v>124.32564867240001</v>
      </c>
      <c r="L34" s="64" t="str">
        <f t="shared" si="13"/>
        <v>JL. RAYA POYOWA BESAR</v>
      </c>
      <c r="M34" s="64" t="str">
        <f t="shared" si="13"/>
        <v>SULAWESI UTARA</v>
      </c>
      <c r="N34" s="65" t="s">
        <v>105</v>
      </c>
      <c r="O34" s="66" t="s">
        <v>118</v>
      </c>
      <c r="P34" s="65" t="s">
        <v>119</v>
      </c>
      <c r="Q34" s="66">
        <v>95717</v>
      </c>
      <c r="R34" s="67"/>
      <c r="S34" s="68"/>
      <c r="T34" s="68"/>
      <c r="U34" s="68"/>
      <c r="V34" s="68"/>
      <c r="W34" s="65" t="s">
        <v>105</v>
      </c>
      <c r="X34" s="64"/>
      <c r="Y34" s="64" t="s">
        <v>106</v>
      </c>
      <c r="Z34" s="64" t="str">
        <f t="shared" si="3"/>
        <v>KELURAHAN POYOWA BESAR SATU KOTAMOBAGU</v>
      </c>
      <c r="AA34" s="65"/>
      <c r="AB34" s="65"/>
      <c r="AC34" s="65" t="s">
        <v>70</v>
      </c>
      <c r="AD34" s="64" t="str">
        <f>AD26</f>
        <v>POYOWA BESAR</v>
      </c>
      <c r="AE34" s="67"/>
      <c r="AF34" s="67"/>
      <c r="AG34" s="67"/>
      <c r="AH34" s="67"/>
      <c r="AI34" s="69"/>
      <c r="AJ34" s="11" t="s">
        <v>639</v>
      </c>
      <c r="AK34" s="65" t="s">
        <v>96</v>
      </c>
      <c r="AL34" s="65"/>
      <c r="AM34" s="65"/>
      <c r="AN34" s="65"/>
      <c r="AO34" s="65"/>
      <c r="AP34" s="65"/>
      <c r="AQ34" s="177" t="s">
        <v>97</v>
      </c>
      <c r="AR34" s="70" t="str">
        <f>AR33</f>
        <v>KTG.100.0101</v>
      </c>
      <c r="AS34" s="71" t="str">
        <f>AS33</f>
        <v>KPBS-2.020</v>
      </c>
      <c r="AT34" s="71" t="str">
        <f>AT33</f>
        <v>A02</v>
      </c>
      <c r="AU34" s="72"/>
      <c r="AV34" s="202">
        <v>0.71121164690000005</v>
      </c>
      <c r="AW34" s="202">
        <v>124.3258680462</v>
      </c>
      <c r="AX34" s="65" t="s">
        <v>98</v>
      </c>
      <c r="AY34" s="65" t="s">
        <v>94</v>
      </c>
      <c r="AZ34" s="65" t="s">
        <v>94</v>
      </c>
      <c r="BA34" s="73" t="s">
        <v>77</v>
      </c>
      <c r="BB34" s="65" t="s">
        <v>98</v>
      </c>
      <c r="BC34" s="65">
        <v>31</v>
      </c>
      <c r="BD34" s="65" t="s">
        <v>98</v>
      </c>
      <c r="BE34" s="211" t="str">
        <f t="shared" si="1"/>
        <v>439, POYOWA BESAR,</v>
      </c>
    </row>
    <row r="35" spans="1:57" s="211" customFormat="1" ht="15.75" customHeight="1">
      <c r="A35" s="34" t="s">
        <v>67</v>
      </c>
      <c r="B35" s="34">
        <f>B24+1</f>
        <v>3</v>
      </c>
      <c r="C35" s="33" t="s">
        <v>68</v>
      </c>
      <c r="D35" s="33" t="s">
        <v>348</v>
      </c>
      <c r="E35" s="33">
        <v>1</v>
      </c>
      <c r="F35" s="9">
        <f>F25+1</f>
        <v>5</v>
      </c>
      <c r="G35" s="214" t="s">
        <v>72</v>
      </c>
      <c r="H35" s="44">
        <v>1</v>
      </c>
      <c r="I35" s="56" t="s">
        <v>332</v>
      </c>
      <c r="J35" s="56">
        <v>0.71073460129999999</v>
      </c>
      <c r="K35" s="56">
        <v>124.3250811522</v>
      </c>
      <c r="L35" s="112" t="s">
        <v>116</v>
      </c>
      <c r="M35" s="56" t="str">
        <f t="shared" si="13"/>
        <v>SULAWESI UTARA</v>
      </c>
      <c r="N35" s="76" t="s">
        <v>105</v>
      </c>
      <c r="O35" s="49" t="s">
        <v>118</v>
      </c>
      <c r="P35" s="76" t="s">
        <v>119</v>
      </c>
      <c r="Q35" s="49">
        <v>95717</v>
      </c>
      <c r="R35" s="77"/>
      <c r="S35" s="78"/>
      <c r="T35" s="78"/>
      <c r="U35" s="78"/>
      <c r="V35" s="78"/>
      <c r="W35" s="76" t="s">
        <v>105</v>
      </c>
      <c r="X35" s="56"/>
      <c r="Y35" s="56" t="s">
        <v>106</v>
      </c>
      <c r="Z35" s="56" t="str">
        <f t="shared" si="3"/>
        <v>KELURAHAN POYOWA BESAR SATU KOTAMOBAGU</v>
      </c>
      <c r="AA35" s="76"/>
      <c r="AB35" s="76"/>
      <c r="AC35" s="76" t="s">
        <v>70</v>
      </c>
      <c r="AD35" s="112" t="s">
        <v>119</v>
      </c>
      <c r="AE35" s="77"/>
      <c r="AF35" s="77"/>
      <c r="AG35" s="77"/>
      <c r="AH35" s="77"/>
      <c r="AI35" s="79"/>
      <c r="AJ35" s="114" t="s">
        <v>640</v>
      </c>
      <c r="AK35" s="76" t="s">
        <v>96</v>
      </c>
      <c r="AL35" s="76"/>
      <c r="AM35" s="189"/>
      <c r="AN35" s="189"/>
      <c r="AO35" s="189"/>
      <c r="AP35" s="189"/>
      <c r="AQ35" s="190" t="s">
        <v>97</v>
      </c>
      <c r="AR35" s="59" t="str">
        <f t="shared" si="5"/>
        <v>KTG.100.0101</v>
      </c>
      <c r="AS35" s="80" t="str">
        <f>AS24</f>
        <v>KPBS-2.020</v>
      </c>
      <c r="AT35" s="60" t="str">
        <f>G35</f>
        <v>A03</v>
      </c>
      <c r="AU35" s="81"/>
      <c r="AV35" s="201">
        <v>0.7109164415</v>
      </c>
      <c r="AW35" s="201">
        <v>124.3253137032</v>
      </c>
      <c r="AX35" s="76" t="s">
        <v>98</v>
      </c>
      <c r="AY35" s="76" t="s">
        <v>94</v>
      </c>
      <c r="AZ35" s="76" t="s">
        <v>94</v>
      </c>
      <c r="BA35" s="63" t="s">
        <v>77</v>
      </c>
      <c r="BB35" s="76" t="s">
        <v>98</v>
      </c>
      <c r="BC35" s="76">
        <v>31</v>
      </c>
      <c r="BD35" s="76" t="s">
        <v>98</v>
      </c>
      <c r="BE35" s="211" t="str">
        <f t="shared" si="1"/>
        <v>427, POYOWA BESAR,</v>
      </c>
    </row>
    <row r="36" spans="1:57" s="211" customFormat="1" ht="15.75" customHeight="1">
      <c r="A36" s="45"/>
      <c r="B36" s="45"/>
      <c r="C36" s="22" t="s">
        <v>68</v>
      </c>
      <c r="D36" s="22" t="s">
        <v>348</v>
      </c>
      <c r="E36" s="33">
        <v>1</v>
      </c>
      <c r="F36" s="118">
        <f>F35+1</f>
        <v>6</v>
      </c>
      <c r="G36" s="235"/>
      <c r="H36" s="23">
        <v>2</v>
      </c>
      <c r="I36" s="64" t="str">
        <f t="shared" ref="I36:M54" si="15">I35</f>
        <v>MR.KPBS.P051</v>
      </c>
      <c r="J36" s="64">
        <f t="shared" si="15"/>
        <v>0.71073460129999999</v>
      </c>
      <c r="K36" s="64">
        <f t="shared" si="15"/>
        <v>124.3250811522</v>
      </c>
      <c r="L36" s="64" t="str">
        <f t="shared" si="15"/>
        <v>JL. RAYA POYOWA BESAR</v>
      </c>
      <c r="M36" s="64" t="str">
        <f t="shared" si="15"/>
        <v>SULAWESI UTARA</v>
      </c>
      <c r="N36" s="65" t="s">
        <v>105</v>
      </c>
      <c r="O36" s="66" t="s">
        <v>118</v>
      </c>
      <c r="P36" s="65" t="s">
        <v>119</v>
      </c>
      <c r="Q36" s="66">
        <v>95717</v>
      </c>
      <c r="R36" s="67"/>
      <c r="S36" s="68"/>
      <c r="T36" s="68"/>
      <c r="U36" s="68"/>
      <c r="V36" s="68"/>
      <c r="W36" s="65" t="s">
        <v>105</v>
      </c>
      <c r="X36" s="64"/>
      <c r="Y36" s="64" t="s">
        <v>106</v>
      </c>
      <c r="Z36" s="64" t="str">
        <f t="shared" si="3"/>
        <v>KELURAHAN POYOWA BESAR SATU KOTAMOBAGU</v>
      </c>
      <c r="AA36" s="65"/>
      <c r="AB36" s="65"/>
      <c r="AC36" s="65" t="s">
        <v>70</v>
      </c>
      <c r="AD36" s="64" t="str">
        <f t="shared" ref="AD36:AD50" si="16">AD35</f>
        <v>POYOWA BESAR</v>
      </c>
      <c r="AE36" s="67"/>
      <c r="AF36" s="67"/>
      <c r="AG36" s="67"/>
      <c r="AH36" s="67"/>
      <c r="AI36" s="69"/>
      <c r="AJ36" s="11" t="s">
        <v>641</v>
      </c>
      <c r="AK36" s="65" t="s">
        <v>96</v>
      </c>
      <c r="AL36" s="65"/>
      <c r="AM36" s="176"/>
      <c r="AN36" s="176"/>
      <c r="AO36" s="176"/>
      <c r="AP36" s="176"/>
      <c r="AQ36" s="177" t="s">
        <v>97</v>
      </c>
      <c r="AR36" s="70" t="str">
        <f t="shared" si="5"/>
        <v>KTG.100.0101</v>
      </c>
      <c r="AS36" s="71" t="str">
        <f t="shared" si="6"/>
        <v>KPBS-2.020</v>
      </c>
      <c r="AT36" s="71" t="str">
        <f t="shared" si="6"/>
        <v>A03</v>
      </c>
      <c r="AU36" s="72"/>
      <c r="AV36" s="202">
        <v>0.71056547550000004</v>
      </c>
      <c r="AW36" s="202">
        <v>124.3248684074</v>
      </c>
      <c r="AX36" s="65" t="s">
        <v>98</v>
      </c>
      <c r="AY36" s="65" t="s">
        <v>94</v>
      </c>
      <c r="AZ36" s="65" t="s">
        <v>94</v>
      </c>
      <c r="BA36" s="73" t="s">
        <v>77</v>
      </c>
      <c r="BB36" s="65" t="s">
        <v>98</v>
      </c>
      <c r="BC36" s="65">
        <v>31</v>
      </c>
      <c r="BD36" s="65" t="s">
        <v>98</v>
      </c>
      <c r="BE36" s="211" t="str">
        <f t="shared" si="1"/>
        <v>506, POYOWA BESAR,</v>
      </c>
    </row>
    <row r="37" spans="1:57" s="211" customFormat="1" ht="15.75" customHeight="1">
      <c r="A37" s="214"/>
      <c r="B37" s="236"/>
      <c r="C37" s="236"/>
      <c r="D37" s="236"/>
      <c r="E37" s="236"/>
      <c r="F37" s="236"/>
      <c r="G37" s="237"/>
      <c r="H37" s="23">
        <v>3</v>
      </c>
      <c r="I37" s="64" t="str">
        <f t="shared" si="15"/>
        <v>MR.KPBS.P051</v>
      </c>
      <c r="J37" s="64">
        <f t="shared" si="15"/>
        <v>0.71073460129999999</v>
      </c>
      <c r="K37" s="64">
        <f t="shared" si="15"/>
        <v>124.3250811522</v>
      </c>
      <c r="L37" s="64" t="str">
        <f t="shared" si="15"/>
        <v>JL. RAYA POYOWA BESAR</v>
      </c>
      <c r="M37" s="64" t="str">
        <f t="shared" si="15"/>
        <v>SULAWESI UTARA</v>
      </c>
      <c r="N37" s="65" t="s">
        <v>105</v>
      </c>
      <c r="O37" s="66" t="s">
        <v>118</v>
      </c>
      <c r="P37" s="65" t="s">
        <v>119</v>
      </c>
      <c r="Q37" s="66">
        <v>95717</v>
      </c>
      <c r="R37" s="67"/>
      <c r="S37" s="68"/>
      <c r="T37" s="68"/>
      <c r="U37" s="68"/>
      <c r="V37" s="68"/>
      <c r="W37" s="65" t="s">
        <v>105</v>
      </c>
      <c r="X37" s="64"/>
      <c r="Y37" s="64" t="s">
        <v>106</v>
      </c>
      <c r="Z37" s="64" t="str">
        <f t="shared" si="3"/>
        <v>KELURAHAN POYOWA BESAR SATU KOTAMOBAGU</v>
      </c>
      <c r="AA37" s="65"/>
      <c r="AB37" s="65"/>
      <c r="AC37" s="65" t="s">
        <v>70</v>
      </c>
      <c r="AD37" s="64" t="str">
        <f t="shared" si="16"/>
        <v>POYOWA BESAR</v>
      </c>
      <c r="AE37" s="67"/>
      <c r="AF37" s="67"/>
      <c r="AG37" s="67"/>
      <c r="AH37" s="67"/>
      <c r="AI37" s="69"/>
      <c r="AJ37" s="11" t="s">
        <v>642</v>
      </c>
      <c r="AK37" s="65" t="s">
        <v>96</v>
      </c>
      <c r="AL37" s="65"/>
      <c r="AM37" s="176"/>
      <c r="AN37" s="176"/>
      <c r="AO37" s="176"/>
      <c r="AP37" s="176"/>
      <c r="AQ37" s="177" t="s">
        <v>97</v>
      </c>
      <c r="AR37" s="70" t="str">
        <f t="shared" si="5"/>
        <v>KTG.100.0101</v>
      </c>
      <c r="AS37" s="71" t="str">
        <f t="shared" si="6"/>
        <v>KPBS-2.020</v>
      </c>
      <c r="AT37" s="71" t="str">
        <f t="shared" si="6"/>
        <v>A03</v>
      </c>
      <c r="AU37" s="72"/>
      <c r="AV37" s="202">
        <v>0.71085389160000001</v>
      </c>
      <c r="AW37" s="202">
        <v>124.32484096829999</v>
      </c>
      <c r="AX37" s="65" t="s">
        <v>98</v>
      </c>
      <c r="AY37" s="65" t="s">
        <v>94</v>
      </c>
      <c r="AZ37" s="65" t="s">
        <v>94</v>
      </c>
      <c r="BA37" s="73" t="s">
        <v>77</v>
      </c>
      <c r="BB37" s="65" t="s">
        <v>98</v>
      </c>
      <c r="BC37" s="65">
        <v>31</v>
      </c>
      <c r="BD37" s="65" t="s">
        <v>98</v>
      </c>
      <c r="BE37" s="211" t="str">
        <f t="shared" si="1"/>
        <v>420, POYOWA BESAR,</v>
      </c>
    </row>
    <row r="38" spans="1:57" s="211" customFormat="1" ht="15.75" customHeight="1">
      <c r="A38" s="238"/>
      <c r="B38" s="239"/>
      <c r="C38" s="239"/>
      <c r="D38" s="239"/>
      <c r="E38" s="239"/>
      <c r="F38" s="239"/>
      <c r="G38" s="240"/>
      <c r="H38" s="23">
        <v>4</v>
      </c>
      <c r="I38" s="64" t="str">
        <f t="shared" si="15"/>
        <v>MR.KPBS.P051</v>
      </c>
      <c r="J38" s="64">
        <f t="shared" si="15"/>
        <v>0.71073460129999999</v>
      </c>
      <c r="K38" s="64">
        <f t="shared" si="15"/>
        <v>124.3250811522</v>
      </c>
      <c r="L38" s="64" t="str">
        <f t="shared" si="15"/>
        <v>JL. RAYA POYOWA BESAR</v>
      </c>
      <c r="M38" s="64" t="str">
        <f t="shared" si="15"/>
        <v>SULAWESI UTARA</v>
      </c>
      <c r="N38" s="65" t="s">
        <v>105</v>
      </c>
      <c r="O38" s="66" t="s">
        <v>118</v>
      </c>
      <c r="P38" s="65" t="s">
        <v>119</v>
      </c>
      <c r="Q38" s="66">
        <v>95717</v>
      </c>
      <c r="R38" s="67"/>
      <c r="S38" s="68"/>
      <c r="T38" s="68"/>
      <c r="U38" s="68"/>
      <c r="V38" s="68"/>
      <c r="W38" s="65" t="s">
        <v>105</v>
      </c>
      <c r="X38" s="64"/>
      <c r="Y38" s="64" t="s">
        <v>106</v>
      </c>
      <c r="Z38" s="64" t="str">
        <f t="shared" si="3"/>
        <v>KELURAHAN POYOWA BESAR SATU KOTAMOBAGU</v>
      </c>
      <c r="AA38" s="65"/>
      <c r="AB38" s="65"/>
      <c r="AC38" s="65" t="s">
        <v>70</v>
      </c>
      <c r="AD38" s="64" t="str">
        <f t="shared" si="16"/>
        <v>POYOWA BESAR</v>
      </c>
      <c r="AE38" s="67"/>
      <c r="AF38" s="67"/>
      <c r="AG38" s="67"/>
      <c r="AH38" s="67"/>
      <c r="AI38" s="69"/>
      <c r="AJ38" s="11" t="s">
        <v>643</v>
      </c>
      <c r="AK38" s="65" t="s">
        <v>96</v>
      </c>
      <c r="AL38" s="65"/>
      <c r="AM38" s="176"/>
      <c r="AN38" s="176"/>
      <c r="AO38" s="176"/>
      <c r="AP38" s="176"/>
      <c r="AQ38" s="177" t="s">
        <v>97</v>
      </c>
      <c r="AR38" s="70" t="str">
        <f t="shared" si="5"/>
        <v>KTG.100.0101</v>
      </c>
      <c r="AS38" s="71" t="str">
        <f t="shared" si="6"/>
        <v>KPBS-2.020</v>
      </c>
      <c r="AT38" s="71" t="str">
        <f t="shared" si="6"/>
        <v>A03</v>
      </c>
      <c r="AU38" s="72"/>
      <c r="AV38" s="202">
        <v>0.71092568540000001</v>
      </c>
      <c r="AW38" s="202">
        <v>124.3248893948</v>
      </c>
      <c r="AX38" s="65" t="s">
        <v>98</v>
      </c>
      <c r="AY38" s="65" t="s">
        <v>94</v>
      </c>
      <c r="AZ38" s="65" t="s">
        <v>94</v>
      </c>
      <c r="BA38" s="73" t="s">
        <v>77</v>
      </c>
      <c r="BB38" s="65" t="s">
        <v>98</v>
      </c>
      <c r="BC38" s="65">
        <v>31</v>
      </c>
      <c r="BD38" s="65" t="s">
        <v>98</v>
      </c>
      <c r="BE38" s="211" t="str">
        <f t="shared" si="1"/>
        <v>421, POYOWA BESAR,</v>
      </c>
    </row>
    <row r="39" spans="1:57" s="211" customFormat="1" ht="15.75" customHeight="1">
      <c r="A39" s="238"/>
      <c r="B39" s="239"/>
      <c r="C39" s="239"/>
      <c r="D39" s="239"/>
      <c r="E39" s="239"/>
      <c r="F39" s="239"/>
      <c r="G39" s="240"/>
      <c r="H39" s="23">
        <v>5</v>
      </c>
      <c r="I39" s="64" t="str">
        <f t="shared" si="15"/>
        <v>MR.KPBS.P051</v>
      </c>
      <c r="J39" s="64">
        <f t="shared" si="15"/>
        <v>0.71073460129999999</v>
      </c>
      <c r="K39" s="64">
        <f t="shared" si="15"/>
        <v>124.3250811522</v>
      </c>
      <c r="L39" s="64" t="str">
        <f t="shared" si="15"/>
        <v>JL. RAYA POYOWA BESAR</v>
      </c>
      <c r="M39" s="64" t="str">
        <f t="shared" si="15"/>
        <v>SULAWESI UTARA</v>
      </c>
      <c r="N39" s="65" t="s">
        <v>105</v>
      </c>
      <c r="O39" s="66" t="s">
        <v>118</v>
      </c>
      <c r="P39" s="65" t="s">
        <v>119</v>
      </c>
      <c r="Q39" s="66">
        <v>95717</v>
      </c>
      <c r="R39" s="67"/>
      <c r="S39" s="68"/>
      <c r="T39" s="68"/>
      <c r="U39" s="68"/>
      <c r="V39" s="68"/>
      <c r="W39" s="65" t="s">
        <v>105</v>
      </c>
      <c r="X39" s="64"/>
      <c r="Y39" s="64" t="s">
        <v>106</v>
      </c>
      <c r="Z39" s="64" t="str">
        <f t="shared" si="3"/>
        <v>KELURAHAN POYOWA BESAR SATU KOTAMOBAGU</v>
      </c>
      <c r="AA39" s="65"/>
      <c r="AB39" s="65"/>
      <c r="AC39" s="65" t="s">
        <v>70</v>
      </c>
      <c r="AD39" s="64" t="str">
        <f t="shared" si="16"/>
        <v>POYOWA BESAR</v>
      </c>
      <c r="AE39" s="67"/>
      <c r="AF39" s="67"/>
      <c r="AG39" s="67"/>
      <c r="AH39" s="67"/>
      <c r="AI39" s="69"/>
      <c r="AJ39" s="11" t="s">
        <v>644</v>
      </c>
      <c r="AK39" s="65" t="s">
        <v>96</v>
      </c>
      <c r="AL39" s="65"/>
      <c r="AM39" s="176"/>
      <c r="AN39" s="176"/>
      <c r="AO39" s="176"/>
      <c r="AP39" s="176"/>
      <c r="AQ39" s="177" t="s">
        <v>97</v>
      </c>
      <c r="AR39" s="70" t="str">
        <f t="shared" si="5"/>
        <v>KTG.100.0101</v>
      </c>
      <c r="AS39" s="71" t="str">
        <f t="shared" si="6"/>
        <v>KPBS-2.020</v>
      </c>
      <c r="AT39" s="71" t="str">
        <f t="shared" si="6"/>
        <v>A03</v>
      </c>
      <c r="AU39" s="72"/>
      <c r="AV39" s="202">
        <v>0.71061885869999997</v>
      </c>
      <c r="AW39" s="202">
        <v>124.32494091229999</v>
      </c>
      <c r="AX39" s="65" t="s">
        <v>98</v>
      </c>
      <c r="AY39" s="65" t="s">
        <v>94</v>
      </c>
      <c r="AZ39" s="65" t="s">
        <v>94</v>
      </c>
      <c r="BA39" s="73" t="s">
        <v>77</v>
      </c>
      <c r="BB39" s="65" t="s">
        <v>98</v>
      </c>
      <c r="BC39" s="65">
        <v>31</v>
      </c>
      <c r="BD39" s="65" t="s">
        <v>98</v>
      </c>
      <c r="BE39" s="211" t="str">
        <f t="shared" si="1"/>
        <v>505, POYOWA BESAR,</v>
      </c>
    </row>
    <row r="40" spans="1:57" s="211" customFormat="1" ht="15.75" customHeight="1">
      <c r="A40" s="238"/>
      <c r="B40" s="239"/>
      <c r="C40" s="239"/>
      <c r="D40" s="239"/>
      <c r="E40" s="239"/>
      <c r="F40" s="239"/>
      <c r="G40" s="240"/>
      <c r="H40" s="23">
        <v>6</v>
      </c>
      <c r="I40" s="64" t="str">
        <f t="shared" ref="I40:M40" si="17">I39</f>
        <v>MR.KPBS.P051</v>
      </c>
      <c r="J40" s="64">
        <f t="shared" si="17"/>
        <v>0.71073460129999999</v>
      </c>
      <c r="K40" s="64">
        <f t="shared" si="17"/>
        <v>124.3250811522</v>
      </c>
      <c r="L40" s="64" t="str">
        <f t="shared" si="17"/>
        <v>JL. RAYA POYOWA BESAR</v>
      </c>
      <c r="M40" s="64" t="str">
        <f t="shared" si="17"/>
        <v>SULAWESI UTARA</v>
      </c>
      <c r="N40" s="65" t="s">
        <v>105</v>
      </c>
      <c r="O40" s="66" t="s">
        <v>118</v>
      </c>
      <c r="P40" s="65" t="s">
        <v>119</v>
      </c>
      <c r="Q40" s="66">
        <v>95717</v>
      </c>
      <c r="R40" s="67"/>
      <c r="S40" s="68"/>
      <c r="T40" s="68"/>
      <c r="U40" s="68"/>
      <c r="V40" s="68"/>
      <c r="W40" s="65" t="s">
        <v>105</v>
      </c>
      <c r="X40" s="64"/>
      <c r="Y40" s="64" t="s">
        <v>106</v>
      </c>
      <c r="Z40" s="64" t="str">
        <f t="shared" ref="Z40:Z42" si="18">Z39</f>
        <v>KELURAHAN POYOWA BESAR SATU KOTAMOBAGU</v>
      </c>
      <c r="AA40" s="65"/>
      <c r="AB40" s="65"/>
      <c r="AC40" s="65" t="s">
        <v>70</v>
      </c>
      <c r="AD40" s="64" t="str">
        <f t="shared" si="16"/>
        <v>POYOWA BESAR</v>
      </c>
      <c r="AE40" s="67"/>
      <c r="AF40" s="67"/>
      <c r="AG40" s="67"/>
      <c r="AH40" s="67"/>
      <c r="AI40" s="69"/>
      <c r="AJ40" s="11" t="s">
        <v>645</v>
      </c>
      <c r="AK40" s="65" t="s">
        <v>96</v>
      </c>
      <c r="AL40" s="65"/>
      <c r="AM40" s="176"/>
      <c r="AN40" s="176"/>
      <c r="AO40" s="176"/>
      <c r="AP40" s="176"/>
      <c r="AQ40" s="177" t="s">
        <v>97</v>
      </c>
      <c r="AR40" s="70" t="str">
        <f t="shared" si="5"/>
        <v>KTG.100.0101</v>
      </c>
      <c r="AS40" s="71" t="str">
        <f t="shared" ref="AS40:AS42" si="19">AS39</f>
        <v>KPBS-2.020</v>
      </c>
      <c r="AT40" s="71" t="str">
        <f t="shared" ref="AT40:AT42" si="20">AT39</f>
        <v>A03</v>
      </c>
      <c r="AU40" s="72"/>
      <c r="AV40" s="202">
        <v>0.71093492920000001</v>
      </c>
      <c r="AW40" s="202">
        <v>124.3249424334</v>
      </c>
      <c r="AX40" s="65" t="s">
        <v>98</v>
      </c>
      <c r="AY40" s="65" t="s">
        <v>94</v>
      </c>
      <c r="AZ40" s="65" t="s">
        <v>94</v>
      </c>
      <c r="BA40" s="73" t="s">
        <v>77</v>
      </c>
      <c r="BB40" s="65" t="s">
        <v>98</v>
      </c>
      <c r="BC40" s="65">
        <v>31</v>
      </c>
      <c r="BD40" s="65" t="s">
        <v>98</v>
      </c>
      <c r="BE40" s="211" t="str">
        <f t="shared" ref="BE40:BE42" si="21">AJ40&amp;", "&amp;AD40&amp;","&amp;AI40</f>
        <v>422, POYOWA BESAR,</v>
      </c>
    </row>
    <row r="41" spans="1:57" s="211" customFormat="1" ht="15.75" customHeight="1">
      <c r="A41" s="238"/>
      <c r="B41" s="239"/>
      <c r="C41" s="239"/>
      <c r="D41" s="239"/>
      <c r="E41" s="239"/>
      <c r="F41" s="239"/>
      <c r="G41" s="240"/>
      <c r="H41" s="23">
        <v>7</v>
      </c>
      <c r="I41" s="64" t="str">
        <f t="shared" ref="I41:M41" si="22">I40</f>
        <v>MR.KPBS.P051</v>
      </c>
      <c r="J41" s="64">
        <f t="shared" si="22"/>
        <v>0.71073460129999999</v>
      </c>
      <c r="K41" s="64">
        <f t="shared" si="22"/>
        <v>124.3250811522</v>
      </c>
      <c r="L41" s="64" t="str">
        <f t="shared" si="22"/>
        <v>JL. RAYA POYOWA BESAR</v>
      </c>
      <c r="M41" s="64" t="str">
        <f t="shared" si="22"/>
        <v>SULAWESI UTARA</v>
      </c>
      <c r="N41" s="65" t="s">
        <v>105</v>
      </c>
      <c r="O41" s="66" t="s">
        <v>118</v>
      </c>
      <c r="P41" s="65" t="s">
        <v>119</v>
      </c>
      <c r="Q41" s="66">
        <v>95717</v>
      </c>
      <c r="R41" s="67"/>
      <c r="S41" s="68"/>
      <c r="T41" s="68"/>
      <c r="U41" s="68"/>
      <c r="V41" s="68"/>
      <c r="W41" s="65" t="s">
        <v>105</v>
      </c>
      <c r="X41" s="64"/>
      <c r="Y41" s="64" t="s">
        <v>106</v>
      </c>
      <c r="Z41" s="64" t="str">
        <f t="shared" si="18"/>
        <v>KELURAHAN POYOWA BESAR SATU KOTAMOBAGU</v>
      </c>
      <c r="AA41" s="65"/>
      <c r="AB41" s="65"/>
      <c r="AC41" s="65" t="s">
        <v>70</v>
      </c>
      <c r="AD41" s="64" t="str">
        <f t="shared" si="16"/>
        <v>POYOWA BESAR</v>
      </c>
      <c r="AE41" s="67"/>
      <c r="AF41" s="67"/>
      <c r="AG41" s="67"/>
      <c r="AH41" s="67"/>
      <c r="AI41" s="69"/>
      <c r="AJ41" s="11" t="s">
        <v>646</v>
      </c>
      <c r="AK41" s="65" t="s">
        <v>96</v>
      </c>
      <c r="AL41" s="65"/>
      <c r="AM41" s="176"/>
      <c r="AN41" s="176"/>
      <c r="AO41" s="176"/>
      <c r="AP41" s="176"/>
      <c r="AQ41" s="177" t="s">
        <v>97</v>
      </c>
      <c r="AR41" s="70" t="str">
        <f t="shared" si="5"/>
        <v>KTG.100.0101</v>
      </c>
      <c r="AS41" s="71" t="str">
        <f t="shared" si="19"/>
        <v>KPBS-2.020</v>
      </c>
      <c r="AT41" s="71" t="str">
        <f t="shared" si="20"/>
        <v>A03</v>
      </c>
      <c r="AU41" s="72"/>
      <c r="AV41" s="202">
        <v>0.71063665310000002</v>
      </c>
      <c r="AW41" s="202">
        <v>124.3250148969</v>
      </c>
      <c r="AX41" s="65" t="s">
        <v>98</v>
      </c>
      <c r="AY41" s="65" t="s">
        <v>94</v>
      </c>
      <c r="AZ41" s="65" t="s">
        <v>94</v>
      </c>
      <c r="BA41" s="73" t="s">
        <v>77</v>
      </c>
      <c r="BB41" s="65" t="s">
        <v>98</v>
      </c>
      <c r="BC41" s="65">
        <v>31</v>
      </c>
      <c r="BD41" s="65" t="s">
        <v>98</v>
      </c>
      <c r="BE41" s="211" t="str">
        <f t="shared" si="21"/>
        <v>504, POYOWA BESAR,</v>
      </c>
    </row>
    <row r="42" spans="1:57" s="211" customFormat="1" ht="15.75" customHeight="1">
      <c r="A42" s="238"/>
      <c r="B42" s="239"/>
      <c r="C42" s="239"/>
      <c r="D42" s="239"/>
      <c r="E42" s="239"/>
      <c r="F42" s="239"/>
      <c r="G42" s="240"/>
      <c r="H42" s="23">
        <v>8</v>
      </c>
      <c r="I42" s="64" t="str">
        <f t="shared" ref="I42:M42" si="23">I41</f>
        <v>MR.KPBS.P051</v>
      </c>
      <c r="J42" s="64">
        <f t="shared" si="23"/>
        <v>0.71073460129999999</v>
      </c>
      <c r="K42" s="64">
        <f t="shared" si="23"/>
        <v>124.3250811522</v>
      </c>
      <c r="L42" s="64" t="str">
        <f t="shared" si="23"/>
        <v>JL. RAYA POYOWA BESAR</v>
      </c>
      <c r="M42" s="64" t="str">
        <f t="shared" si="23"/>
        <v>SULAWESI UTARA</v>
      </c>
      <c r="N42" s="65" t="s">
        <v>105</v>
      </c>
      <c r="O42" s="66" t="s">
        <v>118</v>
      </c>
      <c r="P42" s="65" t="s">
        <v>119</v>
      </c>
      <c r="Q42" s="66">
        <v>95717</v>
      </c>
      <c r="R42" s="67"/>
      <c r="S42" s="68"/>
      <c r="T42" s="68"/>
      <c r="U42" s="68"/>
      <c r="V42" s="68"/>
      <c r="W42" s="65" t="s">
        <v>105</v>
      </c>
      <c r="X42" s="64"/>
      <c r="Y42" s="64" t="s">
        <v>106</v>
      </c>
      <c r="Z42" s="64" t="str">
        <f t="shared" si="18"/>
        <v>KELURAHAN POYOWA BESAR SATU KOTAMOBAGU</v>
      </c>
      <c r="AA42" s="65"/>
      <c r="AB42" s="65"/>
      <c r="AC42" s="65" t="s">
        <v>70</v>
      </c>
      <c r="AD42" s="64" t="str">
        <f t="shared" si="16"/>
        <v>POYOWA BESAR</v>
      </c>
      <c r="AE42" s="67"/>
      <c r="AF42" s="67"/>
      <c r="AG42" s="67"/>
      <c r="AH42" s="67"/>
      <c r="AI42" s="69"/>
      <c r="AJ42" s="11" t="s">
        <v>647</v>
      </c>
      <c r="AK42" s="65" t="s">
        <v>96</v>
      </c>
      <c r="AL42" s="65"/>
      <c r="AM42" s="176"/>
      <c r="AN42" s="176"/>
      <c r="AO42" s="176"/>
      <c r="AP42" s="176"/>
      <c r="AQ42" s="177" t="s">
        <v>97</v>
      </c>
      <c r="AR42" s="70" t="str">
        <f t="shared" si="5"/>
        <v>KTG.100.0101</v>
      </c>
      <c r="AS42" s="71" t="str">
        <f t="shared" si="19"/>
        <v>KPBS-2.020</v>
      </c>
      <c r="AT42" s="71" t="str">
        <f t="shared" si="20"/>
        <v>A03</v>
      </c>
      <c r="AU42" s="72"/>
      <c r="AV42" s="202">
        <v>0.71061885260000002</v>
      </c>
      <c r="AW42" s="202">
        <v>124.3250962799</v>
      </c>
      <c r="AX42" s="65" t="s">
        <v>98</v>
      </c>
      <c r="AY42" s="65" t="s">
        <v>94</v>
      </c>
      <c r="AZ42" s="65" t="s">
        <v>94</v>
      </c>
      <c r="BA42" s="73" t="s">
        <v>77</v>
      </c>
      <c r="BB42" s="65" t="s">
        <v>98</v>
      </c>
      <c r="BC42" s="65">
        <v>31</v>
      </c>
      <c r="BD42" s="65" t="s">
        <v>98</v>
      </c>
      <c r="BE42" s="211" t="str">
        <f t="shared" si="21"/>
        <v>503, POYOWA BESAR,</v>
      </c>
    </row>
    <row r="43" spans="1:57" s="211" customFormat="1" ht="15.75" customHeight="1">
      <c r="A43" s="238"/>
      <c r="B43" s="239"/>
      <c r="C43" s="239"/>
      <c r="D43" s="239"/>
      <c r="E43" s="239"/>
      <c r="F43" s="239"/>
      <c r="G43" s="240"/>
      <c r="H43" s="23">
        <v>9</v>
      </c>
      <c r="I43" s="64" t="str">
        <f t="shared" ref="I43:M43" si="24">I42</f>
        <v>MR.KPBS.P051</v>
      </c>
      <c r="J43" s="64">
        <f t="shared" si="24"/>
        <v>0.71073460129999999</v>
      </c>
      <c r="K43" s="64">
        <f t="shared" si="24"/>
        <v>124.3250811522</v>
      </c>
      <c r="L43" s="64" t="str">
        <f t="shared" si="24"/>
        <v>JL. RAYA POYOWA BESAR</v>
      </c>
      <c r="M43" s="64" t="str">
        <f t="shared" si="24"/>
        <v>SULAWESI UTARA</v>
      </c>
      <c r="N43" s="65" t="s">
        <v>105</v>
      </c>
      <c r="O43" s="66" t="s">
        <v>118</v>
      </c>
      <c r="P43" s="65" t="s">
        <v>119</v>
      </c>
      <c r="Q43" s="66">
        <v>95717</v>
      </c>
      <c r="R43" s="67"/>
      <c r="S43" s="68"/>
      <c r="T43" s="68"/>
      <c r="U43" s="68"/>
      <c r="V43" s="68"/>
      <c r="W43" s="65" t="s">
        <v>105</v>
      </c>
      <c r="X43" s="64"/>
      <c r="Y43" s="64" t="s">
        <v>106</v>
      </c>
      <c r="Z43" s="64" t="str">
        <f>Z39</f>
        <v>KELURAHAN POYOWA BESAR SATU KOTAMOBAGU</v>
      </c>
      <c r="AA43" s="65"/>
      <c r="AB43" s="65"/>
      <c r="AC43" s="65" t="s">
        <v>70</v>
      </c>
      <c r="AD43" s="64" t="str">
        <f>AD39</f>
        <v>POYOWA BESAR</v>
      </c>
      <c r="AE43" s="67"/>
      <c r="AF43" s="67"/>
      <c r="AG43" s="67"/>
      <c r="AH43" s="67"/>
      <c r="AI43" s="69"/>
      <c r="AJ43" s="11" t="s">
        <v>648</v>
      </c>
      <c r="AK43" s="65" t="s">
        <v>96</v>
      </c>
      <c r="AL43" s="65"/>
      <c r="AM43" s="176"/>
      <c r="AN43" s="176"/>
      <c r="AO43" s="176"/>
      <c r="AP43" s="176"/>
      <c r="AQ43" s="177" t="s">
        <v>97</v>
      </c>
      <c r="AR43" s="70" t="str">
        <f t="shared" si="5"/>
        <v>KTG.100.0101</v>
      </c>
      <c r="AS43" s="71" t="str">
        <f>AS39</f>
        <v>KPBS-2.020</v>
      </c>
      <c r="AT43" s="71" t="str">
        <f>AT39</f>
        <v>A03</v>
      </c>
      <c r="AU43" s="72"/>
      <c r="AV43" s="202">
        <v>0.7108746843</v>
      </c>
      <c r="AW43" s="202">
        <v>124.3250208381</v>
      </c>
      <c r="AX43" s="65" t="s">
        <v>98</v>
      </c>
      <c r="AY43" s="65" t="s">
        <v>94</v>
      </c>
      <c r="AZ43" s="65" t="s">
        <v>94</v>
      </c>
      <c r="BA43" s="73" t="s">
        <v>77</v>
      </c>
      <c r="BB43" s="65" t="s">
        <v>98</v>
      </c>
      <c r="BC43" s="65">
        <v>31</v>
      </c>
      <c r="BD43" s="65" t="s">
        <v>98</v>
      </c>
      <c r="BE43" s="211" t="str">
        <f t="shared" si="1"/>
        <v>423, POYOWA BESAR,</v>
      </c>
    </row>
    <row r="44" spans="1:57" s="211" customFormat="1" ht="15.75" customHeight="1">
      <c r="A44" s="238"/>
      <c r="B44" s="239"/>
      <c r="C44" s="239"/>
      <c r="D44" s="239"/>
      <c r="E44" s="239"/>
      <c r="F44" s="239"/>
      <c r="G44" s="240"/>
      <c r="H44" s="23">
        <v>10</v>
      </c>
      <c r="I44" s="64" t="str">
        <f t="shared" si="15"/>
        <v>MR.KPBS.P051</v>
      </c>
      <c r="J44" s="64">
        <f t="shared" si="15"/>
        <v>0.71073460129999999</v>
      </c>
      <c r="K44" s="64">
        <f t="shared" si="15"/>
        <v>124.3250811522</v>
      </c>
      <c r="L44" s="64" t="str">
        <f t="shared" si="15"/>
        <v>JL. RAYA POYOWA BESAR</v>
      </c>
      <c r="M44" s="64" t="str">
        <f t="shared" si="15"/>
        <v>SULAWESI UTARA</v>
      </c>
      <c r="N44" s="65" t="s">
        <v>105</v>
      </c>
      <c r="O44" s="66" t="s">
        <v>118</v>
      </c>
      <c r="P44" s="65" t="s">
        <v>119</v>
      </c>
      <c r="Q44" s="66">
        <v>95717</v>
      </c>
      <c r="R44" s="67"/>
      <c r="S44" s="68"/>
      <c r="T44" s="68"/>
      <c r="U44" s="68"/>
      <c r="V44" s="68"/>
      <c r="W44" s="65" t="s">
        <v>105</v>
      </c>
      <c r="X44" s="64"/>
      <c r="Y44" s="64" t="s">
        <v>106</v>
      </c>
      <c r="Z44" s="64" t="str">
        <f t="shared" si="3"/>
        <v>KELURAHAN POYOWA BESAR SATU KOTAMOBAGU</v>
      </c>
      <c r="AA44" s="65"/>
      <c r="AB44" s="65"/>
      <c r="AC44" s="65" t="s">
        <v>70</v>
      </c>
      <c r="AD44" s="64" t="str">
        <f t="shared" si="16"/>
        <v>POYOWA BESAR</v>
      </c>
      <c r="AE44" s="67"/>
      <c r="AF44" s="67"/>
      <c r="AG44" s="67"/>
      <c r="AH44" s="67"/>
      <c r="AI44" s="69"/>
      <c r="AJ44" s="11" t="s">
        <v>649</v>
      </c>
      <c r="AK44" s="65" t="s">
        <v>96</v>
      </c>
      <c r="AL44" s="65"/>
      <c r="AM44" s="176"/>
      <c r="AN44" s="176"/>
      <c r="AO44" s="176"/>
      <c r="AP44" s="176"/>
      <c r="AQ44" s="177" t="s">
        <v>97</v>
      </c>
      <c r="AR44" s="70" t="str">
        <f t="shared" si="5"/>
        <v>KTG.100.0101</v>
      </c>
      <c r="AS44" s="71" t="str">
        <f t="shared" si="6"/>
        <v>KPBS-2.020</v>
      </c>
      <c r="AT44" s="71" t="str">
        <f t="shared" si="6"/>
        <v>A03</v>
      </c>
      <c r="AU44" s="72"/>
      <c r="AV44" s="202">
        <v>0.71089564279999995</v>
      </c>
      <c r="AW44" s="202">
        <v>124.3250923248</v>
      </c>
      <c r="AX44" s="65" t="s">
        <v>98</v>
      </c>
      <c r="AY44" s="65" t="s">
        <v>94</v>
      </c>
      <c r="AZ44" s="65" t="s">
        <v>94</v>
      </c>
      <c r="BA44" s="73" t="s">
        <v>77</v>
      </c>
      <c r="BB44" s="65" t="s">
        <v>98</v>
      </c>
      <c r="BC44" s="65">
        <v>31</v>
      </c>
      <c r="BD44" s="65" t="s">
        <v>98</v>
      </c>
      <c r="BE44" s="211" t="str">
        <f t="shared" si="1"/>
        <v>424, POYOWA BESAR,</v>
      </c>
    </row>
    <row r="45" spans="1:57" s="211" customFormat="1" ht="15.75" customHeight="1">
      <c r="A45" s="238"/>
      <c r="B45" s="239"/>
      <c r="C45" s="239"/>
      <c r="D45" s="239"/>
      <c r="E45" s="239"/>
      <c r="F45" s="239"/>
      <c r="G45" s="240"/>
      <c r="H45" s="23">
        <v>11</v>
      </c>
      <c r="I45" s="64" t="str">
        <f t="shared" si="15"/>
        <v>MR.KPBS.P051</v>
      </c>
      <c r="J45" s="64">
        <f t="shared" si="15"/>
        <v>0.71073460129999999</v>
      </c>
      <c r="K45" s="64">
        <f t="shared" si="15"/>
        <v>124.3250811522</v>
      </c>
      <c r="L45" s="64" t="str">
        <f t="shared" si="15"/>
        <v>JL. RAYA POYOWA BESAR</v>
      </c>
      <c r="M45" s="64" t="str">
        <f t="shared" si="15"/>
        <v>SULAWESI UTARA</v>
      </c>
      <c r="N45" s="65" t="s">
        <v>105</v>
      </c>
      <c r="O45" s="66" t="s">
        <v>118</v>
      </c>
      <c r="P45" s="65" t="s">
        <v>119</v>
      </c>
      <c r="Q45" s="66">
        <v>95717</v>
      </c>
      <c r="R45" s="67"/>
      <c r="S45" s="68"/>
      <c r="T45" s="68"/>
      <c r="U45" s="68"/>
      <c r="V45" s="68"/>
      <c r="W45" s="65" t="s">
        <v>105</v>
      </c>
      <c r="X45" s="64"/>
      <c r="Y45" s="64" t="s">
        <v>106</v>
      </c>
      <c r="Z45" s="64" t="str">
        <f t="shared" si="3"/>
        <v>KELURAHAN POYOWA BESAR SATU KOTAMOBAGU</v>
      </c>
      <c r="AA45" s="65"/>
      <c r="AB45" s="65"/>
      <c r="AC45" s="65" t="s">
        <v>70</v>
      </c>
      <c r="AD45" s="64" t="str">
        <f t="shared" si="16"/>
        <v>POYOWA BESAR</v>
      </c>
      <c r="AE45" s="67"/>
      <c r="AF45" s="67"/>
      <c r="AG45" s="67"/>
      <c r="AH45" s="67"/>
      <c r="AI45" s="69"/>
      <c r="AJ45" s="11" t="s">
        <v>650</v>
      </c>
      <c r="AK45" s="65" t="s">
        <v>96</v>
      </c>
      <c r="AL45" s="65"/>
      <c r="AM45" s="176"/>
      <c r="AN45" s="176"/>
      <c r="AO45" s="176"/>
      <c r="AP45" s="176"/>
      <c r="AQ45" s="177" t="s">
        <v>97</v>
      </c>
      <c r="AR45" s="70" t="str">
        <f t="shared" si="5"/>
        <v>KTG.100.0101</v>
      </c>
      <c r="AS45" s="71" t="str">
        <f t="shared" si="6"/>
        <v>KPBS-2.020</v>
      </c>
      <c r="AT45" s="71" t="str">
        <f t="shared" si="6"/>
        <v>A03</v>
      </c>
      <c r="AU45" s="72"/>
      <c r="AV45" s="202">
        <v>0.71066186180000002</v>
      </c>
      <c r="AW45" s="202">
        <v>124.3251673051</v>
      </c>
      <c r="AX45" s="65" t="s">
        <v>98</v>
      </c>
      <c r="AY45" s="65" t="s">
        <v>94</v>
      </c>
      <c r="AZ45" s="65" t="s">
        <v>94</v>
      </c>
      <c r="BA45" s="73" t="s">
        <v>77</v>
      </c>
      <c r="BB45" s="65" t="s">
        <v>98</v>
      </c>
      <c r="BC45" s="65">
        <v>31</v>
      </c>
      <c r="BD45" s="65" t="s">
        <v>98</v>
      </c>
      <c r="BE45" s="211" t="str">
        <f t="shared" si="1"/>
        <v>502, POYOWA BESAR,</v>
      </c>
    </row>
    <row r="46" spans="1:57" s="211" customFormat="1" ht="15.75" customHeight="1">
      <c r="A46" s="238"/>
      <c r="B46" s="239"/>
      <c r="C46" s="239"/>
      <c r="D46" s="239"/>
      <c r="E46" s="239"/>
      <c r="F46" s="239"/>
      <c r="G46" s="240"/>
      <c r="H46" s="23">
        <v>12</v>
      </c>
      <c r="I46" s="64" t="str">
        <f t="shared" si="15"/>
        <v>MR.KPBS.P051</v>
      </c>
      <c r="J46" s="64">
        <f t="shared" si="15"/>
        <v>0.71073460129999999</v>
      </c>
      <c r="K46" s="64">
        <f t="shared" si="15"/>
        <v>124.3250811522</v>
      </c>
      <c r="L46" s="64" t="str">
        <f t="shared" si="15"/>
        <v>JL. RAYA POYOWA BESAR</v>
      </c>
      <c r="M46" s="64" t="str">
        <f t="shared" si="15"/>
        <v>SULAWESI UTARA</v>
      </c>
      <c r="N46" s="65" t="s">
        <v>105</v>
      </c>
      <c r="O46" s="66" t="s">
        <v>118</v>
      </c>
      <c r="P46" s="65" t="s">
        <v>119</v>
      </c>
      <c r="Q46" s="66">
        <v>95717</v>
      </c>
      <c r="R46" s="67"/>
      <c r="S46" s="68"/>
      <c r="T46" s="68"/>
      <c r="U46" s="68"/>
      <c r="V46" s="68"/>
      <c r="W46" s="65" t="s">
        <v>105</v>
      </c>
      <c r="X46" s="64"/>
      <c r="Y46" s="64" t="s">
        <v>106</v>
      </c>
      <c r="Z46" s="64" t="str">
        <f t="shared" si="3"/>
        <v>KELURAHAN POYOWA BESAR SATU KOTAMOBAGU</v>
      </c>
      <c r="AA46" s="65"/>
      <c r="AB46" s="65"/>
      <c r="AC46" s="65" t="s">
        <v>70</v>
      </c>
      <c r="AD46" s="64" t="str">
        <f t="shared" si="16"/>
        <v>POYOWA BESAR</v>
      </c>
      <c r="AE46" s="67"/>
      <c r="AF46" s="67"/>
      <c r="AG46" s="67"/>
      <c r="AH46" s="67"/>
      <c r="AI46" s="69"/>
      <c r="AJ46" s="11" t="s">
        <v>651</v>
      </c>
      <c r="AK46" s="65" t="s">
        <v>96</v>
      </c>
      <c r="AL46" s="65"/>
      <c r="AM46" s="176"/>
      <c r="AN46" s="176"/>
      <c r="AO46" s="176"/>
      <c r="AP46" s="176"/>
      <c r="AQ46" s="177" t="s">
        <v>97</v>
      </c>
      <c r="AR46" s="70" t="str">
        <f t="shared" si="5"/>
        <v>KTG.100.0101</v>
      </c>
      <c r="AS46" s="71" t="str">
        <f t="shared" si="6"/>
        <v>KPBS-2.020</v>
      </c>
      <c r="AT46" s="71" t="str">
        <f t="shared" si="6"/>
        <v>A03</v>
      </c>
      <c r="AU46" s="72"/>
      <c r="AV46" s="202">
        <v>0.71064555029999998</v>
      </c>
      <c r="AW46" s="202">
        <v>124.32523981</v>
      </c>
      <c r="AX46" s="65" t="s">
        <v>98</v>
      </c>
      <c r="AY46" s="65" t="s">
        <v>94</v>
      </c>
      <c r="AZ46" s="65" t="s">
        <v>94</v>
      </c>
      <c r="BA46" s="73" t="s">
        <v>77</v>
      </c>
      <c r="BB46" s="65" t="s">
        <v>98</v>
      </c>
      <c r="BC46" s="65">
        <v>31</v>
      </c>
      <c r="BD46" s="65" t="s">
        <v>98</v>
      </c>
      <c r="BE46" s="211" t="str">
        <f t="shared" si="1"/>
        <v>501, POYOWA BESAR,</v>
      </c>
    </row>
    <row r="47" spans="1:57" s="211" customFormat="1" ht="15.75" customHeight="1">
      <c r="A47" s="238"/>
      <c r="B47" s="239"/>
      <c r="C47" s="239"/>
      <c r="D47" s="239"/>
      <c r="E47" s="239"/>
      <c r="F47" s="239"/>
      <c r="G47" s="240"/>
      <c r="H47" s="23">
        <v>13</v>
      </c>
      <c r="I47" s="64" t="str">
        <f t="shared" si="15"/>
        <v>MR.KPBS.P051</v>
      </c>
      <c r="J47" s="64">
        <f t="shared" si="15"/>
        <v>0.71073460129999999</v>
      </c>
      <c r="K47" s="64">
        <f t="shared" si="15"/>
        <v>124.3250811522</v>
      </c>
      <c r="L47" s="64" t="str">
        <f t="shared" si="15"/>
        <v>JL. RAYA POYOWA BESAR</v>
      </c>
      <c r="M47" s="64" t="str">
        <f t="shared" si="15"/>
        <v>SULAWESI UTARA</v>
      </c>
      <c r="N47" s="65" t="s">
        <v>105</v>
      </c>
      <c r="O47" s="66" t="s">
        <v>118</v>
      </c>
      <c r="P47" s="65" t="s">
        <v>119</v>
      </c>
      <c r="Q47" s="66">
        <v>95717</v>
      </c>
      <c r="R47" s="67"/>
      <c r="S47" s="68"/>
      <c r="T47" s="68"/>
      <c r="U47" s="68"/>
      <c r="V47" s="68"/>
      <c r="W47" s="65" t="s">
        <v>105</v>
      </c>
      <c r="X47" s="64"/>
      <c r="Y47" s="64" t="s">
        <v>106</v>
      </c>
      <c r="Z47" s="64" t="str">
        <f t="shared" si="3"/>
        <v>KELURAHAN POYOWA BESAR SATU KOTAMOBAGU</v>
      </c>
      <c r="AA47" s="65"/>
      <c r="AB47" s="65"/>
      <c r="AC47" s="65" t="s">
        <v>70</v>
      </c>
      <c r="AD47" s="64" t="str">
        <f t="shared" si="16"/>
        <v>POYOWA BESAR</v>
      </c>
      <c r="AE47" s="67"/>
      <c r="AF47" s="67"/>
      <c r="AG47" s="67"/>
      <c r="AH47" s="67"/>
      <c r="AI47" s="69"/>
      <c r="AJ47" s="11" t="s">
        <v>652</v>
      </c>
      <c r="AK47" s="65" t="s">
        <v>96</v>
      </c>
      <c r="AL47" s="65"/>
      <c r="AM47" s="176"/>
      <c r="AN47" s="176"/>
      <c r="AO47" s="176"/>
      <c r="AP47" s="176"/>
      <c r="AQ47" s="177" t="s">
        <v>97</v>
      </c>
      <c r="AR47" s="70" t="str">
        <f t="shared" si="5"/>
        <v>KTG.100.0101</v>
      </c>
      <c r="AS47" s="71" t="str">
        <f t="shared" si="6"/>
        <v>KPBS-2.020</v>
      </c>
      <c r="AT47" s="71" t="str">
        <f t="shared" si="6"/>
        <v>A03</v>
      </c>
      <c r="AU47" s="72"/>
      <c r="AV47" s="202">
        <v>0.71067669040000003</v>
      </c>
      <c r="AW47" s="202">
        <v>124.325306396</v>
      </c>
      <c r="AX47" s="65" t="s">
        <v>98</v>
      </c>
      <c r="AY47" s="65" t="s">
        <v>94</v>
      </c>
      <c r="AZ47" s="65" t="s">
        <v>94</v>
      </c>
      <c r="BA47" s="73" t="s">
        <v>77</v>
      </c>
      <c r="BB47" s="65" t="s">
        <v>98</v>
      </c>
      <c r="BC47" s="65">
        <v>31</v>
      </c>
      <c r="BD47" s="65" t="s">
        <v>98</v>
      </c>
      <c r="BE47" s="211" t="str">
        <f t="shared" si="1"/>
        <v>500, POYOWA BESAR,</v>
      </c>
    </row>
    <row r="48" spans="1:57" s="211" customFormat="1" ht="15.75" customHeight="1">
      <c r="A48" s="238"/>
      <c r="B48" s="239"/>
      <c r="C48" s="239"/>
      <c r="D48" s="239"/>
      <c r="E48" s="239"/>
      <c r="F48" s="239"/>
      <c r="G48" s="240"/>
      <c r="H48" s="23">
        <v>14</v>
      </c>
      <c r="I48" s="64" t="str">
        <f t="shared" si="15"/>
        <v>MR.KPBS.P051</v>
      </c>
      <c r="J48" s="64">
        <f t="shared" si="15"/>
        <v>0.71073460129999999</v>
      </c>
      <c r="K48" s="64">
        <f t="shared" si="15"/>
        <v>124.3250811522</v>
      </c>
      <c r="L48" s="64" t="str">
        <f t="shared" si="15"/>
        <v>JL. RAYA POYOWA BESAR</v>
      </c>
      <c r="M48" s="64" t="str">
        <f t="shared" si="15"/>
        <v>SULAWESI UTARA</v>
      </c>
      <c r="N48" s="65" t="s">
        <v>105</v>
      </c>
      <c r="O48" s="66" t="s">
        <v>118</v>
      </c>
      <c r="P48" s="65" t="s">
        <v>119</v>
      </c>
      <c r="Q48" s="66">
        <v>95717</v>
      </c>
      <c r="R48" s="67"/>
      <c r="S48" s="68"/>
      <c r="T48" s="68"/>
      <c r="U48" s="68"/>
      <c r="V48" s="68"/>
      <c r="W48" s="65" t="s">
        <v>105</v>
      </c>
      <c r="X48" s="64"/>
      <c r="Y48" s="64" t="s">
        <v>106</v>
      </c>
      <c r="Z48" s="64" t="str">
        <f t="shared" si="3"/>
        <v>KELURAHAN POYOWA BESAR SATU KOTAMOBAGU</v>
      </c>
      <c r="AA48" s="65"/>
      <c r="AB48" s="65"/>
      <c r="AC48" s="65" t="s">
        <v>70</v>
      </c>
      <c r="AD48" s="64" t="str">
        <f t="shared" si="16"/>
        <v>POYOWA BESAR</v>
      </c>
      <c r="AE48" s="67"/>
      <c r="AF48" s="67"/>
      <c r="AG48" s="67"/>
      <c r="AH48" s="67"/>
      <c r="AI48" s="69"/>
      <c r="AJ48" s="11" t="s">
        <v>653</v>
      </c>
      <c r="AK48" s="65" t="s">
        <v>96</v>
      </c>
      <c r="AL48" s="65"/>
      <c r="AM48" s="176"/>
      <c r="AN48" s="176"/>
      <c r="AO48" s="176"/>
      <c r="AP48" s="176"/>
      <c r="AQ48" s="177" t="s">
        <v>97</v>
      </c>
      <c r="AR48" s="70" t="str">
        <f t="shared" si="5"/>
        <v>KTG.100.0101</v>
      </c>
      <c r="AS48" s="71" t="str">
        <f>AS36</f>
        <v>KPBS-2.020</v>
      </c>
      <c r="AT48" s="71" t="str">
        <f t="shared" si="6"/>
        <v>A03</v>
      </c>
      <c r="AU48" s="72"/>
      <c r="AV48" s="202">
        <v>0.71063813600000003</v>
      </c>
      <c r="AW48" s="202">
        <v>124.3253996166</v>
      </c>
      <c r="AX48" s="65" t="s">
        <v>98</v>
      </c>
      <c r="AY48" s="65" t="s">
        <v>94</v>
      </c>
      <c r="AZ48" s="65" t="s">
        <v>94</v>
      </c>
      <c r="BA48" s="73" t="s">
        <v>77</v>
      </c>
      <c r="BB48" s="65" t="s">
        <v>98</v>
      </c>
      <c r="BC48" s="65">
        <v>31</v>
      </c>
      <c r="BD48" s="65" t="s">
        <v>98</v>
      </c>
      <c r="BE48" s="211" t="str">
        <f t="shared" si="1"/>
        <v>499, POYOWA BESAR,</v>
      </c>
    </row>
    <row r="49" spans="1:57" s="211" customFormat="1" ht="15.75" customHeight="1">
      <c r="A49" s="238"/>
      <c r="B49" s="239"/>
      <c r="C49" s="239"/>
      <c r="D49" s="239"/>
      <c r="E49" s="239"/>
      <c r="F49" s="239"/>
      <c r="G49" s="240"/>
      <c r="H49" s="23">
        <v>15</v>
      </c>
      <c r="I49" s="64" t="str">
        <f t="shared" si="15"/>
        <v>MR.KPBS.P051</v>
      </c>
      <c r="J49" s="64">
        <f t="shared" si="15"/>
        <v>0.71073460129999999</v>
      </c>
      <c r="K49" s="64">
        <f t="shared" si="15"/>
        <v>124.3250811522</v>
      </c>
      <c r="L49" s="64" t="str">
        <f t="shared" si="15"/>
        <v>JL. RAYA POYOWA BESAR</v>
      </c>
      <c r="M49" s="64" t="str">
        <f t="shared" si="15"/>
        <v>SULAWESI UTARA</v>
      </c>
      <c r="N49" s="65" t="s">
        <v>105</v>
      </c>
      <c r="O49" s="66" t="s">
        <v>118</v>
      </c>
      <c r="P49" s="65" t="s">
        <v>119</v>
      </c>
      <c r="Q49" s="66">
        <v>95717</v>
      </c>
      <c r="R49" s="67"/>
      <c r="S49" s="68"/>
      <c r="T49" s="68"/>
      <c r="U49" s="68"/>
      <c r="V49" s="68"/>
      <c r="W49" s="65" t="s">
        <v>105</v>
      </c>
      <c r="X49" s="64"/>
      <c r="Y49" s="64" t="s">
        <v>106</v>
      </c>
      <c r="Z49" s="64" t="str">
        <f t="shared" si="3"/>
        <v>KELURAHAN POYOWA BESAR SATU KOTAMOBAGU</v>
      </c>
      <c r="AA49" s="65"/>
      <c r="AB49" s="65"/>
      <c r="AC49" s="65" t="s">
        <v>70</v>
      </c>
      <c r="AD49" s="64" t="str">
        <f t="shared" si="16"/>
        <v>POYOWA BESAR</v>
      </c>
      <c r="AE49" s="67"/>
      <c r="AF49" s="67"/>
      <c r="AG49" s="67"/>
      <c r="AH49" s="67"/>
      <c r="AI49" s="69"/>
      <c r="AJ49" s="11" t="s">
        <v>654</v>
      </c>
      <c r="AK49" s="65" t="s">
        <v>96</v>
      </c>
      <c r="AL49" s="65"/>
      <c r="AM49" s="176"/>
      <c r="AN49" s="176"/>
      <c r="AO49" s="176"/>
      <c r="AP49" s="176"/>
      <c r="AQ49" s="177" t="s">
        <v>97</v>
      </c>
      <c r="AR49" s="70" t="str">
        <f t="shared" si="5"/>
        <v>KTG.100.0101</v>
      </c>
      <c r="AS49" s="71" t="str">
        <f t="shared" si="6"/>
        <v>KPBS-2.020</v>
      </c>
      <c r="AT49" s="71" t="str">
        <f t="shared" si="6"/>
        <v>A03</v>
      </c>
      <c r="AU49" s="72"/>
      <c r="AV49" s="202">
        <v>0.71092553179999995</v>
      </c>
      <c r="AW49" s="202">
        <v>124.3252399105</v>
      </c>
      <c r="AX49" s="65" t="s">
        <v>98</v>
      </c>
      <c r="AY49" s="65" t="s">
        <v>94</v>
      </c>
      <c r="AZ49" s="65" t="s">
        <v>94</v>
      </c>
      <c r="BA49" s="73" t="s">
        <v>77</v>
      </c>
      <c r="BB49" s="65" t="s">
        <v>98</v>
      </c>
      <c r="BC49" s="65">
        <v>31</v>
      </c>
      <c r="BD49" s="65" t="s">
        <v>98</v>
      </c>
      <c r="BE49" s="211" t="str">
        <f t="shared" si="1"/>
        <v>426, POYOWA BESAR,</v>
      </c>
    </row>
    <row r="50" spans="1:57" s="211" customFormat="1" ht="15.75" customHeight="1">
      <c r="A50" s="238"/>
      <c r="B50" s="239"/>
      <c r="C50" s="239"/>
      <c r="D50" s="239"/>
      <c r="E50" s="239"/>
      <c r="F50" s="239"/>
      <c r="G50" s="240"/>
      <c r="H50" s="23">
        <v>16</v>
      </c>
      <c r="I50" s="64" t="str">
        <f t="shared" si="15"/>
        <v>MR.KPBS.P051</v>
      </c>
      <c r="J50" s="64">
        <f t="shared" si="15"/>
        <v>0.71073460129999999</v>
      </c>
      <c r="K50" s="64">
        <f t="shared" si="15"/>
        <v>124.3250811522</v>
      </c>
      <c r="L50" s="64" t="str">
        <f t="shared" si="15"/>
        <v>JL. RAYA POYOWA BESAR</v>
      </c>
      <c r="M50" s="64" t="str">
        <f t="shared" si="15"/>
        <v>SULAWESI UTARA</v>
      </c>
      <c r="N50" s="65" t="s">
        <v>105</v>
      </c>
      <c r="O50" s="66" t="s">
        <v>118</v>
      </c>
      <c r="P50" s="65" t="s">
        <v>119</v>
      </c>
      <c r="Q50" s="66">
        <v>95717</v>
      </c>
      <c r="R50" s="67"/>
      <c r="S50" s="68"/>
      <c r="T50" s="74"/>
      <c r="U50" s="74"/>
      <c r="V50" s="74"/>
      <c r="W50" s="65" t="s">
        <v>105</v>
      </c>
      <c r="X50" s="64"/>
      <c r="Y50" s="64" t="s">
        <v>106</v>
      </c>
      <c r="Z50" s="64" t="str">
        <f t="shared" si="3"/>
        <v>KELURAHAN POYOWA BESAR SATU KOTAMOBAGU</v>
      </c>
      <c r="AA50" s="65"/>
      <c r="AB50" s="65"/>
      <c r="AC50" s="65" t="s">
        <v>70</v>
      </c>
      <c r="AD50" s="64" t="str">
        <f t="shared" si="16"/>
        <v>POYOWA BESAR</v>
      </c>
      <c r="AE50" s="75"/>
      <c r="AF50" s="75"/>
      <c r="AG50" s="75"/>
      <c r="AH50" s="75"/>
      <c r="AI50" s="69"/>
      <c r="AJ50" s="11" t="s">
        <v>655</v>
      </c>
      <c r="AK50" s="65" t="s">
        <v>96</v>
      </c>
      <c r="AL50" s="65"/>
      <c r="AM50" s="176"/>
      <c r="AN50" s="176"/>
      <c r="AO50" s="176"/>
      <c r="AP50" s="176"/>
      <c r="AQ50" s="186" t="s">
        <v>97</v>
      </c>
      <c r="AR50" s="70" t="str">
        <f t="shared" si="5"/>
        <v>KTG.100.0101</v>
      </c>
      <c r="AS50" s="71" t="str">
        <f t="shared" si="6"/>
        <v>KPBS-2.020</v>
      </c>
      <c r="AT50" s="71" t="str">
        <f t="shared" si="6"/>
        <v>A03</v>
      </c>
      <c r="AU50" s="72"/>
      <c r="AV50" s="202">
        <v>0.71092553179999995</v>
      </c>
      <c r="AW50" s="202">
        <v>124.32516381160001</v>
      </c>
      <c r="AX50" s="65" t="s">
        <v>98</v>
      </c>
      <c r="AY50" s="65" t="s">
        <v>94</v>
      </c>
      <c r="AZ50" s="65" t="s">
        <v>94</v>
      </c>
      <c r="BA50" s="73" t="s">
        <v>77</v>
      </c>
      <c r="BB50" s="65" t="s">
        <v>98</v>
      </c>
      <c r="BC50" s="65">
        <v>31</v>
      </c>
      <c r="BD50" s="65" t="s">
        <v>98</v>
      </c>
      <c r="BE50" s="211" t="str">
        <f t="shared" si="1"/>
        <v>425, POYOWA BESAR,</v>
      </c>
    </row>
    <row r="51" spans="1:57" s="211" customFormat="1" ht="15.75" customHeight="1">
      <c r="A51" s="36" t="s">
        <v>67</v>
      </c>
      <c r="B51" s="36">
        <f>B35+1</f>
        <v>4</v>
      </c>
      <c r="C51" s="33" t="s">
        <v>68</v>
      </c>
      <c r="D51" s="37" t="s">
        <v>348</v>
      </c>
      <c r="E51" s="38">
        <v>1</v>
      </c>
      <c r="F51" s="39">
        <f>F36+1</f>
        <v>7</v>
      </c>
      <c r="G51" s="213" t="s">
        <v>73</v>
      </c>
      <c r="H51" s="35">
        <v>1</v>
      </c>
      <c r="I51" s="48" t="s">
        <v>333</v>
      </c>
      <c r="J51" s="54">
        <v>0.71066174999999998</v>
      </c>
      <c r="K51" s="54">
        <v>124.3245514427</v>
      </c>
      <c r="L51" s="112" t="s">
        <v>116</v>
      </c>
      <c r="M51" s="56" t="str">
        <f t="shared" si="15"/>
        <v>SULAWESI UTARA</v>
      </c>
      <c r="N51" s="76" t="s">
        <v>105</v>
      </c>
      <c r="O51" s="49" t="s">
        <v>118</v>
      </c>
      <c r="P51" s="76" t="s">
        <v>119</v>
      </c>
      <c r="Q51" s="49">
        <v>95717</v>
      </c>
      <c r="R51" s="51"/>
      <c r="S51" s="52"/>
      <c r="T51" s="53"/>
      <c r="U51" s="52"/>
      <c r="V51" s="53"/>
      <c r="W51" s="50" t="s">
        <v>105</v>
      </c>
      <c r="X51" s="54"/>
      <c r="Y51" s="56" t="s">
        <v>106</v>
      </c>
      <c r="Z51" s="56" t="str">
        <f t="shared" si="3"/>
        <v>KELURAHAN POYOWA BESAR SATU KOTAMOBAGU</v>
      </c>
      <c r="AA51" s="55"/>
      <c r="AB51" s="55"/>
      <c r="AC51" s="55" t="s">
        <v>70</v>
      </c>
      <c r="AD51" s="116" t="s">
        <v>119</v>
      </c>
      <c r="AE51" s="57"/>
      <c r="AF51" s="57"/>
      <c r="AG51" s="57"/>
      <c r="AH51" s="57"/>
      <c r="AI51" s="58"/>
      <c r="AJ51" s="114" t="s">
        <v>656</v>
      </c>
      <c r="AK51" s="55" t="s">
        <v>96</v>
      </c>
      <c r="AL51" s="62"/>
      <c r="AM51" s="184"/>
      <c r="AN51" s="184"/>
      <c r="AO51" s="184"/>
      <c r="AP51" s="184"/>
      <c r="AQ51" s="185" t="s">
        <v>97</v>
      </c>
      <c r="AR51" s="59" t="str">
        <f t="shared" si="5"/>
        <v>KTG.100.0101</v>
      </c>
      <c r="AS51" s="60" t="str">
        <f>AS35</f>
        <v>KPBS-2.020</v>
      </c>
      <c r="AT51" s="60" t="str">
        <f>G51</f>
        <v>A04</v>
      </c>
      <c r="AU51" s="61"/>
      <c r="AV51" s="201">
        <v>0.71052692100000003</v>
      </c>
      <c r="AW51" s="201">
        <v>124.3246908445</v>
      </c>
      <c r="AX51" s="62" t="s">
        <v>98</v>
      </c>
      <c r="AY51" s="62" t="s">
        <v>94</v>
      </c>
      <c r="AZ51" s="62" t="s">
        <v>94</v>
      </c>
      <c r="BA51" s="63" t="s">
        <v>77</v>
      </c>
      <c r="BB51" s="62" t="s">
        <v>98</v>
      </c>
      <c r="BC51" s="62">
        <v>31</v>
      </c>
      <c r="BD51" s="62" t="s">
        <v>98</v>
      </c>
      <c r="BE51" s="211" t="str">
        <f t="shared" si="1"/>
        <v>508, POYOWA BESAR,</v>
      </c>
    </row>
    <row r="52" spans="1:57" s="211" customFormat="1" ht="15.75" customHeight="1">
      <c r="A52" s="46"/>
      <c r="B52" s="46"/>
      <c r="C52" s="22" t="s">
        <v>68</v>
      </c>
      <c r="D52" s="22" t="s">
        <v>348</v>
      </c>
      <c r="E52" s="33">
        <v>1</v>
      </c>
      <c r="F52" s="47">
        <f>F51+1</f>
        <v>8</v>
      </c>
      <c r="G52" s="214"/>
      <c r="H52" s="23">
        <v>2</v>
      </c>
      <c r="I52" s="64" t="str">
        <f t="shared" ref="I52:M63" si="25">I51</f>
        <v>MR.KPBS.P053</v>
      </c>
      <c r="J52" s="64">
        <f t="shared" si="25"/>
        <v>0.71066174999999998</v>
      </c>
      <c r="K52" s="64">
        <f t="shared" si="25"/>
        <v>124.3245514427</v>
      </c>
      <c r="L52" s="64" t="str">
        <f t="shared" si="25"/>
        <v>JL. RAYA POYOWA BESAR</v>
      </c>
      <c r="M52" s="64" t="str">
        <f t="shared" si="15"/>
        <v>SULAWESI UTARA</v>
      </c>
      <c r="N52" s="65" t="s">
        <v>105</v>
      </c>
      <c r="O52" s="66" t="s">
        <v>118</v>
      </c>
      <c r="P52" s="65" t="s">
        <v>119</v>
      </c>
      <c r="Q52" s="66">
        <v>95717</v>
      </c>
      <c r="R52" s="67"/>
      <c r="S52" s="68"/>
      <c r="T52" s="68"/>
      <c r="U52" s="68"/>
      <c r="V52" s="68"/>
      <c r="W52" s="65" t="s">
        <v>105</v>
      </c>
      <c r="X52" s="64"/>
      <c r="Y52" s="64" t="s">
        <v>106</v>
      </c>
      <c r="Z52" s="64" t="str">
        <f t="shared" si="3"/>
        <v>KELURAHAN POYOWA BESAR SATU KOTAMOBAGU</v>
      </c>
      <c r="AA52" s="65"/>
      <c r="AB52" s="65"/>
      <c r="AC52" s="65" t="s">
        <v>70</v>
      </c>
      <c r="AD52" s="64" t="str">
        <f t="shared" ref="AD52:AD66" si="26">AD51</f>
        <v>POYOWA BESAR</v>
      </c>
      <c r="AE52" s="67"/>
      <c r="AF52" s="67"/>
      <c r="AG52" s="67"/>
      <c r="AH52" s="67"/>
      <c r="AI52" s="69"/>
      <c r="AJ52" s="11" t="s">
        <v>657</v>
      </c>
      <c r="AK52" s="65" t="s">
        <v>96</v>
      </c>
      <c r="AL52" s="65"/>
      <c r="AM52" s="176"/>
      <c r="AN52" s="176"/>
      <c r="AO52" s="176"/>
      <c r="AP52" s="176"/>
      <c r="AQ52" s="177" t="s">
        <v>97</v>
      </c>
      <c r="AR52" s="70" t="str">
        <f t="shared" si="5"/>
        <v>KTG.100.0101</v>
      </c>
      <c r="AS52" s="71" t="str">
        <f t="shared" si="6"/>
        <v>KPBS-2.020</v>
      </c>
      <c r="AT52" s="71" t="str">
        <f t="shared" si="6"/>
        <v>A04</v>
      </c>
      <c r="AU52" s="72"/>
      <c r="AV52" s="202">
        <v>0.71081470579999895</v>
      </c>
      <c r="AW52" s="202">
        <v>124.3242735795</v>
      </c>
      <c r="AX52" s="65" t="s">
        <v>98</v>
      </c>
      <c r="AY52" s="65" t="s">
        <v>94</v>
      </c>
      <c r="AZ52" s="65" t="s">
        <v>94</v>
      </c>
      <c r="BA52" s="73" t="s">
        <v>77</v>
      </c>
      <c r="BB52" s="65" t="s">
        <v>98</v>
      </c>
      <c r="BC52" s="65">
        <v>31</v>
      </c>
      <c r="BD52" s="65" t="s">
        <v>98</v>
      </c>
      <c r="BE52" s="211" t="str">
        <f t="shared" si="1"/>
        <v>414, POYOWA BESAR,</v>
      </c>
    </row>
    <row r="53" spans="1:57" s="211" customFormat="1" ht="15.75" customHeight="1">
      <c r="A53" s="221"/>
      <c r="B53" s="222"/>
      <c r="C53" s="222"/>
      <c r="D53" s="222"/>
      <c r="E53" s="222"/>
      <c r="F53" s="222"/>
      <c r="G53" s="223"/>
      <c r="H53" s="23">
        <v>3</v>
      </c>
      <c r="I53" s="64" t="str">
        <f t="shared" si="25"/>
        <v>MR.KPBS.P053</v>
      </c>
      <c r="J53" s="64">
        <f t="shared" si="25"/>
        <v>0.71066174999999998</v>
      </c>
      <c r="K53" s="64">
        <f t="shared" si="25"/>
        <v>124.3245514427</v>
      </c>
      <c r="L53" s="64" t="str">
        <f t="shared" si="25"/>
        <v>JL. RAYA POYOWA BESAR</v>
      </c>
      <c r="M53" s="64" t="str">
        <f t="shared" si="15"/>
        <v>SULAWESI UTARA</v>
      </c>
      <c r="N53" s="65" t="s">
        <v>105</v>
      </c>
      <c r="O53" s="66" t="s">
        <v>118</v>
      </c>
      <c r="P53" s="65" t="s">
        <v>119</v>
      </c>
      <c r="Q53" s="66">
        <v>95717</v>
      </c>
      <c r="R53" s="67"/>
      <c r="S53" s="68"/>
      <c r="T53" s="68"/>
      <c r="U53" s="68"/>
      <c r="V53" s="68"/>
      <c r="W53" s="65" t="s">
        <v>105</v>
      </c>
      <c r="X53" s="64"/>
      <c r="Y53" s="64" t="s">
        <v>106</v>
      </c>
      <c r="Z53" s="64" t="str">
        <f t="shared" si="3"/>
        <v>KELURAHAN POYOWA BESAR SATU KOTAMOBAGU</v>
      </c>
      <c r="AA53" s="65"/>
      <c r="AB53" s="65"/>
      <c r="AC53" s="65" t="s">
        <v>70</v>
      </c>
      <c r="AD53" s="64" t="str">
        <f t="shared" si="26"/>
        <v>POYOWA BESAR</v>
      </c>
      <c r="AE53" s="67"/>
      <c r="AF53" s="67"/>
      <c r="AG53" s="67"/>
      <c r="AH53" s="67"/>
      <c r="AI53" s="69"/>
      <c r="AJ53" s="11" t="s">
        <v>658</v>
      </c>
      <c r="AK53" s="65" t="s">
        <v>96</v>
      </c>
      <c r="AL53" s="65"/>
      <c r="AM53" s="176"/>
      <c r="AN53" s="176"/>
      <c r="AO53" s="176"/>
      <c r="AP53" s="176"/>
      <c r="AQ53" s="177" t="s">
        <v>97</v>
      </c>
      <c r="AR53" s="70" t="str">
        <f t="shared" si="5"/>
        <v>KTG.100.0101</v>
      </c>
      <c r="AS53" s="71" t="str">
        <f t="shared" si="6"/>
        <v>KPBS-2.020</v>
      </c>
      <c r="AT53" s="71" t="str">
        <f t="shared" si="6"/>
        <v>A04</v>
      </c>
      <c r="AU53" s="72"/>
      <c r="AV53" s="202">
        <v>0.71050462179999996</v>
      </c>
      <c r="AW53" s="202">
        <v>124.3242838414</v>
      </c>
      <c r="AX53" s="65" t="s">
        <v>98</v>
      </c>
      <c r="AY53" s="65" t="s">
        <v>94</v>
      </c>
      <c r="AZ53" s="65" t="s">
        <v>94</v>
      </c>
      <c r="BA53" s="73" t="s">
        <v>77</v>
      </c>
      <c r="BB53" s="65" t="s">
        <v>98</v>
      </c>
      <c r="BC53" s="65">
        <v>31</v>
      </c>
      <c r="BD53" s="65" t="s">
        <v>98</v>
      </c>
      <c r="BE53" s="211" t="str">
        <f t="shared" si="1"/>
        <v>513, POYOWA BESAR,</v>
      </c>
    </row>
    <row r="54" spans="1:57" s="211" customFormat="1" ht="15.75" customHeight="1">
      <c r="A54" s="224"/>
      <c r="B54" s="225"/>
      <c r="C54" s="225"/>
      <c r="D54" s="225"/>
      <c r="E54" s="225"/>
      <c r="F54" s="225"/>
      <c r="G54" s="226"/>
      <c r="H54" s="23">
        <v>4</v>
      </c>
      <c r="I54" s="64" t="str">
        <f t="shared" si="25"/>
        <v>MR.KPBS.P053</v>
      </c>
      <c r="J54" s="64">
        <f t="shared" si="25"/>
        <v>0.71066174999999998</v>
      </c>
      <c r="K54" s="64">
        <f t="shared" si="25"/>
        <v>124.3245514427</v>
      </c>
      <c r="L54" s="64" t="str">
        <f t="shared" si="25"/>
        <v>JL. RAYA POYOWA BESAR</v>
      </c>
      <c r="M54" s="64" t="str">
        <f t="shared" si="15"/>
        <v>SULAWESI UTARA</v>
      </c>
      <c r="N54" s="65" t="s">
        <v>105</v>
      </c>
      <c r="O54" s="66" t="s">
        <v>118</v>
      </c>
      <c r="P54" s="65" t="s">
        <v>119</v>
      </c>
      <c r="Q54" s="66">
        <v>95717</v>
      </c>
      <c r="R54" s="67"/>
      <c r="S54" s="68"/>
      <c r="T54" s="68"/>
      <c r="U54" s="68"/>
      <c r="V54" s="68"/>
      <c r="W54" s="65" t="s">
        <v>105</v>
      </c>
      <c r="X54" s="64"/>
      <c r="Y54" s="64" t="s">
        <v>106</v>
      </c>
      <c r="Z54" s="64" t="str">
        <f t="shared" si="3"/>
        <v>KELURAHAN POYOWA BESAR SATU KOTAMOBAGU</v>
      </c>
      <c r="AA54" s="65"/>
      <c r="AB54" s="65"/>
      <c r="AC54" s="65" t="s">
        <v>70</v>
      </c>
      <c r="AD54" s="64" t="str">
        <f t="shared" si="26"/>
        <v>POYOWA BESAR</v>
      </c>
      <c r="AE54" s="67"/>
      <c r="AF54" s="67"/>
      <c r="AG54" s="67"/>
      <c r="AH54" s="67"/>
      <c r="AI54" s="69"/>
      <c r="AJ54" s="11" t="s">
        <v>659</v>
      </c>
      <c r="AK54" s="65" t="s">
        <v>96</v>
      </c>
      <c r="AL54" s="65"/>
      <c r="AM54" s="176"/>
      <c r="AN54" s="176"/>
      <c r="AO54" s="176"/>
      <c r="AP54" s="176"/>
      <c r="AQ54" s="177" t="s">
        <v>97</v>
      </c>
      <c r="AR54" s="70" t="str">
        <f t="shared" si="5"/>
        <v>KTG.100.0101</v>
      </c>
      <c r="AS54" s="71" t="str">
        <f t="shared" si="6"/>
        <v>KPBS-2.020</v>
      </c>
      <c r="AT54" s="71" t="str">
        <f t="shared" si="6"/>
        <v>A04</v>
      </c>
      <c r="AU54" s="72"/>
      <c r="AV54" s="202">
        <v>0.7104645906</v>
      </c>
      <c r="AW54" s="202">
        <v>124.3241580676</v>
      </c>
      <c r="AX54" s="65" t="s">
        <v>98</v>
      </c>
      <c r="AY54" s="65" t="s">
        <v>94</v>
      </c>
      <c r="AZ54" s="65" t="s">
        <v>94</v>
      </c>
      <c r="BA54" s="73" t="s">
        <v>77</v>
      </c>
      <c r="BB54" s="65" t="s">
        <v>98</v>
      </c>
      <c r="BC54" s="65">
        <v>31</v>
      </c>
      <c r="BD54" s="65" t="s">
        <v>98</v>
      </c>
      <c r="BE54" s="211" t="str">
        <f t="shared" si="1"/>
        <v>515, POYOWA BESAR,</v>
      </c>
    </row>
    <row r="55" spans="1:57" s="211" customFormat="1" ht="15.75" customHeight="1">
      <c r="A55" s="224"/>
      <c r="B55" s="225"/>
      <c r="C55" s="225"/>
      <c r="D55" s="225"/>
      <c r="E55" s="225"/>
      <c r="F55" s="225"/>
      <c r="G55" s="226"/>
      <c r="H55" s="23">
        <v>5</v>
      </c>
      <c r="I55" s="64" t="str">
        <f t="shared" si="25"/>
        <v>MR.KPBS.P053</v>
      </c>
      <c r="J55" s="64">
        <f t="shared" si="25"/>
        <v>0.71066174999999998</v>
      </c>
      <c r="K55" s="64">
        <f t="shared" si="25"/>
        <v>124.3245514427</v>
      </c>
      <c r="L55" s="64" t="str">
        <f t="shared" si="25"/>
        <v>JL. RAYA POYOWA BESAR</v>
      </c>
      <c r="M55" s="64" t="str">
        <f t="shared" si="25"/>
        <v>SULAWESI UTARA</v>
      </c>
      <c r="N55" s="65" t="s">
        <v>105</v>
      </c>
      <c r="O55" s="66" t="s">
        <v>118</v>
      </c>
      <c r="P55" s="65" t="s">
        <v>119</v>
      </c>
      <c r="Q55" s="66">
        <v>95717</v>
      </c>
      <c r="R55" s="67"/>
      <c r="S55" s="68"/>
      <c r="T55" s="68"/>
      <c r="U55" s="68"/>
      <c r="V55" s="68"/>
      <c r="W55" s="65" t="s">
        <v>105</v>
      </c>
      <c r="X55" s="64"/>
      <c r="Y55" s="64" t="s">
        <v>106</v>
      </c>
      <c r="Z55" s="64" t="str">
        <f t="shared" si="3"/>
        <v>KELURAHAN POYOWA BESAR SATU KOTAMOBAGU</v>
      </c>
      <c r="AA55" s="65"/>
      <c r="AB55" s="65"/>
      <c r="AC55" s="65" t="s">
        <v>70</v>
      </c>
      <c r="AD55" s="64" t="str">
        <f t="shared" si="26"/>
        <v>POYOWA BESAR</v>
      </c>
      <c r="AE55" s="67"/>
      <c r="AF55" s="67"/>
      <c r="AG55" s="67"/>
      <c r="AH55" s="67"/>
      <c r="AI55" s="69"/>
      <c r="AJ55" s="11" t="s">
        <v>660</v>
      </c>
      <c r="AK55" s="65" t="s">
        <v>96</v>
      </c>
      <c r="AL55" s="65"/>
      <c r="AM55" s="176"/>
      <c r="AN55" s="176"/>
      <c r="AO55" s="176"/>
      <c r="AP55" s="176"/>
      <c r="AQ55" s="177" t="s">
        <v>97</v>
      </c>
      <c r="AR55" s="70" t="str">
        <f t="shared" si="5"/>
        <v>KTG.100.0101</v>
      </c>
      <c r="AS55" s="71" t="str">
        <f t="shared" si="6"/>
        <v>KPBS-2.020</v>
      </c>
      <c r="AT55" s="71" t="str">
        <f t="shared" si="6"/>
        <v>A04</v>
      </c>
      <c r="AU55" s="72"/>
      <c r="AV55" s="202">
        <v>0.710515008</v>
      </c>
      <c r="AW55" s="202">
        <v>124.3243800213</v>
      </c>
      <c r="AX55" s="65" t="s">
        <v>98</v>
      </c>
      <c r="AY55" s="65" t="s">
        <v>94</v>
      </c>
      <c r="AZ55" s="65" t="s">
        <v>94</v>
      </c>
      <c r="BA55" s="73" t="s">
        <v>77</v>
      </c>
      <c r="BB55" s="65" t="s">
        <v>98</v>
      </c>
      <c r="BC55" s="65">
        <v>31</v>
      </c>
      <c r="BD55" s="65" t="s">
        <v>98</v>
      </c>
      <c r="BE55" s="211" t="str">
        <f t="shared" si="1"/>
        <v>512, POYOWA BESAR,</v>
      </c>
    </row>
    <row r="56" spans="1:57" s="211" customFormat="1" ht="15.75" customHeight="1">
      <c r="A56" s="224"/>
      <c r="B56" s="225"/>
      <c r="C56" s="225"/>
      <c r="D56" s="225"/>
      <c r="E56" s="225"/>
      <c r="F56" s="225"/>
      <c r="G56" s="226"/>
      <c r="H56" s="23">
        <v>6</v>
      </c>
      <c r="I56" s="64" t="str">
        <f t="shared" si="25"/>
        <v>MR.KPBS.P053</v>
      </c>
      <c r="J56" s="64">
        <f t="shared" si="25"/>
        <v>0.71066174999999998</v>
      </c>
      <c r="K56" s="64">
        <f t="shared" si="25"/>
        <v>124.3245514427</v>
      </c>
      <c r="L56" s="64" t="str">
        <f t="shared" si="25"/>
        <v>JL. RAYA POYOWA BESAR</v>
      </c>
      <c r="M56" s="64" t="str">
        <f t="shared" si="25"/>
        <v>SULAWESI UTARA</v>
      </c>
      <c r="N56" s="65" t="s">
        <v>105</v>
      </c>
      <c r="O56" s="66" t="s">
        <v>118</v>
      </c>
      <c r="P56" s="65" t="s">
        <v>119</v>
      </c>
      <c r="Q56" s="66">
        <v>95717</v>
      </c>
      <c r="R56" s="67"/>
      <c r="S56" s="68"/>
      <c r="T56" s="68"/>
      <c r="U56" s="68"/>
      <c r="V56" s="68"/>
      <c r="W56" s="65" t="s">
        <v>105</v>
      </c>
      <c r="X56" s="64"/>
      <c r="Y56" s="64" t="s">
        <v>106</v>
      </c>
      <c r="Z56" s="64" t="str">
        <f t="shared" si="3"/>
        <v>KELURAHAN POYOWA BESAR SATU KOTAMOBAGU</v>
      </c>
      <c r="AA56" s="65"/>
      <c r="AB56" s="65"/>
      <c r="AC56" s="65" t="s">
        <v>70</v>
      </c>
      <c r="AD56" s="64" t="str">
        <f t="shared" si="26"/>
        <v>POYOWA BESAR</v>
      </c>
      <c r="AE56" s="67"/>
      <c r="AF56" s="67"/>
      <c r="AG56" s="67"/>
      <c r="AH56" s="67"/>
      <c r="AI56" s="69"/>
      <c r="AJ56" s="11" t="s">
        <v>661</v>
      </c>
      <c r="AK56" s="65" t="s">
        <v>96</v>
      </c>
      <c r="AL56" s="65"/>
      <c r="AM56" s="176"/>
      <c r="AN56" s="176"/>
      <c r="AO56" s="176"/>
      <c r="AP56" s="176"/>
      <c r="AQ56" s="177" t="s">
        <v>97</v>
      </c>
      <c r="AR56" s="70" t="str">
        <f t="shared" si="5"/>
        <v>KTG.100.0101</v>
      </c>
      <c r="AS56" s="71" t="str">
        <f t="shared" si="6"/>
        <v>KPBS-2.020</v>
      </c>
      <c r="AT56" s="71" t="str">
        <f t="shared" si="6"/>
        <v>A04</v>
      </c>
      <c r="AU56" s="72"/>
      <c r="AV56" s="202">
        <v>0.71081917409999995</v>
      </c>
      <c r="AW56" s="202">
        <v>124.32440963489999</v>
      </c>
      <c r="AX56" s="65" t="s">
        <v>98</v>
      </c>
      <c r="AY56" s="65" t="s">
        <v>94</v>
      </c>
      <c r="AZ56" s="65" t="s">
        <v>94</v>
      </c>
      <c r="BA56" s="73" t="s">
        <v>77</v>
      </c>
      <c r="BB56" s="65" t="s">
        <v>98</v>
      </c>
      <c r="BC56" s="65">
        <v>31</v>
      </c>
      <c r="BD56" s="65" t="s">
        <v>98</v>
      </c>
      <c r="BE56" s="211" t="str">
        <f t="shared" si="1"/>
        <v>415, POYOWA BESAR,</v>
      </c>
    </row>
    <row r="57" spans="1:57" s="211" customFormat="1" ht="15.75" customHeight="1">
      <c r="A57" s="224"/>
      <c r="B57" s="225"/>
      <c r="C57" s="225"/>
      <c r="D57" s="225"/>
      <c r="E57" s="225"/>
      <c r="F57" s="225"/>
      <c r="G57" s="226"/>
      <c r="H57" s="23">
        <v>7</v>
      </c>
      <c r="I57" s="64" t="str">
        <f t="shared" si="25"/>
        <v>MR.KPBS.P053</v>
      </c>
      <c r="J57" s="64">
        <f t="shared" si="25"/>
        <v>0.71066174999999998</v>
      </c>
      <c r="K57" s="64">
        <f t="shared" si="25"/>
        <v>124.3245514427</v>
      </c>
      <c r="L57" s="64" t="str">
        <f t="shared" si="25"/>
        <v>JL. RAYA POYOWA BESAR</v>
      </c>
      <c r="M57" s="64" t="str">
        <f t="shared" si="25"/>
        <v>SULAWESI UTARA</v>
      </c>
      <c r="N57" s="65" t="s">
        <v>105</v>
      </c>
      <c r="O57" s="66" t="s">
        <v>118</v>
      </c>
      <c r="P57" s="65" t="s">
        <v>119</v>
      </c>
      <c r="Q57" s="66">
        <v>95717</v>
      </c>
      <c r="R57" s="67"/>
      <c r="S57" s="68"/>
      <c r="T57" s="68"/>
      <c r="U57" s="68"/>
      <c r="V57" s="68"/>
      <c r="W57" s="65" t="s">
        <v>105</v>
      </c>
      <c r="X57" s="64"/>
      <c r="Y57" s="64" t="s">
        <v>106</v>
      </c>
      <c r="Z57" s="64" t="str">
        <f t="shared" si="3"/>
        <v>KELURAHAN POYOWA BESAR SATU KOTAMOBAGU</v>
      </c>
      <c r="AA57" s="65"/>
      <c r="AB57" s="65"/>
      <c r="AC57" s="65" t="s">
        <v>70</v>
      </c>
      <c r="AD57" s="64" t="str">
        <f t="shared" si="26"/>
        <v>POYOWA BESAR</v>
      </c>
      <c r="AE57" s="67"/>
      <c r="AF57" s="67"/>
      <c r="AG57" s="67"/>
      <c r="AH57" s="67"/>
      <c r="AI57" s="69"/>
      <c r="AJ57" s="11" t="s">
        <v>662</v>
      </c>
      <c r="AK57" s="65" t="s">
        <v>96</v>
      </c>
      <c r="AL57" s="65"/>
      <c r="AM57" s="176"/>
      <c r="AN57" s="176"/>
      <c r="AO57" s="176"/>
      <c r="AP57" s="176"/>
      <c r="AQ57" s="177" t="s">
        <v>97</v>
      </c>
      <c r="AR57" s="70" t="str">
        <f t="shared" si="5"/>
        <v>KTG.100.0101</v>
      </c>
      <c r="AS57" s="71" t="str">
        <f t="shared" si="6"/>
        <v>KPBS-2.020</v>
      </c>
      <c r="AT57" s="71" t="str">
        <f t="shared" si="6"/>
        <v>A04</v>
      </c>
      <c r="AU57" s="72"/>
      <c r="AV57" s="202">
        <v>0.71082841799999996</v>
      </c>
      <c r="AW57" s="202">
        <v>124.32450879389999</v>
      </c>
      <c r="AX57" s="65" t="s">
        <v>98</v>
      </c>
      <c r="AY57" s="65" t="s">
        <v>94</v>
      </c>
      <c r="AZ57" s="65" t="s">
        <v>94</v>
      </c>
      <c r="BA57" s="73" t="s">
        <v>77</v>
      </c>
      <c r="BB57" s="65" t="s">
        <v>98</v>
      </c>
      <c r="BC57" s="65">
        <v>31</v>
      </c>
      <c r="BD57" s="65" t="s">
        <v>98</v>
      </c>
      <c r="BE57" s="211" t="str">
        <f t="shared" si="1"/>
        <v>416, POYOWA BESAR,</v>
      </c>
    </row>
    <row r="58" spans="1:57" s="211" customFormat="1" ht="15.75" customHeight="1">
      <c r="A58" s="224"/>
      <c r="B58" s="225"/>
      <c r="C58" s="225"/>
      <c r="D58" s="225"/>
      <c r="E58" s="225"/>
      <c r="F58" s="225"/>
      <c r="G58" s="226"/>
      <c r="H58" s="23">
        <v>8</v>
      </c>
      <c r="I58" s="64" t="str">
        <f t="shared" si="25"/>
        <v>MR.KPBS.P053</v>
      </c>
      <c r="J58" s="64">
        <f t="shared" si="25"/>
        <v>0.71066174999999998</v>
      </c>
      <c r="K58" s="64">
        <f t="shared" si="25"/>
        <v>124.3245514427</v>
      </c>
      <c r="L58" s="64" t="str">
        <f t="shared" si="25"/>
        <v>JL. RAYA POYOWA BESAR</v>
      </c>
      <c r="M58" s="64" t="str">
        <f t="shared" si="25"/>
        <v>SULAWESI UTARA</v>
      </c>
      <c r="N58" s="65" t="s">
        <v>105</v>
      </c>
      <c r="O58" s="66" t="s">
        <v>118</v>
      </c>
      <c r="P58" s="65" t="s">
        <v>119</v>
      </c>
      <c r="Q58" s="66">
        <v>95717</v>
      </c>
      <c r="R58" s="67"/>
      <c r="S58" s="68"/>
      <c r="T58" s="68"/>
      <c r="U58" s="68"/>
      <c r="V58" s="68"/>
      <c r="W58" s="65" t="s">
        <v>105</v>
      </c>
      <c r="X58" s="64"/>
      <c r="Y58" s="64" t="s">
        <v>106</v>
      </c>
      <c r="Z58" s="64" t="str">
        <f t="shared" si="3"/>
        <v>KELURAHAN POYOWA BESAR SATU KOTAMOBAGU</v>
      </c>
      <c r="AA58" s="65"/>
      <c r="AB58" s="65"/>
      <c r="AC58" s="65" t="s">
        <v>70</v>
      </c>
      <c r="AD58" s="64" t="str">
        <f t="shared" si="26"/>
        <v>POYOWA BESAR</v>
      </c>
      <c r="AE58" s="67"/>
      <c r="AF58" s="67"/>
      <c r="AG58" s="67"/>
      <c r="AH58" s="67"/>
      <c r="AI58" s="69"/>
      <c r="AJ58" s="11" t="s">
        <v>663</v>
      </c>
      <c r="AK58" s="65" t="s">
        <v>96</v>
      </c>
      <c r="AL58" s="65"/>
      <c r="AM58" s="176"/>
      <c r="AN58" s="176"/>
      <c r="AO58" s="176"/>
      <c r="AP58" s="176"/>
      <c r="AQ58" s="177" t="s">
        <v>97</v>
      </c>
      <c r="AR58" s="70" t="str">
        <f t="shared" si="5"/>
        <v>KTG.100.0101</v>
      </c>
      <c r="AS58" s="71" t="str">
        <f t="shared" si="6"/>
        <v>KPBS-2.020</v>
      </c>
      <c r="AT58" s="71" t="str">
        <f t="shared" si="6"/>
        <v>A04</v>
      </c>
      <c r="AU58" s="72"/>
      <c r="AV58" s="202">
        <v>0.71052835380000001</v>
      </c>
      <c r="AW58" s="202">
        <v>124.3244614044</v>
      </c>
      <c r="AX58" s="65" t="s">
        <v>98</v>
      </c>
      <c r="AY58" s="65" t="s">
        <v>94</v>
      </c>
      <c r="AZ58" s="65" t="s">
        <v>94</v>
      </c>
      <c r="BA58" s="73" t="s">
        <v>77</v>
      </c>
      <c r="BB58" s="65" t="s">
        <v>98</v>
      </c>
      <c r="BC58" s="65">
        <v>31</v>
      </c>
      <c r="BD58" s="65" t="s">
        <v>98</v>
      </c>
      <c r="BE58" s="211" t="str">
        <f t="shared" si="1"/>
        <v>511, POYOWA BESAR,</v>
      </c>
    </row>
    <row r="59" spans="1:57" s="211" customFormat="1" ht="15.75" customHeight="1">
      <c r="A59" s="224"/>
      <c r="B59" s="225"/>
      <c r="C59" s="225"/>
      <c r="D59" s="225"/>
      <c r="E59" s="225"/>
      <c r="F59" s="225"/>
      <c r="G59" s="226"/>
      <c r="H59" s="23">
        <v>9</v>
      </c>
      <c r="I59" s="64" t="str">
        <f t="shared" si="25"/>
        <v>MR.KPBS.P053</v>
      </c>
      <c r="J59" s="64">
        <f t="shared" si="25"/>
        <v>0.71066174999999998</v>
      </c>
      <c r="K59" s="64">
        <f t="shared" si="25"/>
        <v>124.3245514427</v>
      </c>
      <c r="L59" s="64" t="str">
        <f t="shared" si="25"/>
        <v>JL. RAYA POYOWA BESAR</v>
      </c>
      <c r="M59" s="64" t="str">
        <f t="shared" si="25"/>
        <v>SULAWESI UTARA</v>
      </c>
      <c r="N59" s="65" t="s">
        <v>105</v>
      </c>
      <c r="O59" s="66" t="s">
        <v>118</v>
      </c>
      <c r="P59" s="65" t="s">
        <v>119</v>
      </c>
      <c r="Q59" s="66">
        <v>95717</v>
      </c>
      <c r="R59" s="67"/>
      <c r="S59" s="68"/>
      <c r="T59" s="74"/>
      <c r="U59" s="74"/>
      <c r="V59" s="74"/>
      <c r="W59" s="65" t="s">
        <v>105</v>
      </c>
      <c r="X59" s="64"/>
      <c r="Y59" s="64" t="s">
        <v>106</v>
      </c>
      <c r="Z59" s="64" t="str">
        <f t="shared" si="3"/>
        <v>KELURAHAN POYOWA BESAR SATU KOTAMOBAGU</v>
      </c>
      <c r="AA59" s="65"/>
      <c r="AB59" s="65"/>
      <c r="AC59" s="65" t="s">
        <v>70</v>
      </c>
      <c r="AD59" s="64" t="str">
        <f t="shared" si="26"/>
        <v>POYOWA BESAR</v>
      </c>
      <c r="AE59" s="75"/>
      <c r="AF59" s="75"/>
      <c r="AG59" s="75"/>
      <c r="AH59" s="75"/>
      <c r="AI59" s="69"/>
      <c r="AJ59" s="11" t="s">
        <v>664</v>
      </c>
      <c r="AK59" s="65" t="s">
        <v>96</v>
      </c>
      <c r="AL59" s="65"/>
      <c r="AM59" s="176"/>
      <c r="AN59" s="176"/>
      <c r="AO59" s="176"/>
      <c r="AP59" s="176"/>
      <c r="AQ59" s="186" t="s">
        <v>97</v>
      </c>
      <c r="AR59" s="70" t="str">
        <f t="shared" si="5"/>
        <v>KTG.100.0101</v>
      </c>
      <c r="AS59" s="71" t="str">
        <f t="shared" si="6"/>
        <v>KPBS-2.020</v>
      </c>
      <c r="AT59" s="71" t="str">
        <f t="shared" si="6"/>
        <v>A04</v>
      </c>
      <c r="AU59" s="72"/>
      <c r="AV59" s="202">
        <v>0.71052247239999999</v>
      </c>
      <c r="AW59" s="202">
        <v>124.3245413957</v>
      </c>
      <c r="AX59" s="65" t="s">
        <v>98</v>
      </c>
      <c r="AY59" s="65" t="s">
        <v>94</v>
      </c>
      <c r="AZ59" s="65" t="s">
        <v>94</v>
      </c>
      <c r="BA59" s="73" t="s">
        <v>77</v>
      </c>
      <c r="BB59" s="65" t="s">
        <v>98</v>
      </c>
      <c r="BC59" s="65">
        <v>31</v>
      </c>
      <c r="BD59" s="65" t="s">
        <v>98</v>
      </c>
      <c r="BE59" s="211" t="str">
        <f t="shared" si="1"/>
        <v>510, POYOWA BESAR,</v>
      </c>
    </row>
    <row r="60" spans="1:57" s="211" customFormat="1" ht="15.75" customHeight="1">
      <c r="A60" s="224"/>
      <c r="B60" s="225"/>
      <c r="C60" s="225"/>
      <c r="D60" s="225"/>
      <c r="E60" s="225"/>
      <c r="F60" s="225"/>
      <c r="G60" s="226"/>
      <c r="H60" s="23">
        <v>10</v>
      </c>
      <c r="I60" s="64" t="str">
        <f t="shared" si="25"/>
        <v>MR.KPBS.P053</v>
      </c>
      <c r="J60" s="64">
        <f t="shared" si="25"/>
        <v>0.71066174999999998</v>
      </c>
      <c r="K60" s="64">
        <f t="shared" si="25"/>
        <v>124.3245514427</v>
      </c>
      <c r="L60" s="64" t="str">
        <f t="shared" si="25"/>
        <v>JL. RAYA POYOWA BESAR</v>
      </c>
      <c r="M60" s="64" t="str">
        <f t="shared" si="25"/>
        <v>SULAWESI UTARA</v>
      </c>
      <c r="N60" s="65" t="s">
        <v>105</v>
      </c>
      <c r="O60" s="66" t="s">
        <v>118</v>
      </c>
      <c r="P60" s="65" t="s">
        <v>119</v>
      </c>
      <c r="Q60" s="66">
        <v>95717</v>
      </c>
      <c r="R60" s="67"/>
      <c r="S60" s="68"/>
      <c r="T60" s="68"/>
      <c r="U60" s="68"/>
      <c r="V60" s="68"/>
      <c r="W60" s="65" t="s">
        <v>105</v>
      </c>
      <c r="X60" s="64"/>
      <c r="Y60" s="64" t="s">
        <v>106</v>
      </c>
      <c r="Z60" s="64" t="str">
        <f t="shared" si="3"/>
        <v>KELURAHAN POYOWA BESAR SATU KOTAMOBAGU</v>
      </c>
      <c r="AA60" s="65"/>
      <c r="AB60" s="65"/>
      <c r="AC60" s="65" t="s">
        <v>70</v>
      </c>
      <c r="AD60" s="64" t="str">
        <f t="shared" si="26"/>
        <v>POYOWA BESAR</v>
      </c>
      <c r="AE60" s="67"/>
      <c r="AF60" s="67"/>
      <c r="AG60" s="67"/>
      <c r="AH60" s="67"/>
      <c r="AI60" s="69"/>
      <c r="AJ60" s="11" t="s">
        <v>665</v>
      </c>
      <c r="AK60" s="65" t="s">
        <v>96</v>
      </c>
      <c r="AL60" s="65"/>
      <c r="AM60" s="65"/>
      <c r="AN60" s="65"/>
      <c r="AO60" s="65"/>
      <c r="AP60" s="65"/>
      <c r="AQ60" s="177" t="s">
        <v>97</v>
      </c>
      <c r="AR60" s="70" t="str">
        <f t="shared" si="5"/>
        <v>KTG.100.0101</v>
      </c>
      <c r="AS60" s="71" t="str">
        <f t="shared" si="6"/>
        <v>KPBS-2.020</v>
      </c>
      <c r="AT60" s="71" t="str">
        <f t="shared" si="6"/>
        <v>A04</v>
      </c>
      <c r="AU60" s="72"/>
      <c r="AV60" s="202">
        <v>0.7105358182</v>
      </c>
      <c r="AW60" s="202">
        <v>124.3246094614</v>
      </c>
      <c r="AX60" s="65" t="s">
        <v>98</v>
      </c>
      <c r="AY60" s="65" t="s">
        <v>94</v>
      </c>
      <c r="AZ60" s="65" t="s">
        <v>94</v>
      </c>
      <c r="BA60" s="73" t="s">
        <v>77</v>
      </c>
      <c r="BB60" s="65" t="s">
        <v>98</v>
      </c>
      <c r="BC60" s="65">
        <v>31</v>
      </c>
      <c r="BD60" s="65" t="s">
        <v>98</v>
      </c>
      <c r="BE60" s="211" t="str">
        <f t="shared" si="1"/>
        <v>509, POYOWA BESAR,</v>
      </c>
    </row>
    <row r="61" spans="1:57" s="211" customFormat="1" ht="15.75" customHeight="1">
      <c r="A61" s="224"/>
      <c r="B61" s="225"/>
      <c r="C61" s="225"/>
      <c r="D61" s="225"/>
      <c r="E61" s="225"/>
      <c r="F61" s="225"/>
      <c r="G61" s="226"/>
      <c r="H61" s="23">
        <v>11</v>
      </c>
      <c r="I61" s="64" t="str">
        <f t="shared" si="25"/>
        <v>MR.KPBS.P053</v>
      </c>
      <c r="J61" s="64">
        <f t="shared" si="25"/>
        <v>0.71066174999999998</v>
      </c>
      <c r="K61" s="64">
        <f t="shared" si="25"/>
        <v>124.3245514427</v>
      </c>
      <c r="L61" s="64" t="str">
        <f t="shared" si="25"/>
        <v>JL. RAYA POYOWA BESAR</v>
      </c>
      <c r="M61" s="64" t="str">
        <f t="shared" si="25"/>
        <v>SULAWESI UTARA</v>
      </c>
      <c r="N61" s="65" t="s">
        <v>105</v>
      </c>
      <c r="O61" s="66" t="s">
        <v>118</v>
      </c>
      <c r="P61" s="65" t="s">
        <v>119</v>
      </c>
      <c r="Q61" s="66">
        <v>95717</v>
      </c>
      <c r="R61" s="67"/>
      <c r="S61" s="68"/>
      <c r="T61" s="68"/>
      <c r="U61" s="68"/>
      <c r="V61" s="68"/>
      <c r="W61" s="64" t="s">
        <v>105</v>
      </c>
      <c r="X61" s="64"/>
      <c r="Y61" s="64" t="s">
        <v>106</v>
      </c>
      <c r="Z61" s="64" t="str">
        <f t="shared" si="3"/>
        <v>KELURAHAN POYOWA BESAR SATU KOTAMOBAGU</v>
      </c>
      <c r="AA61" s="65"/>
      <c r="AB61" s="65"/>
      <c r="AC61" s="65" t="s">
        <v>70</v>
      </c>
      <c r="AD61" s="64" t="str">
        <f t="shared" si="26"/>
        <v>POYOWA BESAR</v>
      </c>
      <c r="AE61" s="67"/>
      <c r="AF61" s="67"/>
      <c r="AG61" s="67"/>
      <c r="AH61" s="67"/>
      <c r="AI61" s="69"/>
      <c r="AJ61" s="11" t="s">
        <v>666</v>
      </c>
      <c r="AK61" s="65" t="s">
        <v>96</v>
      </c>
      <c r="AL61" s="65"/>
      <c r="AM61" s="65"/>
      <c r="AN61" s="65"/>
      <c r="AO61" s="65"/>
      <c r="AP61" s="65"/>
      <c r="AQ61" s="177" t="s">
        <v>97</v>
      </c>
      <c r="AR61" s="70" t="str">
        <f t="shared" si="5"/>
        <v>KTG.100.0101</v>
      </c>
      <c r="AS61" s="71" t="str">
        <f t="shared" si="6"/>
        <v>KPBS-2.020</v>
      </c>
      <c r="AT61" s="71" t="str">
        <f t="shared" si="6"/>
        <v>A04</v>
      </c>
      <c r="AU61" s="72"/>
      <c r="AV61" s="202">
        <v>0.71083550449999999</v>
      </c>
      <c r="AW61" s="202">
        <v>124.3245848928</v>
      </c>
      <c r="AX61" s="65" t="s">
        <v>98</v>
      </c>
      <c r="AY61" s="65" t="s">
        <v>94</v>
      </c>
      <c r="AZ61" s="65" t="s">
        <v>94</v>
      </c>
      <c r="BA61" s="73" t="s">
        <v>77</v>
      </c>
      <c r="BB61" s="65" t="s">
        <v>98</v>
      </c>
      <c r="BC61" s="65">
        <v>31</v>
      </c>
      <c r="BD61" s="65" t="s">
        <v>98</v>
      </c>
      <c r="BE61" s="211" t="str">
        <f t="shared" si="1"/>
        <v>417, POYOWA BESAR,</v>
      </c>
    </row>
    <row r="62" spans="1:57" s="211" customFormat="1" ht="15.75" customHeight="1">
      <c r="A62" s="224"/>
      <c r="B62" s="225"/>
      <c r="C62" s="225"/>
      <c r="D62" s="225"/>
      <c r="E62" s="225"/>
      <c r="F62" s="225"/>
      <c r="G62" s="226"/>
      <c r="H62" s="23">
        <v>12</v>
      </c>
      <c r="I62" s="64" t="str">
        <f t="shared" si="25"/>
        <v>MR.KPBS.P053</v>
      </c>
      <c r="J62" s="64">
        <f t="shared" si="25"/>
        <v>0.71066174999999998</v>
      </c>
      <c r="K62" s="64">
        <f t="shared" si="25"/>
        <v>124.3245514427</v>
      </c>
      <c r="L62" s="64" t="str">
        <f t="shared" si="25"/>
        <v>JL. RAYA POYOWA BESAR</v>
      </c>
      <c r="M62" s="64" t="str">
        <f t="shared" si="25"/>
        <v>SULAWESI UTARA</v>
      </c>
      <c r="N62" s="65" t="s">
        <v>105</v>
      </c>
      <c r="O62" s="66" t="s">
        <v>118</v>
      </c>
      <c r="P62" s="65" t="s">
        <v>119</v>
      </c>
      <c r="Q62" s="66">
        <v>95717</v>
      </c>
      <c r="R62" s="67"/>
      <c r="S62" s="68"/>
      <c r="T62" s="68"/>
      <c r="U62" s="68"/>
      <c r="V62" s="68"/>
      <c r="W62" s="64" t="s">
        <v>105</v>
      </c>
      <c r="X62" s="64"/>
      <c r="Y62" s="64" t="s">
        <v>106</v>
      </c>
      <c r="Z62" s="64" t="str">
        <f t="shared" si="3"/>
        <v>KELURAHAN POYOWA BESAR SATU KOTAMOBAGU</v>
      </c>
      <c r="AA62" s="65"/>
      <c r="AB62" s="65"/>
      <c r="AC62" s="65" t="s">
        <v>70</v>
      </c>
      <c r="AD62" s="64" t="str">
        <f t="shared" si="26"/>
        <v>POYOWA BESAR</v>
      </c>
      <c r="AE62" s="67"/>
      <c r="AF62" s="67"/>
      <c r="AG62" s="67"/>
      <c r="AH62" s="67"/>
      <c r="AI62" s="69"/>
      <c r="AJ62" s="11" t="s">
        <v>667</v>
      </c>
      <c r="AK62" s="65" t="s">
        <v>96</v>
      </c>
      <c r="AL62" s="65"/>
      <c r="AM62" s="65"/>
      <c r="AN62" s="65"/>
      <c r="AO62" s="65"/>
      <c r="AP62" s="65"/>
      <c r="AQ62" s="177" t="s">
        <v>97</v>
      </c>
      <c r="AR62" s="70" t="str">
        <f t="shared" si="5"/>
        <v>KTG.100.0101</v>
      </c>
      <c r="AS62" s="71" t="str">
        <f t="shared" si="6"/>
        <v>KPBS-2.020</v>
      </c>
      <c r="AT62" s="71" t="str">
        <f t="shared" si="6"/>
        <v>A04</v>
      </c>
      <c r="AU62" s="72"/>
      <c r="AV62" s="202">
        <v>0.71089317809999997</v>
      </c>
      <c r="AW62" s="202">
        <v>124.3246495683</v>
      </c>
      <c r="AX62" s="65" t="s">
        <v>98</v>
      </c>
      <c r="AY62" s="65" t="s">
        <v>94</v>
      </c>
      <c r="AZ62" s="65" t="s">
        <v>94</v>
      </c>
      <c r="BA62" s="73" t="s">
        <v>77</v>
      </c>
      <c r="BB62" s="65" t="s">
        <v>98</v>
      </c>
      <c r="BC62" s="65">
        <v>31</v>
      </c>
      <c r="BD62" s="65" t="s">
        <v>98</v>
      </c>
      <c r="BE62" s="211" t="str">
        <f t="shared" si="1"/>
        <v>418, POYOWA BESAR,</v>
      </c>
    </row>
    <row r="63" spans="1:57" s="211" customFormat="1" ht="15.75" customHeight="1">
      <c r="A63" s="224"/>
      <c r="B63" s="225"/>
      <c r="C63" s="225"/>
      <c r="D63" s="225"/>
      <c r="E63" s="225"/>
      <c r="F63" s="225"/>
      <c r="G63" s="226"/>
      <c r="H63" s="23">
        <v>13</v>
      </c>
      <c r="I63" s="64" t="str">
        <f t="shared" si="25"/>
        <v>MR.KPBS.P053</v>
      </c>
      <c r="J63" s="64">
        <f t="shared" si="25"/>
        <v>0.71066174999999998</v>
      </c>
      <c r="K63" s="64">
        <f t="shared" si="25"/>
        <v>124.3245514427</v>
      </c>
      <c r="L63" s="64" t="str">
        <f t="shared" si="25"/>
        <v>JL. RAYA POYOWA BESAR</v>
      </c>
      <c r="M63" s="64" t="str">
        <f>M62</f>
        <v>SULAWESI UTARA</v>
      </c>
      <c r="N63" s="65" t="s">
        <v>105</v>
      </c>
      <c r="O63" s="66" t="s">
        <v>118</v>
      </c>
      <c r="P63" s="65" t="s">
        <v>119</v>
      </c>
      <c r="Q63" s="66">
        <v>95717</v>
      </c>
      <c r="R63" s="67"/>
      <c r="S63" s="68"/>
      <c r="T63" s="68"/>
      <c r="U63" s="68"/>
      <c r="V63" s="68"/>
      <c r="W63" s="64" t="s">
        <v>105</v>
      </c>
      <c r="X63" s="64"/>
      <c r="Y63" s="64" t="s">
        <v>106</v>
      </c>
      <c r="Z63" s="64" t="str">
        <f t="shared" si="3"/>
        <v>KELURAHAN POYOWA BESAR SATU KOTAMOBAGU</v>
      </c>
      <c r="AA63" s="65"/>
      <c r="AB63" s="65"/>
      <c r="AC63" s="65" t="s">
        <v>70</v>
      </c>
      <c r="AD63" s="64" t="str">
        <f t="shared" si="26"/>
        <v>POYOWA BESAR</v>
      </c>
      <c r="AE63" s="67"/>
      <c r="AF63" s="67"/>
      <c r="AG63" s="67"/>
      <c r="AH63" s="67"/>
      <c r="AI63" s="69"/>
      <c r="AJ63" s="11" t="s">
        <v>668</v>
      </c>
      <c r="AK63" s="65" t="s">
        <v>96</v>
      </c>
      <c r="AL63" s="65"/>
      <c r="AM63" s="65"/>
      <c r="AN63" s="65"/>
      <c r="AO63" s="65"/>
      <c r="AP63" s="65"/>
      <c r="AQ63" s="177" t="s">
        <v>97</v>
      </c>
      <c r="AR63" s="70" t="str">
        <f t="shared" si="5"/>
        <v>KTG.100.0101</v>
      </c>
      <c r="AS63" s="71" t="str">
        <f t="shared" si="6"/>
        <v>KPBS-2.020</v>
      </c>
      <c r="AT63" s="71" t="str">
        <f t="shared" si="6"/>
        <v>A04</v>
      </c>
      <c r="AU63" s="72"/>
      <c r="AV63" s="202">
        <v>0.71061441010000004</v>
      </c>
      <c r="AW63" s="202">
        <v>124.3247692682</v>
      </c>
      <c r="AX63" s="65" t="s">
        <v>98</v>
      </c>
      <c r="AY63" s="65" t="s">
        <v>94</v>
      </c>
      <c r="AZ63" s="65" t="s">
        <v>94</v>
      </c>
      <c r="BA63" s="73" t="s">
        <v>77</v>
      </c>
      <c r="BB63" s="65" t="s">
        <v>98</v>
      </c>
      <c r="BC63" s="65">
        <v>31</v>
      </c>
      <c r="BD63" s="65" t="s">
        <v>98</v>
      </c>
      <c r="BE63" s="211" t="str">
        <f t="shared" si="1"/>
        <v>507, POYOWA BESAR,</v>
      </c>
    </row>
    <row r="64" spans="1:57" s="211" customFormat="1" ht="15.75" customHeight="1">
      <c r="A64" s="207"/>
      <c r="B64" s="208"/>
      <c r="C64" s="208"/>
      <c r="D64" s="208"/>
      <c r="E64" s="208"/>
      <c r="F64" s="208"/>
      <c r="G64" s="208"/>
      <c r="H64" s="23">
        <v>14</v>
      </c>
      <c r="I64" s="64" t="str">
        <f t="shared" ref="I64:M64" si="27">I63</f>
        <v>MR.KPBS.P053</v>
      </c>
      <c r="J64" s="64">
        <f t="shared" si="27"/>
        <v>0.71066174999999998</v>
      </c>
      <c r="K64" s="64">
        <f t="shared" si="27"/>
        <v>124.3245514427</v>
      </c>
      <c r="L64" s="64" t="str">
        <f t="shared" si="27"/>
        <v>JL. RAYA POYOWA BESAR</v>
      </c>
      <c r="M64" s="64" t="str">
        <f t="shared" si="27"/>
        <v>SULAWESI UTARA</v>
      </c>
      <c r="N64" s="65" t="s">
        <v>105</v>
      </c>
      <c r="O64" s="66" t="s">
        <v>118</v>
      </c>
      <c r="P64" s="65" t="s">
        <v>119</v>
      </c>
      <c r="Q64" s="66">
        <v>95717</v>
      </c>
      <c r="R64" s="67"/>
      <c r="S64" s="68"/>
      <c r="T64" s="68"/>
      <c r="U64" s="68"/>
      <c r="V64" s="68"/>
      <c r="W64" s="64" t="s">
        <v>105</v>
      </c>
      <c r="X64" s="64"/>
      <c r="Y64" s="64" t="s">
        <v>106</v>
      </c>
      <c r="Z64" s="64" t="str">
        <f t="shared" si="3"/>
        <v>KELURAHAN POYOWA BESAR SATU KOTAMOBAGU</v>
      </c>
      <c r="AA64" s="65"/>
      <c r="AB64" s="65"/>
      <c r="AC64" s="65" t="s">
        <v>70</v>
      </c>
      <c r="AD64" s="64" t="str">
        <f t="shared" si="26"/>
        <v>POYOWA BESAR</v>
      </c>
      <c r="AE64" s="67"/>
      <c r="AF64" s="67"/>
      <c r="AG64" s="67"/>
      <c r="AH64" s="67"/>
      <c r="AI64" s="69"/>
      <c r="AJ64" s="11" t="s">
        <v>669</v>
      </c>
      <c r="AK64" s="65" t="s">
        <v>96</v>
      </c>
      <c r="AL64" s="65"/>
      <c r="AM64" s="65"/>
      <c r="AN64" s="65"/>
      <c r="AO64" s="65"/>
      <c r="AP64" s="65"/>
      <c r="AQ64" s="177" t="s">
        <v>97</v>
      </c>
      <c r="AR64" s="70" t="str">
        <f t="shared" si="5"/>
        <v>KTG.100.0101</v>
      </c>
      <c r="AS64" s="71" t="str">
        <f t="shared" si="5"/>
        <v>KPBS-2.020</v>
      </c>
      <c r="AT64" s="71" t="str">
        <f t="shared" si="5"/>
        <v>A04</v>
      </c>
      <c r="AU64" s="72"/>
      <c r="AV64" s="202">
        <v>0.71073366199999899</v>
      </c>
      <c r="AW64" s="202">
        <v>124.3241721144</v>
      </c>
      <c r="AX64" s="65" t="s">
        <v>98</v>
      </c>
      <c r="AY64" s="65" t="s">
        <v>94</v>
      </c>
      <c r="AZ64" s="65" t="s">
        <v>94</v>
      </c>
      <c r="BA64" s="73" t="s">
        <v>77</v>
      </c>
      <c r="BB64" s="65" t="s">
        <v>98</v>
      </c>
      <c r="BC64" s="65">
        <v>31</v>
      </c>
      <c r="BD64" s="65" t="s">
        <v>98</v>
      </c>
      <c r="BE64" s="211" t="str">
        <f t="shared" ref="BE64:BE66" si="28">AJ64&amp;", "&amp;AD64&amp;","&amp;AI64</f>
        <v>413, POYOWA BESAR,</v>
      </c>
    </row>
    <row r="65" spans="1:57" s="211" customFormat="1" ht="15.75" customHeight="1">
      <c r="A65" s="207"/>
      <c r="B65" s="208"/>
      <c r="C65" s="208"/>
      <c r="D65" s="208"/>
      <c r="E65" s="208"/>
      <c r="F65" s="208"/>
      <c r="G65" s="208"/>
      <c r="H65" s="23">
        <v>15</v>
      </c>
      <c r="I65" s="64" t="str">
        <f t="shared" ref="I65:M65" si="29">I64</f>
        <v>MR.KPBS.P053</v>
      </c>
      <c r="J65" s="64">
        <f t="shared" si="29"/>
        <v>0.71066174999999998</v>
      </c>
      <c r="K65" s="64">
        <f t="shared" si="29"/>
        <v>124.3245514427</v>
      </c>
      <c r="L65" s="64" t="str">
        <f t="shared" si="29"/>
        <v>JL. RAYA POYOWA BESAR</v>
      </c>
      <c r="M65" s="64" t="str">
        <f t="shared" si="29"/>
        <v>SULAWESI UTARA</v>
      </c>
      <c r="N65" s="65" t="s">
        <v>105</v>
      </c>
      <c r="O65" s="66" t="s">
        <v>118</v>
      </c>
      <c r="P65" s="65" t="s">
        <v>119</v>
      </c>
      <c r="Q65" s="66">
        <v>95717</v>
      </c>
      <c r="R65" s="67"/>
      <c r="S65" s="68"/>
      <c r="T65" s="68"/>
      <c r="U65" s="68"/>
      <c r="V65" s="68"/>
      <c r="W65" s="64" t="s">
        <v>105</v>
      </c>
      <c r="X65" s="64"/>
      <c r="Y65" s="64" t="s">
        <v>106</v>
      </c>
      <c r="Z65" s="64" t="str">
        <f t="shared" si="3"/>
        <v>KELURAHAN POYOWA BESAR SATU KOTAMOBAGU</v>
      </c>
      <c r="AA65" s="65"/>
      <c r="AB65" s="65"/>
      <c r="AC65" s="65" t="s">
        <v>70</v>
      </c>
      <c r="AD65" s="64" t="str">
        <f t="shared" si="26"/>
        <v>POYOWA BESAR</v>
      </c>
      <c r="AE65" s="67"/>
      <c r="AF65" s="67"/>
      <c r="AG65" s="67"/>
      <c r="AH65" s="67"/>
      <c r="AI65" s="69"/>
      <c r="AJ65" s="11" t="s">
        <v>670</v>
      </c>
      <c r="AK65" s="65" t="s">
        <v>96</v>
      </c>
      <c r="AL65" s="65"/>
      <c r="AM65" s="65"/>
      <c r="AN65" s="65"/>
      <c r="AO65" s="65"/>
      <c r="AP65" s="65"/>
      <c r="AQ65" s="177" t="s">
        <v>97</v>
      </c>
      <c r="AR65" s="70" t="str">
        <f t="shared" si="5"/>
        <v>KTG.100.0101</v>
      </c>
      <c r="AS65" s="71" t="str">
        <f t="shared" si="5"/>
        <v>KPBS-2.020</v>
      </c>
      <c r="AT65" s="71" t="str">
        <f t="shared" si="5"/>
        <v>A04</v>
      </c>
      <c r="AU65" s="72"/>
      <c r="AV65" s="202">
        <v>0.71052983669999903</v>
      </c>
      <c r="AW65" s="202">
        <v>124.3241447505</v>
      </c>
      <c r="AX65" s="65" t="s">
        <v>98</v>
      </c>
      <c r="AY65" s="65" t="s">
        <v>94</v>
      </c>
      <c r="AZ65" s="65" t="s">
        <v>94</v>
      </c>
      <c r="BA65" s="73" t="s">
        <v>77</v>
      </c>
      <c r="BB65" s="65" t="s">
        <v>98</v>
      </c>
      <c r="BC65" s="65">
        <v>31</v>
      </c>
      <c r="BD65" s="65" t="s">
        <v>98</v>
      </c>
      <c r="BE65" s="211" t="str">
        <f t="shared" si="28"/>
        <v>514, POYOWA BESAR,</v>
      </c>
    </row>
    <row r="66" spans="1:57" s="211" customFormat="1" ht="15.75" customHeight="1">
      <c r="A66" s="207"/>
      <c r="B66" s="208"/>
      <c r="C66" s="208"/>
      <c r="D66" s="208"/>
      <c r="E66" s="208"/>
      <c r="F66" s="208"/>
      <c r="G66" s="208"/>
      <c r="H66" s="23">
        <v>16</v>
      </c>
      <c r="I66" s="64" t="str">
        <f t="shared" ref="I66:M66" si="30">I65</f>
        <v>MR.KPBS.P053</v>
      </c>
      <c r="J66" s="64">
        <f t="shared" si="30"/>
        <v>0.71066174999999998</v>
      </c>
      <c r="K66" s="64">
        <f t="shared" si="30"/>
        <v>124.3245514427</v>
      </c>
      <c r="L66" s="64" t="str">
        <f t="shared" si="30"/>
        <v>JL. RAYA POYOWA BESAR</v>
      </c>
      <c r="M66" s="64" t="str">
        <f t="shared" si="30"/>
        <v>SULAWESI UTARA</v>
      </c>
      <c r="N66" s="65" t="s">
        <v>105</v>
      </c>
      <c r="O66" s="66" t="s">
        <v>118</v>
      </c>
      <c r="P66" s="65" t="s">
        <v>119</v>
      </c>
      <c r="Q66" s="66">
        <v>95717</v>
      </c>
      <c r="R66" s="67"/>
      <c r="S66" s="68"/>
      <c r="T66" s="68"/>
      <c r="U66" s="68"/>
      <c r="V66" s="68"/>
      <c r="W66" s="64" t="s">
        <v>105</v>
      </c>
      <c r="X66" s="64"/>
      <c r="Y66" s="64" t="s">
        <v>106</v>
      </c>
      <c r="Z66" s="64" t="str">
        <f t="shared" si="3"/>
        <v>KELURAHAN POYOWA BESAR SATU KOTAMOBAGU</v>
      </c>
      <c r="AA66" s="65"/>
      <c r="AB66" s="65"/>
      <c r="AC66" s="65" t="s">
        <v>70</v>
      </c>
      <c r="AD66" s="64" t="str">
        <f t="shared" si="26"/>
        <v>POYOWA BESAR</v>
      </c>
      <c r="AE66" s="67"/>
      <c r="AF66" s="67"/>
      <c r="AG66" s="67"/>
      <c r="AH66" s="67"/>
      <c r="AI66" s="69"/>
      <c r="AJ66" s="11" t="s">
        <v>671</v>
      </c>
      <c r="AK66" s="65" t="s">
        <v>96</v>
      </c>
      <c r="AL66" s="65"/>
      <c r="AM66" s="65"/>
      <c r="AN66" s="65"/>
      <c r="AO66" s="65"/>
      <c r="AP66" s="65"/>
      <c r="AQ66" s="177" t="s">
        <v>97</v>
      </c>
      <c r="AR66" s="70" t="str">
        <f t="shared" si="5"/>
        <v>KTG.100.0101</v>
      </c>
      <c r="AS66" s="71" t="str">
        <f t="shared" si="5"/>
        <v>KPBS-2.020</v>
      </c>
      <c r="AT66" s="71" t="str">
        <f t="shared" si="5"/>
        <v>A04</v>
      </c>
      <c r="AU66" s="72"/>
      <c r="AV66" s="202">
        <v>0.71082847090000001</v>
      </c>
      <c r="AW66" s="202">
        <v>124.3247648695</v>
      </c>
      <c r="AX66" s="65" t="s">
        <v>98</v>
      </c>
      <c r="AY66" s="65" t="s">
        <v>94</v>
      </c>
      <c r="AZ66" s="65" t="s">
        <v>94</v>
      </c>
      <c r="BA66" s="73" t="s">
        <v>77</v>
      </c>
      <c r="BB66" s="65" t="s">
        <v>98</v>
      </c>
      <c r="BC66" s="65">
        <v>31</v>
      </c>
      <c r="BD66" s="65" t="s">
        <v>98</v>
      </c>
      <c r="BE66" s="211" t="str">
        <f t="shared" si="28"/>
        <v>419, POYOWA BESAR,</v>
      </c>
    </row>
    <row r="67" spans="1:57" s="211" customFormat="1" ht="15.75" customHeight="1">
      <c r="A67" s="36" t="s">
        <v>67</v>
      </c>
      <c r="B67" s="36">
        <f>B51+1</f>
        <v>5</v>
      </c>
      <c r="C67" s="33" t="s">
        <v>68</v>
      </c>
      <c r="D67" s="37" t="s">
        <v>348</v>
      </c>
      <c r="E67" s="38">
        <v>1</v>
      </c>
      <c r="F67" s="39">
        <f>F52+1</f>
        <v>9</v>
      </c>
      <c r="G67" s="213" t="s">
        <v>74</v>
      </c>
      <c r="H67" s="35">
        <v>1</v>
      </c>
      <c r="I67" s="48" t="s">
        <v>252</v>
      </c>
      <c r="J67" s="54">
        <v>0.71063107670000003</v>
      </c>
      <c r="K67" s="54">
        <v>124.3240550327</v>
      </c>
      <c r="L67" s="112" t="s">
        <v>116</v>
      </c>
      <c r="M67" s="56" t="s">
        <v>117</v>
      </c>
      <c r="N67" s="76" t="s">
        <v>105</v>
      </c>
      <c r="O67" s="49" t="s">
        <v>118</v>
      </c>
      <c r="P67" s="76" t="s">
        <v>119</v>
      </c>
      <c r="Q67" s="49">
        <v>95717</v>
      </c>
      <c r="R67" s="51"/>
      <c r="S67" s="52"/>
      <c r="T67" s="53"/>
      <c r="U67" s="52"/>
      <c r="V67" s="53"/>
      <c r="W67" s="50" t="s">
        <v>105</v>
      </c>
      <c r="X67" s="54"/>
      <c r="Y67" s="56" t="s">
        <v>106</v>
      </c>
      <c r="Z67" s="56" t="str">
        <f>Z63</f>
        <v>KELURAHAN POYOWA BESAR SATU KOTAMOBAGU</v>
      </c>
      <c r="AA67" s="55"/>
      <c r="AB67" s="55"/>
      <c r="AC67" s="55" t="s">
        <v>70</v>
      </c>
      <c r="AD67" s="116" t="s">
        <v>119</v>
      </c>
      <c r="AE67" s="57"/>
      <c r="AF67" s="57"/>
      <c r="AG67" s="57"/>
      <c r="AH67" s="57"/>
      <c r="AI67" s="58"/>
      <c r="AJ67" s="114" t="s">
        <v>672</v>
      </c>
      <c r="AK67" s="55" t="s">
        <v>96</v>
      </c>
      <c r="AL67" s="62"/>
      <c r="AM67" s="184"/>
      <c r="AN67" s="184"/>
      <c r="AO67" s="184"/>
      <c r="AP67" s="184"/>
      <c r="AQ67" s="185" t="s">
        <v>97</v>
      </c>
      <c r="AR67" s="59" t="str">
        <f>AR63</f>
        <v>KTG.100.0101</v>
      </c>
      <c r="AS67" s="60" t="str">
        <f>AS51</f>
        <v>KPBS-2.020</v>
      </c>
      <c r="AT67" s="60" t="str">
        <f>G67</f>
        <v>A05</v>
      </c>
      <c r="AU67" s="61"/>
      <c r="AV67" s="201">
        <v>0.71119576770000004</v>
      </c>
      <c r="AW67" s="201">
        <v>124.3237500124</v>
      </c>
      <c r="AX67" s="62" t="s">
        <v>98</v>
      </c>
      <c r="AY67" s="62" t="s">
        <v>94</v>
      </c>
      <c r="AZ67" s="62" t="s">
        <v>94</v>
      </c>
      <c r="BA67" s="63" t="s">
        <v>77</v>
      </c>
      <c r="BB67" s="62" t="s">
        <v>98</v>
      </c>
      <c r="BC67" s="62">
        <v>31</v>
      </c>
      <c r="BD67" s="62" t="s">
        <v>98</v>
      </c>
      <c r="BE67" s="211" t="str">
        <f t="shared" si="1"/>
        <v>406, POYOWA BESAR,</v>
      </c>
    </row>
    <row r="68" spans="1:57" s="211" customFormat="1" ht="15.75" customHeight="1">
      <c r="A68" s="46"/>
      <c r="B68" s="46"/>
      <c r="C68" s="22" t="s">
        <v>68</v>
      </c>
      <c r="D68" s="22" t="s">
        <v>348</v>
      </c>
      <c r="E68" s="33">
        <v>1</v>
      </c>
      <c r="F68" s="47">
        <f>F67+1</f>
        <v>10</v>
      </c>
      <c r="G68" s="214"/>
      <c r="H68" s="23">
        <v>2</v>
      </c>
      <c r="I68" s="64" t="str">
        <f t="shared" ref="I68:M81" si="31">I67</f>
        <v>MR.KPBS.P055</v>
      </c>
      <c r="J68" s="64">
        <f t="shared" si="31"/>
        <v>0.71063107670000003</v>
      </c>
      <c r="K68" s="64">
        <f t="shared" si="31"/>
        <v>124.3240550327</v>
      </c>
      <c r="L68" s="64" t="str">
        <f t="shared" si="31"/>
        <v>JL. RAYA POYOWA BESAR</v>
      </c>
      <c r="M68" s="64" t="str">
        <f t="shared" si="31"/>
        <v>SULAWESI UTARA</v>
      </c>
      <c r="N68" s="65" t="s">
        <v>105</v>
      </c>
      <c r="O68" s="66" t="s">
        <v>118</v>
      </c>
      <c r="P68" s="65" t="s">
        <v>119</v>
      </c>
      <c r="Q68" s="66">
        <v>95717</v>
      </c>
      <c r="R68" s="67"/>
      <c r="S68" s="68"/>
      <c r="T68" s="68"/>
      <c r="U68" s="68"/>
      <c r="V68" s="68"/>
      <c r="W68" s="65" t="s">
        <v>105</v>
      </c>
      <c r="X68" s="64"/>
      <c r="Y68" s="64" t="s">
        <v>106</v>
      </c>
      <c r="Z68" s="64" t="str">
        <f t="shared" si="3"/>
        <v>KELURAHAN POYOWA BESAR SATU KOTAMOBAGU</v>
      </c>
      <c r="AA68" s="65"/>
      <c r="AB68" s="65"/>
      <c r="AC68" s="65" t="s">
        <v>70</v>
      </c>
      <c r="AD68" s="64" t="str">
        <f t="shared" ref="AD68:AD81" si="32">AD67</f>
        <v>POYOWA BESAR</v>
      </c>
      <c r="AE68" s="67"/>
      <c r="AF68" s="67"/>
      <c r="AG68" s="67"/>
      <c r="AH68" s="67"/>
      <c r="AI68" s="69"/>
      <c r="AJ68" s="11" t="s">
        <v>673</v>
      </c>
      <c r="AK68" s="65" t="s">
        <v>96</v>
      </c>
      <c r="AL68" s="65"/>
      <c r="AM68" s="176"/>
      <c r="AN68" s="176"/>
      <c r="AO68" s="176"/>
      <c r="AP68" s="176"/>
      <c r="AQ68" s="177" t="s">
        <v>97</v>
      </c>
      <c r="AR68" s="70" t="str">
        <f t="shared" si="5"/>
        <v>KTG.100.0101</v>
      </c>
      <c r="AS68" s="71" t="str">
        <f t="shared" si="6"/>
        <v>KPBS-2.020</v>
      </c>
      <c r="AT68" s="71" t="str">
        <f t="shared" si="6"/>
        <v>A05</v>
      </c>
      <c r="AU68" s="72"/>
      <c r="AV68" s="202">
        <v>0.71113337139999999</v>
      </c>
      <c r="AW68" s="202">
        <v>124.32377537870001</v>
      </c>
      <c r="AX68" s="65" t="s">
        <v>98</v>
      </c>
      <c r="AY68" s="65" t="s">
        <v>94</v>
      </c>
      <c r="AZ68" s="65" t="s">
        <v>94</v>
      </c>
      <c r="BA68" s="73" t="s">
        <v>77</v>
      </c>
      <c r="BB68" s="65" t="s">
        <v>98</v>
      </c>
      <c r="BC68" s="65">
        <v>31</v>
      </c>
      <c r="BD68" s="65" t="s">
        <v>98</v>
      </c>
      <c r="BE68" s="211" t="str">
        <f t="shared" si="1"/>
        <v>405, POYOWA BESAR,</v>
      </c>
    </row>
    <row r="69" spans="1:57" s="211" customFormat="1" ht="15.75" customHeight="1">
      <c r="A69" s="221"/>
      <c r="B69" s="222"/>
      <c r="C69" s="222"/>
      <c r="D69" s="222"/>
      <c r="E69" s="222"/>
      <c r="F69" s="222"/>
      <c r="G69" s="223"/>
      <c r="H69" s="23">
        <v>3</v>
      </c>
      <c r="I69" s="64" t="str">
        <f t="shared" si="31"/>
        <v>MR.KPBS.P055</v>
      </c>
      <c r="J69" s="64">
        <f t="shared" si="31"/>
        <v>0.71063107670000003</v>
      </c>
      <c r="K69" s="64">
        <f t="shared" si="31"/>
        <v>124.3240550327</v>
      </c>
      <c r="L69" s="64" t="str">
        <f t="shared" si="31"/>
        <v>JL. RAYA POYOWA BESAR</v>
      </c>
      <c r="M69" s="64" t="str">
        <f t="shared" si="31"/>
        <v>SULAWESI UTARA</v>
      </c>
      <c r="N69" s="65" t="s">
        <v>105</v>
      </c>
      <c r="O69" s="66" t="s">
        <v>118</v>
      </c>
      <c r="P69" s="65" t="s">
        <v>119</v>
      </c>
      <c r="Q69" s="66">
        <v>95717</v>
      </c>
      <c r="R69" s="67"/>
      <c r="S69" s="68"/>
      <c r="T69" s="68"/>
      <c r="U69" s="68"/>
      <c r="V69" s="68"/>
      <c r="W69" s="65" t="s">
        <v>105</v>
      </c>
      <c r="X69" s="64"/>
      <c r="Y69" s="64" t="s">
        <v>106</v>
      </c>
      <c r="Z69" s="64" t="str">
        <f t="shared" si="3"/>
        <v>KELURAHAN POYOWA BESAR SATU KOTAMOBAGU</v>
      </c>
      <c r="AA69" s="65"/>
      <c r="AB69" s="65"/>
      <c r="AC69" s="65" t="s">
        <v>70</v>
      </c>
      <c r="AD69" s="64" t="str">
        <f t="shared" si="32"/>
        <v>POYOWA BESAR</v>
      </c>
      <c r="AE69" s="67"/>
      <c r="AF69" s="67"/>
      <c r="AG69" s="67"/>
      <c r="AH69" s="67"/>
      <c r="AI69" s="69"/>
      <c r="AJ69" s="11" t="s">
        <v>674</v>
      </c>
      <c r="AK69" s="65" t="s">
        <v>96</v>
      </c>
      <c r="AL69" s="65"/>
      <c r="AM69" s="176"/>
      <c r="AN69" s="176"/>
      <c r="AO69" s="176"/>
      <c r="AP69" s="176"/>
      <c r="AQ69" s="177" t="s">
        <v>97</v>
      </c>
      <c r="AR69" s="70" t="str">
        <f t="shared" si="5"/>
        <v>KTG.100.0101</v>
      </c>
      <c r="AS69" s="71" t="str">
        <f t="shared" si="6"/>
        <v>KPBS-2.020</v>
      </c>
      <c r="AT69" s="71" t="str">
        <f t="shared" si="6"/>
        <v>A05</v>
      </c>
      <c r="AU69" s="72"/>
      <c r="AV69" s="202">
        <v>0.71107559720000002</v>
      </c>
      <c r="AW69" s="202">
        <v>124.3237892148</v>
      </c>
      <c r="AX69" s="65" t="s">
        <v>98</v>
      </c>
      <c r="AY69" s="65" t="s">
        <v>94</v>
      </c>
      <c r="AZ69" s="65" t="s">
        <v>94</v>
      </c>
      <c r="BA69" s="73" t="s">
        <v>77</v>
      </c>
      <c r="BB69" s="65" t="s">
        <v>98</v>
      </c>
      <c r="BC69" s="65">
        <v>31</v>
      </c>
      <c r="BD69" s="65" t="s">
        <v>98</v>
      </c>
      <c r="BE69" s="211" t="str">
        <f t="shared" si="1"/>
        <v>404, POYOWA BESAR,</v>
      </c>
    </row>
    <row r="70" spans="1:57" s="211" customFormat="1" ht="15.75" customHeight="1">
      <c r="A70" s="224"/>
      <c r="B70" s="225"/>
      <c r="C70" s="225"/>
      <c r="D70" s="225"/>
      <c r="E70" s="225"/>
      <c r="F70" s="225"/>
      <c r="G70" s="226"/>
      <c r="H70" s="23">
        <v>4</v>
      </c>
      <c r="I70" s="64" t="str">
        <f t="shared" si="31"/>
        <v>MR.KPBS.P055</v>
      </c>
      <c r="J70" s="64">
        <f t="shared" si="31"/>
        <v>0.71063107670000003</v>
      </c>
      <c r="K70" s="64">
        <f t="shared" si="31"/>
        <v>124.3240550327</v>
      </c>
      <c r="L70" s="64" t="str">
        <f t="shared" si="31"/>
        <v>JL. RAYA POYOWA BESAR</v>
      </c>
      <c r="M70" s="64" t="str">
        <f t="shared" si="31"/>
        <v>SULAWESI UTARA</v>
      </c>
      <c r="N70" s="65" t="s">
        <v>105</v>
      </c>
      <c r="O70" s="66" t="s">
        <v>118</v>
      </c>
      <c r="P70" s="65" t="s">
        <v>119</v>
      </c>
      <c r="Q70" s="66">
        <v>95717</v>
      </c>
      <c r="R70" s="67"/>
      <c r="S70" s="68"/>
      <c r="T70" s="68"/>
      <c r="U70" s="68"/>
      <c r="V70" s="68"/>
      <c r="W70" s="65" t="s">
        <v>105</v>
      </c>
      <c r="X70" s="64"/>
      <c r="Y70" s="64" t="s">
        <v>106</v>
      </c>
      <c r="Z70" s="64" t="str">
        <f t="shared" si="3"/>
        <v>KELURAHAN POYOWA BESAR SATU KOTAMOBAGU</v>
      </c>
      <c r="AA70" s="65"/>
      <c r="AB70" s="65"/>
      <c r="AC70" s="65" t="s">
        <v>70</v>
      </c>
      <c r="AD70" s="64" t="str">
        <f t="shared" si="32"/>
        <v>POYOWA BESAR</v>
      </c>
      <c r="AE70" s="67"/>
      <c r="AF70" s="67"/>
      <c r="AG70" s="67"/>
      <c r="AH70" s="67"/>
      <c r="AI70" s="69"/>
      <c r="AJ70" s="11" t="s">
        <v>675</v>
      </c>
      <c r="AK70" s="65" t="s">
        <v>96</v>
      </c>
      <c r="AL70" s="65"/>
      <c r="AM70" s="176"/>
      <c r="AN70" s="176"/>
      <c r="AO70" s="176"/>
      <c r="AP70" s="176"/>
      <c r="AQ70" s="177" t="s">
        <v>97</v>
      </c>
      <c r="AR70" s="70" t="str">
        <f t="shared" si="5"/>
        <v>KTG.100.0101</v>
      </c>
      <c r="AS70" s="71" t="str">
        <f t="shared" si="6"/>
        <v>KPBS-2.020</v>
      </c>
      <c r="AT70" s="71" t="str">
        <f t="shared" si="6"/>
        <v>A05</v>
      </c>
      <c r="AU70" s="72"/>
      <c r="AV70" s="202">
        <v>0.71116119779999998</v>
      </c>
      <c r="AW70" s="202">
        <v>124.3241052397</v>
      </c>
      <c r="AX70" s="65" t="s">
        <v>98</v>
      </c>
      <c r="AY70" s="65" t="s">
        <v>94</v>
      </c>
      <c r="AZ70" s="65" t="s">
        <v>94</v>
      </c>
      <c r="BA70" s="73" t="s">
        <v>77</v>
      </c>
      <c r="BB70" s="65" t="s">
        <v>98</v>
      </c>
      <c r="BC70" s="65">
        <v>31</v>
      </c>
      <c r="BD70" s="65" t="s">
        <v>98</v>
      </c>
      <c r="BE70" s="211" t="str">
        <f t="shared" si="1"/>
        <v>408, POYOWA BESAR,</v>
      </c>
    </row>
    <row r="71" spans="1:57" s="211" customFormat="1" ht="15.75" customHeight="1">
      <c r="A71" s="224"/>
      <c r="B71" s="225"/>
      <c r="C71" s="225"/>
      <c r="D71" s="225"/>
      <c r="E71" s="225"/>
      <c r="F71" s="225"/>
      <c r="G71" s="226"/>
      <c r="H71" s="23">
        <v>5</v>
      </c>
      <c r="I71" s="64" t="str">
        <f t="shared" si="31"/>
        <v>MR.KPBS.P055</v>
      </c>
      <c r="J71" s="64">
        <f t="shared" si="31"/>
        <v>0.71063107670000003</v>
      </c>
      <c r="K71" s="64">
        <f t="shared" si="31"/>
        <v>124.3240550327</v>
      </c>
      <c r="L71" s="64" t="str">
        <f t="shared" si="31"/>
        <v>JL. RAYA POYOWA BESAR</v>
      </c>
      <c r="M71" s="64" t="str">
        <f t="shared" si="31"/>
        <v>SULAWESI UTARA</v>
      </c>
      <c r="N71" s="65" t="s">
        <v>105</v>
      </c>
      <c r="O71" s="66" t="s">
        <v>118</v>
      </c>
      <c r="P71" s="65" t="s">
        <v>119</v>
      </c>
      <c r="Q71" s="66">
        <v>95717</v>
      </c>
      <c r="R71" s="67"/>
      <c r="S71" s="68"/>
      <c r="T71" s="68"/>
      <c r="U71" s="68"/>
      <c r="V71" s="68"/>
      <c r="W71" s="65" t="s">
        <v>105</v>
      </c>
      <c r="X71" s="64"/>
      <c r="Y71" s="64" t="s">
        <v>106</v>
      </c>
      <c r="Z71" s="64" t="str">
        <f t="shared" si="3"/>
        <v>KELURAHAN POYOWA BESAR SATU KOTAMOBAGU</v>
      </c>
      <c r="AA71" s="65"/>
      <c r="AB71" s="65"/>
      <c r="AC71" s="65" t="s">
        <v>70</v>
      </c>
      <c r="AD71" s="64" t="str">
        <f t="shared" si="32"/>
        <v>POYOWA BESAR</v>
      </c>
      <c r="AE71" s="67"/>
      <c r="AF71" s="67"/>
      <c r="AG71" s="67"/>
      <c r="AH71" s="67"/>
      <c r="AI71" s="69"/>
      <c r="AJ71" s="11" t="s">
        <v>676</v>
      </c>
      <c r="AK71" s="65" t="s">
        <v>96</v>
      </c>
      <c r="AL71" s="65"/>
      <c r="AM71" s="176"/>
      <c r="AN71" s="176"/>
      <c r="AO71" s="176"/>
      <c r="AP71" s="176"/>
      <c r="AQ71" s="177" t="s">
        <v>97</v>
      </c>
      <c r="AR71" s="70" t="str">
        <f t="shared" si="5"/>
        <v>KTG.100.0101</v>
      </c>
      <c r="AS71" s="71" t="str">
        <f t="shared" ref="AS71:AT136" si="33">AS70</f>
        <v>KPBS-2.020</v>
      </c>
      <c r="AT71" s="71" t="str">
        <f t="shared" si="33"/>
        <v>A05</v>
      </c>
      <c r="AU71" s="72"/>
      <c r="AV71" s="202">
        <v>0.71101550579999895</v>
      </c>
      <c r="AW71" s="202">
        <v>124.3237961328</v>
      </c>
      <c r="AX71" s="65" t="s">
        <v>98</v>
      </c>
      <c r="AY71" s="65" t="s">
        <v>94</v>
      </c>
      <c r="AZ71" s="65" t="s">
        <v>94</v>
      </c>
      <c r="BA71" s="73" t="s">
        <v>77</v>
      </c>
      <c r="BB71" s="65" t="s">
        <v>98</v>
      </c>
      <c r="BC71" s="65">
        <v>31</v>
      </c>
      <c r="BD71" s="65" t="s">
        <v>98</v>
      </c>
      <c r="BE71" s="211" t="str">
        <f t="shared" si="1"/>
        <v>403, POYOWA BESAR,</v>
      </c>
    </row>
    <row r="72" spans="1:57" s="211" customFormat="1" ht="15.75" customHeight="1">
      <c r="A72" s="224"/>
      <c r="B72" s="225"/>
      <c r="C72" s="225"/>
      <c r="D72" s="225"/>
      <c r="E72" s="225"/>
      <c r="F72" s="225"/>
      <c r="G72" s="226"/>
      <c r="H72" s="23">
        <v>6</v>
      </c>
      <c r="I72" s="64" t="str">
        <f t="shared" si="31"/>
        <v>MR.KPBS.P055</v>
      </c>
      <c r="J72" s="64">
        <f t="shared" si="31"/>
        <v>0.71063107670000003</v>
      </c>
      <c r="K72" s="64">
        <f t="shared" si="31"/>
        <v>124.3240550327</v>
      </c>
      <c r="L72" s="64" t="str">
        <f t="shared" si="31"/>
        <v>JL. RAYA POYOWA BESAR</v>
      </c>
      <c r="M72" s="64" t="str">
        <f t="shared" si="31"/>
        <v>SULAWESI UTARA</v>
      </c>
      <c r="N72" s="65" t="s">
        <v>105</v>
      </c>
      <c r="O72" s="66" t="s">
        <v>118</v>
      </c>
      <c r="P72" s="65" t="s">
        <v>119</v>
      </c>
      <c r="Q72" s="66">
        <v>95717</v>
      </c>
      <c r="R72" s="67"/>
      <c r="S72" s="68"/>
      <c r="T72" s="74"/>
      <c r="U72" s="74"/>
      <c r="V72" s="74"/>
      <c r="W72" s="65" t="s">
        <v>105</v>
      </c>
      <c r="X72" s="64"/>
      <c r="Y72" s="64" t="s">
        <v>106</v>
      </c>
      <c r="Z72" s="64" t="str">
        <f t="shared" si="3"/>
        <v>KELURAHAN POYOWA BESAR SATU KOTAMOBAGU</v>
      </c>
      <c r="AA72" s="65"/>
      <c r="AB72" s="65"/>
      <c r="AC72" s="65" t="s">
        <v>70</v>
      </c>
      <c r="AD72" s="64" t="str">
        <f t="shared" si="32"/>
        <v>POYOWA BESAR</v>
      </c>
      <c r="AE72" s="75"/>
      <c r="AF72" s="75"/>
      <c r="AG72" s="75"/>
      <c r="AH72" s="75"/>
      <c r="AI72" s="69"/>
      <c r="AJ72" s="11" t="s">
        <v>677</v>
      </c>
      <c r="AK72" s="65" t="s">
        <v>96</v>
      </c>
      <c r="AL72" s="65"/>
      <c r="AM72" s="176"/>
      <c r="AN72" s="176"/>
      <c r="AO72" s="176"/>
      <c r="AP72" s="176"/>
      <c r="AQ72" s="186" t="s">
        <v>97</v>
      </c>
      <c r="AR72" s="70" t="str">
        <f t="shared" si="5"/>
        <v>KTG.100.0101</v>
      </c>
      <c r="AS72" s="71" t="str">
        <f t="shared" si="33"/>
        <v>KPBS-2.020</v>
      </c>
      <c r="AT72" s="71" t="str">
        <f t="shared" si="33"/>
        <v>A05</v>
      </c>
      <c r="AU72" s="72"/>
      <c r="AV72" s="202">
        <v>0.71094849380000003</v>
      </c>
      <c r="AW72" s="202">
        <v>124.3237961328</v>
      </c>
      <c r="AX72" s="65" t="s">
        <v>98</v>
      </c>
      <c r="AY72" s="65" t="s">
        <v>94</v>
      </c>
      <c r="AZ72" s="65" t="s">
        <v>94</v>
      </c>
      <c r="BA72" s="73" t="s">
        <v>77</v>
      </c>
      <c r="BB72" s="65" t="s">
        <v>98</v>
      </c>
      <c r="BC72" s="65">
        <v>31</v>
      </c>
      <c r="BD72" s="65" t="s">
        <v>98</v>
      </c>
      <c r="BE72" s="211" t="str">
        <f t="shared" si="1"/>
        <v>402, POYOWA BESAR,</v>
      </c>
    </row>
    <row r="73" spans="1:57" s="211" customFormat="1" ht="15.75" customHeight="1">
      <c r="A73" s="224"/>
      <c r="B73" s="225"/>
      <c r="C73" s="225"/>
      <c r="D73" s="225"/>
      <c r="E73" s="225"/>
      <c r="F73" s="225"/>
      <c r="G73" s="226"/>
      <c r="H73" s="23">
        <v>7</v>
      </c>
      <c r="I73" s="64" t="str">
        <f t="shared" si="31"/>
        <v>MR.KPBS.P055</v>
      </c>
      <c r="J73" s="64">
        <f t="shared" si="31"/>
        <v>0.71063107670000003</v>
      </c>
      <c r="K73" s="64">
        <f t="shared" si="31"/>
        <v>124.3240550327</v>
      </c>
      <c r="L73" s="64" t="str">
        <f t="shared" si="31"/>
        <v>JL. RAYA POYOWA BESAR</v>
      </c>
      <c r="M73" s="64" t="str">
        <f t="shared" si="31"/>
        <v>SULAWESI UTARA</v>
      </c>
      <c r="N73" s="65" t="s">
        <v>105</v>
      </c>
      <c r="O73" s="66" t="s">
        <v>118</v>
      </c>
      <c r="P73" s="65" t="s">
        <v>119</v>
      </c>
      <c r="Q73" s="66">
        <v>95717</v>
      </c>
      <c r="R73" s="67"/>
      <c r="S73" s="68"/>
      <c r="T73" s="68"/>
      <c r="U73" s="68"/>
      <c r="V73" s="68"/>
      <c r="W73" s="65" t="s">
        <v>105</v>
      </c>
      <c r="X73" s="64"/>
      <c r="Y73" s="64" t="s">
        <v>106</v>
      </c>
      <c r="Z73" s="64" t="str">
        <f t="shared" si="3"/>
        <v>KELURAHAN POYOWA BESAR SATU KOTAMOBAGU</v>
      </c>
      <c r="AA73" s="65"/>
      <c r="AB73" s="65"/>
      <c r="AC73" s="65" t="s">
        <v>70</v>
      </c>
      <c r="AD73" s="64" t="str">
        <f t="shared" si="32"/>
        <v>POYOWA BESAR</v>
      </c>
      <c r="AE73" s="67"/>
      <c r="AF73" s="67"/>
      <c r="AG73" s="67"/>
      <c r="AH73" s="67"/>
      <c r="AI73" s="69"/>
      <c r="AJ73" s="11" t="s">
        <v>678</v>
      </c>
      <c r="AK73" s="65" t="s">
        <v>96</v>
      </c>
      <c r="AL73" s="65"/>
      <c r="AM73" s="65"/>
      <c r="AN73" s="65"/>
      <c r="AO73" s="65"/>
      <c r="AP73" s="65"/>
      <c r="AQ73" s="177" t="s">
        <v>97</v>
      </c>
      <c r="AR73" s="70" t="str">
        <f t="shared" ref="AR73:AR135" si="34">AR72</f>
        <v>KTG.100.0101</v>
      </c>
      <c r="AS73" s="71" t="str">
        <f t="shared" si="33"/>
        <v>KPBS-2.020</v>
      </c>
      <c r="AT73" s="71" t="str">
        <f t="shared" si="33"/>
        <v>A05</v>
      </c>
      <c r="AU73" s="72"/>
      <c r="AV73" s="202">
        <v>0.71094858849999998</v>
      </c>
      <c r="AW73" s="202">
        <v>124.3240660373</v>
      </c>
      <c r="AX73" s="65" t="s">
        <v>98</v>
      </c>
      <c r="AY73" s="65" t="s">
        <v>94</v>
      </c>
      <c r="AZ73" s="65" t="s">
        <v>94</v>
      </c>
      <c r="BA73" s="73" t="s">
        <v>77</v>
      </c>
      <c r="BB73" s="65" t="s">
        <v>98</v>
      </c>
      <c r="BC73" s="65">
        <v>31</v>
      </c>
      <c r="BD73" s="65" t="s">
        <v>98</v>
      </c>
      <c r="BE73" s="211" t="str">
        <f t="shared" ref="BE73:BE81" si="35">AJ73&amp;", "&amp;AD73&amp;","&amp;AI73</f>
        <v>409, POYOWA BESAR,</v>
      </c>
    </row>
    <row r="74" spans="1:57" s="211" customFormat="1" ht="15.75" customHeight="1">
      <c r="A74" s="224"/>
      <c r="B74" s="225"/>
      <c r="C74" s="225"/>
      <c r="D74" s="225"/>
      <c r="E74" s="225"/>
      <c r="F74" s="225"/>
      <c r="G74" s="226"/>
      <c r="H74" s="23">
        <v>8</v>
      </c>
      <c r="I74" s="64" t="str">
        <f t="shared" si="31"/>
        <v>MR.KPBS.P055</v>
      </c>
      <c r="J74" s="64">
        <f t="shared" si="31"/>
        <v>0.71063107670000003</v>
      </c>
      <c r="K74" s="64">
        <f t="shared" si="31"/>
        <v>124.3240550327</v>
      </c>
      <c r="L74" s="64" t="str">
        <f t="shared" si="31"/>
        <v>JL. RAYA POYOWA BESAR</v>
      </c>
      <c r="M74" s="64" t="str">
        <f t="shared" si="31"/>
        <v>SULAWESI UTARA</v>
      </c>
      <c r="N74" s="65" t="s">
        <v>105</v>
      </c>
      <c r="O74" s="66" t="s">
        <v>118</v>
      </c>
      <c r="P74" s="65" t="s">
        <v>119</v>
      </c>
      <c r="Q74" s="66">
        <v>95717</v>
      </c>
      <c r="R74" s="67"/>
      <c r="S74" s="68"/>
      <c r="T74" s="68"/>
      <c r="U74" s="68"/>
      <c r="V74" s="68"/>
      <c r="W74" s="64" t="s">
        <v>105</v>
      </c>
      <c r="X74" s="64"/>
      <c r="Y74" s="64" t="s">
        <v>106</v>
      </c>
      <c r="Z74" s="64" t="str">
        <f t="shared" ref="Z74:Z136" si="36">Z73</f>
        <v>KELURAHAN POYOWA BESAR SATU KOTAMOBAGU</v>
      </c>
      <c r="AA74" s="65"/>
      <c r="AB74" s="65"/>
      <c r="AC74" s="65" t="s">
        <v>70</v>
      </c>
      <c r="AD74" s="64" t="str">
        <f t="shared" si="32"/>
        <v>POYOWA BESAR</v>
      </c>
      <c r="AE74" s="67"/>
      <c r="AF74" s="67"/>
      <c r="AG74" s="67"/>
      <c r="AH74" s="67"/>
      <c r="AI74" s="69"/>
      <c r="AJ74" s="11" t="s">
        <v>679</v>
      </c>
      <c r="AK74" s="65" t="s">
        <v>96</v>
      </c>
      <c r="AL74" s="65"/>
      <c r="AM74" s="65"/>
      <c r="AN74" s="65"/>
      <c r="AO74" s="65"/>
      <c r="AP74" s="65"/>
      <c r="AQ74" s="177" t="s">
        <v>97</v>
      </c>
      <c r="AR74" s="70" t="str">
        <f t="shared" si="34"/>
        <v>KTG.100.0101</v>
      </c>
      <c r="AS74" s="71" t="str">
        <f t="shared" si="33"/>
        <v>KPBS-2.020</v>
      </c>
      <c r="AT74" s="71" t="str">
        <f t="shared" si="33"/>
        <v>A05</v>
      </c>
      <c r="AU74" s="72"/>
      <c r="AV74" s="202">
        <v>0.71091096503865703</v>
      </c>
      <c r="AW74" s="202">
        <v>124.32400264076399</v>
      </c>
      <c r="AX74" s="65" t="s">
        <v>98</v>
      </c>
      <c r="AY74" s="65" t="s">
        <v>94</v>
      </c>
      <c r="AZ74" s="65" t="s">
        <v>94</v>
      </c>
      <c r="BA74" s="73" t="s">
        <v>77</v>
      </c>
      <c r="BB74" s="65" t="s">
        <v>98</v>
      </c>
      <c r="BC74" s="65">
        <v>31</v>
      </c>
      <c r="BD74" s="65" t="s">
        <v>98</v>
      </c>
      <c r="BE74" s="211" t="str">
        <f t="shared" si="35"/>
        <v>409A, POYOWA BESAR,</v>
      </c>
    </row>
    <row r="75" spans="1:57" s="211" customFormat="1" ht="15.75" customHeight="1">
      <c r="A75" s="224"/>
      <c r="B75" s="225"/>
      <c r="C75" s="225"/>
      <c r="D75" s="225"/>
      <c r="E75" s="225"/>
      <c r="F75" s="225"/>
      <c r="G75" s="226"/>
      <c r="H75" s="23">
        <v>9</v>
      </c>
      <c r="I75" s="64" t="str">
        <f t="shared" si="31"/>
        <v>MR.KPBS.P055</v>
      </c>
      <c r="J75" s="64">
        <f t="shared" si="31"/>
        <v>0.71063107670000003</v>
      </c>
      <c r="K75" s="64">
        <f t="shared" si="31"/>
        <v>124.3240550327</v>
      </c>
      <c r="L75" s="64" t="str">
        <f t="shared" si="31"/>
        <v>JL. RAYA POYOWA BESAR</v>
      </c>
      <c r="M75" s="64" t="str">
        <f t="shared" si="31"/>
        <v>SULAWESI UTARA</v>
      </c>
      <c r="N75" s="65" t="s">
        <v>105</v>
      </c>
      <c r="O75" s="66" t="s">
        <v>118</v>
      </c>
      <c r="P75" s="65" t="s">
        <v>119</v>
      </c>
      <c r="Q75" s="66">
        <v>95717</v>
      </c>
      <c r="R75" s="67"/>
      <c r="S75" s="68"/>
      <c r="T75" s="68"/>
      <c r="U75" s="68"/>
      <c r="V75" s="68"/>
      <c r="W75" s="64" t="s">
        <v>105</v>
      </c>
      <c r="X75" s="64"/>
      <c r="Y75" s="64" t="s">
        <v>106</v>
      </c>
      <c r="Z75" s="64" t="str">
        <f t="shared" si="36"/>
        <v>KELURAHAN POYOWA BESAR SATU KOTAMOBAGU</v>
      </c>
      <c r="AA75" s="65"/>
      <c r="AB75" s="65"/>
      <c r="AC75" s="65" t="s">
        <v>70</v>
      </c>
      <c r="AD75" s="64" t="str">
        <f t="shared" si="32"/>
        <v>POYOWA BESAR</v>
      </c>
      <c r="AE75" s="67"/>
      <c r="AF75" s="67"/>
      <c r="AG75" s="67"/>
      <c r="AH75" s="67"/>
      <c r="AI75" s="69"/>
      <c r="AJ75" s="11" t="s">
        <v>680</v>
      </c>
      <c r="AK75" s="65" t="s">
        <v>96</v>
      </c>
      <c r="AL75" s="65"/>
      <c r="AM75" s="65"/>
      <c r="AN75" s="65"/>
      <c r="AO75" s="65"/>
      <c r="AP75" s="65"/>
      <c r="AQ75" s="177" t="s">
        <v>97</v>
      </c>
      <c r="AR75" s="70" t="str">
        <f t="shared" si="34"/>
        <v>KTG.100.0101</v>
      </c>
      <c r="AS75" s="71" t="str">
        <f t="shared" si="33"/>
        <v>KPBS-2.020</v>
      </c>
      <c r="AT75" s="71" t="str">
        <f t="shared" si="33"/>
        <v>A05</v>
      </c>
      <c r="AU75" s="72"/>
      <c r="AV75" s="202">
        <v>0.71088609749999898</v>
      </c>
      <c r="AW75" s="202">
        <v>124.32381227499999</v>
      </c>
      <c r="AX75" s="65" t="s">
        <v>98</v>
      </c>
      <c r="AY75" s="65" t="s">
        <v>94</v>
      </c>
      <c r="AZ75" s="65" t="s">
        <v>94</v>
      </c>
      <c r="BA75" s="73" t="s">
        <v>77</v>
      </c>
      <c r="BB75" s="65" t="s">
        <v>98</v>
      </c>
      <c r="BC75" s="65">
        <v>31</v>
      </c>
      <c r="BD75" s="65" t="s">
        <v>98</v>
      </c>
      <c r="BE75" s="211" t="str">
        <f t="shared" si="35"/>
        <v>401, POYOWA BESAR,</v>
      </c>
    </row>
    <row r="76" spans="1:57" s="211" customFormat="1" ht="15.75" customHeight="1">
      <c r="A76" s="224"/>
      <c r="B76" s="225"/>
      <c r="C76" s="225"/>
      <c r="D76" s="225"/>
      <c r="E76" s="225"/>
      <c r="F76" s="225"/>
      <c r="G76" s="226"/>
      <c r="H76" s="23">
        <v>10</v>
      </c>
      <c r="I76" s="64" t="str">
        <f t="shared" si="31"/>
        <v>MR.KPBS.P055</v>
      </c>
      <c r="J76" s="64">
        <f t="shared" si="31"/>
        <v>0.71063107670000003</v>
      </c>
      <c r="K76" s="64">
        <f t="shared" si="31"/>
        <v>124.3240550327</v>
      </c>
      <c r="L76" s="64" t="str">
        <f t="shared" si="31"/>
        <v>JL. RAYA POYOWA BESAR</v>
      </c>
      <c r="M76" s="64" t="str">
        <f t="shared" si="31"/>
        <v>SULAWESI UTARA</v>
      </c>
      <c r="N76" s="65" t="s">
        <v>105</v>
      </c>
      <c r="O76" s="66" t="s">
        <v>118</v>
      </c>
      <c r="P76" s="65" t="s">
        <v>119</v>
      </c>
      <c r="Q76" s="66">
        <v>95717</v>
      </c>
      <c r="R76" s="67"/>
      <c r="S76" s="68"/>
      <c r="T76" s="68"/>
      <c r="U76" s="68"/>
      <c r="V76" s="68"/>
      <c r="W76" s="64" t="s">
        <v>105</v>
      </c>
      <c r="X76" s="64"/>
      <c r="Y76" s="64" t="s">
        <v>106</v>
      </c>
      <c r="Z76" s="64" t="str">
        <f t="shared" si="36"/>
        <v>KELURAHAN POYOWA BESAR SATU KOTAMOBAGU</v>
      </c>
      <c r="AA76" s="65"/>
      <c r="AB76" s="65"/>
      <c r="AC76" s="65" t="s">
        <v>70</v>
      </c>
      <c r="AD76" s="64" t="str">
        <f t="shared" si="32"/>
        <v>POYOWA BESAR</v>
      </c>
      <c r="AE76" s="67"/>
      <c r="AF76" s="67"/>
      <c r="AG76" s="67"/>
      <c r="AH76" s="67"/>
      <c r="AI76" s="69"/>
      <c r="AJ76" s="11" t="s">
        <v>681</v>
      </c>
      <c r="AK76" s="65" t="s">
        <v>96</v>
      </c>
      <c r="AL76" s="65"/>
      <c r="AM76" s="65"/>
      <c r="AN76" s="65"/>
      <c r="AO76" s="65"/>
      <c r="AP76" s="65"/>
      <c r="AQ76" s="177" t="s">
        <v>97</v>
      </c>
      <c r="AR76" s="70" t="str">
        <f t="shared" si="34"/>
        <v>KTG.100.0101</v>
      </c>
      <c r="AS76" s="71" t="str">
        <f t="shared" si="33"/>
        <v>KPBS-2.020</v>
      </c>
      <c r="AT76" s="71" t="str">
        <f t="shared" si="33"/>
        <v>A05</v>
      </c>
      <c r="AU76" s="72"/>
      <c r="AV76" s="202">
        <v>0.71080752449999995</v>
      </c>
      <c r="AW76" s="202">
        <v>124.32382149910001</v>
      </c>
      <c r="AX76" s="65" t="s">
        <v>98</v>
      </c>
      <c r="AY76" s="65" t="s">
        <v>94</v>
      </c>
      <c r="AZ76" s="65" t="s">
        <v>94</v>
      </c>
      <c r="BA76" s="73" t="s">
        <v>77</v>
      </c>
      <c r="BB76" s="65" t="s">
        <v>98</v>
      </c>
      <c r="BC76" s="65">
        <v>31</v>
      </c>
      <c r="BD76" s="65" t="s">
        <v>98</v>
      </c>
      <c r="BE76" s="211" t="str">
        <f t="shared" si="35"/>
        <v>400, POYOWA BESAR,</v>
      </c>
    </row>
    <row r="77" spans="1:57" s="211" customFormat="1" ht="15.75" customHeight="1">
      <c r="A77" s="224"/>
      <c r="B77" s="225"/>
      <c r="C77" s="225"/>
      <c r="D77" s="225"/>
      <c r="E77" s="225"/>
      <c r="F77" s="225"/>
      <c r="G77" s="226"/>
      <c r="H77" s="23">
        <v>11</v>
      </c>
      <c r="I77" s="64" t="str">
        <f t="shared" si="31"/>
        <v>MR.KPBS.P055</v>
      </c>
      <c r="J77" s="64">
        <f t="shared" si="31"/>
        <v>0.71063107670000003</v>
      </c>
      <c r="K77" s="64">
        <f t="shared" si="31"/>
        <v>124.3240550327</v>
      </c>
      <c r="L77" s="64" t="str">
        <f t="shared" si="31"/>
        <v>JL. RAYA POYOWA BESAR</v>
      </c>
      <c r="M77" s="64" t="str">
        <f t="shared" si="31"/>
        <v>SULAWESI UTARA</v>
      </c>
      <c r="N77" s="65" t="s">
        <v>105</v>
      </c>
      <c r="O77" s="66" t="s">
        <v>118</v>
      </c>
      <c r="P77" s="65" t="s">
        <v>119</v>
      </c>
      <c r="Q77" s="66">
        <v>95717</v>
      </c>
      <c r="R77" s="67"/>
      <c r="S77" s="68"/>
      <c r="T77" s="68"/>
      <c r="U77" s="68"/>
      <c r="V77" s="68"/>
      <c r="W77" s="64" t="s">
        <v>105</v>
      </c>
      <c r="X77" s="64"/>
      <c r="Y77" s="64" t="s">
        <v>106</v>
      </c>
      <c r="Z77" s="64" t="str">
        <f t="shared" si="36"/>
        <v>KELURAHAN POYOWA BESAR SATU KOTAMOBAGU</v>
      </c>
      <c r="AA77" s="65"/>
      <c r="AB77" s="65"/>
      <c r="AC77" s="65" t="s">
        <v>70</v>
      </c>
      <c r="AD77" s="64" t="str">
        <f t="shared" si="32"/>
        <v>POYOWA BESAR</v>
      </c>
      <c r="AE77" s="66"/>
      <c r="AF77" s="66"/>
      <c r="AG77" s="66"/>
      <c r="AH77" s="66"/>
      <c r="AI77" s="69"/>
      <c r="AJ77" s="11" t="s">
        <v>682</v>
      </c>
      <c r="AK77" s="65" t="s">
        <v>96</v>
      </c>
      <c r="AL77" s="65"/>
      <c r="AM77" s="65"/>
      <c r="AN77" s="65"/>
      <c r="AO77" s="65"/>
      <c r="AP77" s="65"/>
      <c r="AQ77" s="177" t="s">
        <v>97</v>
      </c>
      <c r="AR77" s="70" t="str">
        <f t="shared" si="34"/>
        <v>KTG.100.0101</v>
      </c>
      <c r="AS77" s="71" t="str">
        <f t="shared" si="33"/>
        <v>KPBS-2.020</v>
      </c>
      <c r="AT77" s="71" t="str">
        <f t="shared" si="33"/>
        <v>A05</v>
      </c>
      <c r="AU77" s="72"/>
      <c r="AV77" s="202">
        <v>0.7108561497</v>
      </c>
      <c r="AW77" s="202">
        <v>124.3240545071</v>
      </c>
      <c r="AX77" s="65" t="s">
        <v>98</v>
      </c>
      <c r="AY77" s="65" t="s">
        <v>94</v>
      </c>
      <c r="AZ77" s="65" t="s">
        <v>94</v>
      </c>
      <c r="BA77" s="73" t="s">
        <v>77</v>
      </c>
      <c r="BB77" s="65" t="s">
        <v>98</v>
      </c>
      <c r="BC77" s="65">
        <v>31</v>
      </c>
      <c r="BD77" s="65" t="s">
        <v>98</v>
      </c>
      <c r="BE77" s="211" t="str">
        <f t="shared" si="35"/>
        <v>410, POYOWA BESAR,</v>
      </c>
    </row>
    <row r="78" spans="1:57" s="211" customFormat="1" ht="15.75" customHeight="1">
      <c r="A78" s="224"/>
      <c r="B78" s="225"/>
      <c r="C78" s="225"/>
      <c r="D78" s="225"/>
      <c r="E78" s="225"/>
      <c r="F78" s="225"/>
      <c r="G78" s="226"/>
      <c r="H78" s="23">
        <v>12</v>
      </c>
      <c r="I78" s="64" t="str">
        <f t="shared" si="31"/>
        <v>MR.KPBS.P055</v>
      </c>
      <c r="J78" s="64">
        <f t="shared" si="31"/>
        <v>0.71063107670000003</v>
      </c>
      <c r="K78" s="64">
        <f t="shared" si="31"/>
        <v>124.3240550327</v>
      </c>
      <c r="L78" s="64" t="str">
        <f t="shared" si="31"/>
        <v>JL. RAYA POYOWA BESAR</v>
      </c>
      <c r="M78" s="64" t="str">
        <f t="shared" si="31"/>
        <v>SULAWESI UTARA</v>
      </c>
      <c r="N78" s="65" t="s">
        <v>105</v>
      </c>
      <c r="O78" s="66" t="s">
        <v>118</v>
      </c>
      <c r="P78" s="65" t="s">
        <v>119</v>
      </c>
      <c r="Q78" s="66">
        <v>95717</v>
      </c>
      <c r="R78" s="67"/>
      <c r="S78" s="68"/>
      <c r="T78" s="68"/>
      <c r="U78" s="68"/>
      <c r="V78" s="68"/>
      <c r="W78" s="64" t="s">
        <v>105</v>
      </c>
      <c r="X78" s="64"/>
      <c r="Y78" s="64" t="s">
        <v>106</v>
      </c>
      <c r="Z78" s="64" t="str">
        <f t="shared" si="36"/>
        <v>KELURAHAN POYOWA BESAR SATU KOTAMOBAGU</v>
      </c>
      <c r="AA78" s="65"/>
      <c r="AB78" s="65"/>
      <c r="AC78" s="65" t="s">
        <v>70</v>
      </c>
      <c r="AD78" s="64" t="str">
        <f t="shared" si="32"/>
        <v>POYOWA BESAR</v>
      </c>
      <c r="AE78" s="66"/>
      <c r="AF78" s="66"/>
      <c r="AG78" s="66"/>
      <c r="AH78" s="66"/>
      <c r="AI78" s="69"/>
      <c r="AJ78" s="11" t="s">
        <v>683</v>
      </c>
      <c r="AK78" s="65" t="s">
        <v>96</v>
      </c>
      <c r="AL78" s="65"/>
      <c r="AM78" s="65"/>
      <c r="AN78" s="65"/>
      <c r="AO78" s="65"/>
      <c r="AP78" s="65"/>
      <c r="AQ78" s="177" t="s">
        <v>97</v>
      </c>
      <c r="AR78" s="70" t="str">
        <f t="shared" si="34"/>
        <v>KTG.100.0101</v>
      </c>
      <c r="AS78" s="71" t="str">
        <f t="shared" si="33"/>
        <v>KPBS-2.020</v>
      </c>
      <c r="AT78" s="71" t="str">
        <f t="shared" si="33"/>
        <v>A05</v>
      </c>
      <c r="AU78" s="72"/>
      <c r="AV78" s="202">
        <v>0.71078235219999897</v>
      </c>
      <c r="AW78" s="202">
        <v>124.3240660373</v>
      </c>
      <c r="AX78" s="65" t="s">
        <v>98</v>
      </c>
      <c r="AY78" s="65" t="s">
        <v>94</v>
      </c>
      <c r="AZ78" s="65" t="s">
        <v>94</v>
      </c>
      <c r="BA78" s="73" t="s">
        <v>77</v>
      </c>
      <c r="BB78" s="65" t="s">
        <v>98</v>
      </c>
      <c r="BC78" s="65">
        <v>31</v>
      </c>
      <c r="BD78" s="65" t="s">
        <v>98</v>
      </c>
      <c r="BE78" s="211" t="str">
        <f t="shared" si="35"/>
        <v>411, POYOWA BESAR,</v>
      </c>
    </row>
    <row r="79" spans="1:57" s="211" customFormat="1" ht="15.75" customHeight="1">
      <c r="A79" s="224"/>
      <c r="B79" s="225"/>
      <c r="C79" s="225"/>
      <c r="D79" s="225"/>
      <c r="E79" s="225"/>
      <c r="F79" s="225"/>
      <c r="G79" s="226"/>
      <c r="H79" s="23">
        <v>13</v>
      </c>
      <c r="I79" s="64" t="str">
        <f t="shared" si="31"/>
        <v>MR.KPBS.P055</v>
      </c>
      <c r="J79" s="64">
        <f t="shared" si="31"/>
        <v>0.71063107670000003</v>
      </c>
      <c r="K79" s="64">
        <f t="shared" si="31"/>
        <v>124.3240550327</v>
      </c>
      <c r="L79" s="64" t="str">
        <f t="shared" si="31"/>
        <v>JL. RAYA POYOWA BESAR</v>
      </c>
      <c r="M79" s="64" t="str">
        <f t="shared" si="31"/>
        <v>SULAWESI UTARA</v>
      </c>
      <c r="N79" s="65" t="s">
        <v>105</v>
      </c>
      <c r="O79" s="66" t="s">
        <v>118</v>
      </c>
      <c r="P79" s="65" t="s">
        <v>119</v>
      </c>
      <c r="Q79" s="66">
        <v>95717</v>
      </c>
      <c r="R79" s="67"/>
      <c r="S79" s="68"/>
      <c r="T79" s="68"/>
      <c r="U79" s="68"/>
      <c r="V79" s="68"/>
      <c r="W79" s="64" t="s">
        <v>105</v>
      </c>
      <c r="X79" s="64"/>
      <c r="Y79" s="64" t="s">
        <v>106</v>
      </c>
      <c r="Z79" s="64" t="str">
        <f t="shared" si="36"/>
        <v>KELURAHAN POYOWA BESAR SATU KOTAMOBAGU</v>
      </c>
      <c r="AA79" s="65"/>
      <c r="AB79" s="65"/>
      <c r="AC79" s="65" t="s">
        <v>70</v>
      </c>
      <c r="AD79" s="64" t="str">
        <f t="shared" si="32"/>
        <v>POYOWA BESAR</v>
      </c>
      <c r="AE79" s="67"/>
      <c r="AF79" s="67"/>
      <c r="AG79" s="67"/>
      <c r="AH79" s="67"/>
      <c r="AI79" s="69"/>
      <c r="AJ79" s="11" t="s">
        <v>684</v>
      </c>
      <c r="AK79" s="65" t="s">
        <v>96</v>
      </c>
      <c r="AL79" s="65"/>
      <c r="AM79" s="65"/>
      <c r="AN79" s="65"/>
      <c r="AO79" s="65"/>
      <c r="AP79" s="65"/>
      <c r="AQ79" s="177" t="s">
        <v>97</v>
      </c>
      <c r="AR79" s="70" t="str">
        <f t="shared" si="34"/>
        <v>KTG.100.0101</v>
      </c>
      <c r="AS79" s="71" t="str">
        <f t="shared" si="33"/>
        <v>KPBS-2.020</v>
      </c>
      <c r="AT79" s="71" t="str">
        <f t="shared" si="33"/>
        <v>A05</v>
      </c>
      <c r="AU79" s="72"/>
      <c r="AV79" s="202">
        <v>0.71068991329999998</v>
      </c>
      <c r="AW79" s="202">
        <v>124.32409601569999</v>
      </c>
      <c r="AX79" s="65" t="s">
        <v>98</v>
      </c>
      <c r="AY79" s="65" t="s">
        <v>94</v>
      </c>
      <c r="AZ79" s="65" t="s">
        <v>94</v>
      </c>
      <c r="BA79" s="73" t="s">
        <v>77</v>
      </c>
      <c r="BB79" s="65" t="s">
        <v>98</v>
      </c>
      <c r="BC79" s="65">
        <v>31</v>
      </c>
      <c r="BD79" s="65" t="s">
        <v>98</v>
      </c>
      <c r="BE79" s="211" t="str">
        <f t="shared" si="35"/>
        <v>412, POYOWA BESAR,</v>
      </c>
    </row>
    <row r="80" spans="1:57" s="211" customFormat="1" ht="15.75" customHeight="1">
      <c r="A80" s="224"/>
      <c r="B80" s="225"/>
      <c r="C80" s="225"/>
      <c r="D80" s="225"/>
      <c r="E80" s="225"/>
      <c r="F80" s="225"/>
      <c r="G80" s="226"/>
      <c r="H80" s="23">
        <v>14</v>
      </c>
      <c r="I80" s="64" t="str">
        <f t="shared" si="31"/>
        <v>MR.KPBS.P055</v>
      </c>
      <c r="J80" s="64">
        <f t="shared" si="31"/>
        <v>0.71063107670000003</v>
      </c>
      <c r="K80" s="64">
        <f t="shared" si="31"/>
        <v>124.3240550327</v>
      </c>
      <c r="L80" s="64" t="str">
        <f t="shared" si="31"/>
        <v>JL. RAYA POYOWA BESAR</v>
      </c>
      <c r="M80" s="64" t="str">
        <f t="shared" si="31"/>
        <v>SULAWESI UTARA</v>
      </c>
      <c r="N80" s="65" t="s">
        <v>105</v>
      </c>
      <c r="O80" s="66" t="s">
        <v>118</v>
      </c>
      <c r="P80" s="65" t="s">
        <v>119</v>
      </c>
      <c r="Q80" s="66">
        <v>95717</v>
      </c>
      <c r="R80" s="66"/>
      <c r="S80" s="66"/>
      <c r="T80" s="66"/>
      <c r="U80" s="66"/>
      <c r="V80" s="66"/>
      <c r="W80" s="64" t="s">
        <v>105</v>
      </c>
      <c r="X80" s="64"/>
      <c r="Y80" s="64" t="s">
        <v>106</v>
      </c>
      <c r="Z80" s="64" t="str">
        <f t="shared" si="36"/>
        <v>KELURAHAN POYOWA BESAR SATU KOTAMOBAGU</v>
      </c>
      <c r="AA80" s="65"/>
      <c r="AB80" s="65"/>
      <c r="AC80" s="65" t="s">
        <v>70</v>
      </c>
      <c r="AD80" s="64" t="str">
        <f t="shared" si="32"/>
        <v>POYOWA BESAR</v>
      </c>
      <c r="AE80" s="66"/>
      <c r="AF80" s="66"/>
      <c r="AG80" s="66"/>
      <c r="AH80" s="66"/>
      <c r="AI80" s="69"/>
      <c r="AJ80" s="11" t="s">
        <v>685</v>
      </c>
      <c r="AK80" s="65" t="s">
        <v>96</v>
      </c>
      <c r="AL80" s="65"/>
      <c r="AM80" s="65"/>
      <c r="AN80" s="65"/>
      <c r="AO80" s="65"/>
      <c r="AP80" s="65"/>
      <c r="AQ80" s="177" t="s">
        <v>97</v>
      </c>
      <c r="AR80" s="70" t="str">
        <f t="shared" si="34"/>
        <v>KTG.100.0101</v>
      </c>
      <c r="AS80" s="71" t="str">
        <f t="shared" si="33"/>
        <v>KPBS-2.020</v>
      </c>
      <c r="AT80" s="71" t="str">
        <f t="shared" si="33"/>
        <v>A05</v>
      </c>
      <c r="AU80" s="72"/>
      <c r="AV80" s="202">
        <v>0.71069428079999997</v>
      </c>
      <c r="AW80" s="202">
        <v>124.3239183522</v>
      </c>
      <c r="AX80" s="65" t="s">
        <v>98</v>
      </c>
      <c r="AY80" s="65" t="s">
        <v>94</v>
      </c>
      <c r="AZ80" s="65" t="s">
        <v>94</v>
      </c>
      <c r="BA80" s="73" t="s">
        <v>77</v>
      </c>
      <c r="BB80" s="65" t="s">
        <v>98</v>
      </c>
      <c r="BC80" s="65">
        <v>31</v>
      </c>
      <c r="BD80" s="65" t="s">
        <v>98</v>
      </c>
      <c r="BE80" s="211" t="str">
        <f t="shared" si="35"/>
        <v>399, POYOWA BESAR,</v>
      </c>
    </row>
    <row r="81" spans="1:57" s="211" customFormat="1" ht="15.75" customHeight="1">
      <c r="A81" s="224"/>
      <c r="B81" s="225"/>
      <c r="C81" s="225"/>
      <c r="D81" s="225"/>
      <c r="E81" s="225"/>
      <c r="F81" s="225"/>
      <c r="G81" s="226"/>
      <c r="H81" s="23">
        <v>15</v>
      </c>
      <c r="I81" s="64" t="str">
        <f t="shared" si="31"/>
        <v>MR.KPBS.P055</v>
      </c>
      <c r="J81" s="64">
        <f t="shared" si="31"/>
        <v>0.71063107670000003</v>
      </c>
      <c r="K81" s="64">
        <f t="shared" si="31"/>
        <v>124.3240550327</v>
      </c>
      <c r="L81" s="64" t="str">
        <f t="shared" si="31"/>
        <v>JL. RAYA POYOWA BESAR</v>
      </c>
      <c r="M81" s="64" t="str">
        <f t="shared" si="31"/>
        <v>SULAWESI UTARA</v>
      </c>
      <c r="N81" s="65" t="s">
        <v>105</v>
      </c>
      <c r="O81" s="66" t="s">
        <v>118</v>
      </c>
      <c r="P81" s="65" t="s">
        <v>119</v>
      </c>
      <c r="Q81" s="66">
        <v>95717</v>
      </c>
      <c r="R81" s="67"/>
      <c r="S81" s="68"/>
      <c r="T81" s="68"/>
      <c r="U81" s="68"/>
      <c r="V81" s="68"/>
      <c r="W81" s="64" t="s">
        <v>105</v>
      </c>
      <c r="X81" s="64"/>
      <c r="Y81" s="64" t="s">
        <v>106</v>
      </c>
      <c r="Z81" s="64" t="str">
        <f t="shared" si="36"/>
        <v>KELURAHAN POYOWA BESAR SATU KOTAMOBAGU</v>
      </c>
      <c r="AA81" s="65"/>
      <c r="AB81" s="65"/>
      <c r="AC81" s="65" t="s">
        <v>70</v>
      </c>
      <c r="AD81" s="64" t="str">
        <f t="shared" si="32"/>
        <v>POYOWA BESAR</v>
      </c>
      <c r="AE81" s="67"/>
      <c r="AF81" s="67"/>
      <c r="AG81" s="67"/>
      <c r="AH81" s="67"/>
      <c r="AI81" s="69"/>
      <c r="AJ81" s="11" t="s">
        <v>686</v>
      </c>
      <c r="AK81" s="65" t="s">
        <v>96</v>
      </c>
      <c r="AL81" s="65"/>
      <c r="AM81" s="65"/>
      <c r="AN81" s="65"/>
      <c r="AO81" s="65"/>
      <c r="AP81" s="65"/>
      <c r="AQ81" s="177" t="s">
        <v>97</v>
      </c>
      <c r="AR81" s="70" t="str">
        <f t="shared" si="34"/>
        <v>KTG.100.0101</v>
      </c>
      <c r="AS81" s="71" t="str">
        <f t="shared" si="33"/>
        <v>KPBS-2.020</v>
      </c>
      <c r="AT81" s="71" t="str">
        <f t="shared" si="33"/>
        <v>A05</v>
      </c>
      <c r="AU81" s="72"/>
      <c r="AV81" s="202">
        <v>0.7106804149</v>
      </c>
      <c r="AW81" s="202">
        <v>124.3238307232</v>
      </c>
      <c r="AX81" s="65" t="s">
        <v>98</v>
      </c>
      <c r="AY81" s="65" t="s">
        <v>94</v>
      </c>
      <c r="AZ81" s="65" t="s">
        <v>94</v>
      </c>
      <c r="BA81" s="73" t="s">
        <v>77</v>
      </c>
      <c r="BB81" s="65" t="s">
        <v>98</v>
      </c>
      <c r="BC81" s="65">
        <v>31</v>
      </c>
      <c r="BD81" s="65" t="s">
        <v>98</v>
      </c>
      <c r="BE81" s="211" t="str">
        <f t="shared" si="35"/>
        <v>398, POYOWA BESAR,</v>
      </c>
    </row>
    <row r="82" spans="1:57" s="211" customFormat="1" ht="15.75" customHeight="1">
      <c r="A82" s="40" t="s">
        <v>67</v>
      </c>
      <c r="B82" s="40">
        <f>B67+1</f>
        <v>6</v>
      </c>
      <c r="C82" s="32" t="s">
        <v>68</v>
      </c>
      <c r="D82" s="111" t="s">
        <v>348</v>
      </c>
      <c r="E82" s="120">
        <v>2</v>
      </c>
      <c r="F82" s="43">
        <f>F68+3</f>
        <v>13</v>
      </c>
      <c r="G82" s="213" t="s">
        <v>75</v>
      </c>
      <c r="H82" s="42">
        <v>1</v>
      </c>
      <c r="I82" s="82" t="s">
        <v>334</v>
      </c>
      <c r="J82" s="83">
        <v>0.71050987990000003</v>
      </c>
      <c r="K82" s="83">
        <v>124.3233630237</v>
      </c>
      <c r="L82" s="117" t="s">
        <v>116</v>
      </c>
      <c r="M82" s="119" t="str">
        <f>M81</f>
        <v>SULAWESI UTARA</v>
      </c>
      <c r="N82" s="14" t="s">
        <v>105</v>
      </c>
      <c r="O82" s="84" t="s">
        <v>118</v>
      </c>
      <c r="P82" s="14" t="s">
        <v>119</v>
      </c>
      <c r="Q82" s="84">
        <v>95717</v>
      </c>
      <c r="R82" s="86"/>
      <c r="S82" s="87"/>
      <c r="T82" s="88"/>
      <c r="U82" s="87"/>
      <c r="V82" s="88"/>
      <c r="W82" s="85" t="s">
        <v>105</v>
      </c>
      <c r="X82" s="83"/>
      <c r="Y82" s="119" t="s">
        <v>106</v>
      </c>
      <c r="Z82" s="119" t="str">
        <f>Z81</f>
        <v>KELURAHAN POYOWA BESAR SATU KOTAMOBAGU</v>
      </c>
      <c r="AA82" s="89"/>
      <c r="AB82" s="89"/>
      <c r="AC82" s="89" t="s">
        <v>70</v>
      </c>
      <c r="AD82" s="117" t="s">
        <v>119</v>
      </c>
      <c r="AE82" s="90"/>
      <c r="AF82" s="90"/>
      <c r="AG82" s="90"/>
      <c r="AH82" s="90"/>
      <c r="AI82" s="91"/>
      <c r="AJ82" s="115" t="s">
        <v>687</v>
      </c>
      <c r="AK82" s="89" t="s">
        <v>96</v>
      </c>
      <c r="AL82" s="95"/>
      <c r="AM82" s="187"/>
      <c r="AN82" s="187"/>
      <c r="AO82" s="187"/>
      <c r="AP82" s="187"/>
      <c r="AQ82" s="188" t="s">
        <v>97</v>
      </c>
      <c r="AR82" s="92" t="str">
        <f>AR81</f>
        <v>KTG.100.0101</v>
      </c>
      <c r="AS82" s="93" t="str">
        <f>AS67</f>
        <v>KPBS-2.020</v>
      </c>
      <c r="AT82" s="93" t="str">
        <f>G82</f>
        <v>A06</v>
      </c>
      <c r="AU82" s="94"/>
      <c r="AV82" s="203">
        <v>0.71056891680000001</v>
      </c>
      <c r="AW82" s="203">
        <v>124.3235075809</v>
      </c>
      <c r="AX82" s="95" t="s">
        <v>98</v>
      </c>
      <c r="AY82" s="95" t="s">
        <v>94</v>
      </c>
      <c r="AZ82" s="95" t="s">
        <v>94</v>
      </c>
      <c r="BA82" s="96" t="s">
        <v>77</v>
      </c>
      <c r="BB82" s="95" t="s">
        <v>98</v>
      </c>
      <c r="BC82" s="95">
        <v>31</v>
      </c>
      <c r="BD82" s="95" t="s">
        <v>98</v>
      </c>
      <c r="BE82" s="211" t="str">
        <f t="shared" ref="BE82:BE92" si="37">AJ82&amp;", "&amp;AD82&amp;","&amp;AI82</f>
        <v>338, POYOWA BESAR,</v>
      </c>
    </row>
    <row r="83" spans="1:57" s="211" customFormat="1" ht="15.75" customHeight="1">
      <c r="A83" s="46"/>
      <c r="B83" s="46"/>
      <c r="C83" s="22" t="s">
        <v>68</v>
      </c>
      <c r="D83" s="22" t="s">
        <v>348</v>
      </c>
      <c r="E83" s="32">
        <v>2</v>
      </c>
      <c r="F83" s="47">
        <f>F82+1</f>
        <v>14</v>
      </c>
      <c r="G83" s="214"/>
      <c r="H83" s="23">
        <v>2</v>
      </c>
      <c r="I83" s="64" t="str">
        <f t="shared" ref="I83:M92" si="38">I82</f>
        <v>MR.KPBS.P058</v>
      </c>
      <c r="J83" s="64">
        <f t="shared" si="38"/>
        <v>0.71050987990000003</v>
      </c>
      <c r="K83" s="64">
        <f t="shared" si="38"/>
        <v>124.3233630237</v>
      </c>
      <c r="L83" s="64" t="str">
        <f t="shared" si="38"/>
        <v>JL. RAYA POYOWA BESAR</v>
      </c>
      <c r="M83" s="64" t="str">
        <f t="shared" si="38"/>
        <v>SULAWESI UTARA</v>
      </c>
      <c r="N83" s="65" t="s">
        <v>105</v>
      </c>
      <c r="O83" s="66" t="s">
        <v>118</v>
      </c>
      <c r="P83" s="65" t="s">
        <v>119</v>
      </c>
      <c r="Q83" s="66">
        <v>95717</v>
      </c>
      <c r="R83" s="67"/>
      <c r="S83" s="68"/>
      <c r="T83" s="68"/>
      <c r="U83" s="68"/>
      <c r="V83" s="68"/>
      <c r="W83" s="65" t="s">
        <v>105</v>
      </c>
      <c r="X83" s="64"/>
      <c r="Y83" s="64" t="s">
        <v>106</v>
      </c>
      <c r="Z83" s="64" t="str">
        <f t="shared" si="36"/>
        <v>KELURAHAN POYOWA BESAR SATU KOTAMOBAGU</v>
      </c>
      <c r="AA83" s="65"/>
      <c r="AB83" s="65"/>
      <c r="AC83" s="65" t="s">
        <v>70</v>
      </c>
      <c r="AD83" s="64" t="str">
        <f t="shared" ref="AD83:AD92" si="39">AD82</f>
        <v>POYOWA BESAR</v>
      </c>
      <c r="AE83" s="67"/>
      <c r="AF83" s="67"/>
      <c r="AG83" s="67"/>
      <c r="AH83" s="67"/>
      <c r="AI83" s="69"/>
      <c r="AJ83" s="11" t="s">
        <v>688</v>
      </c>
      <c r="AK83" s="65" t="s">
        <v>96</v>
      </c>
      <c r="AL83" s="65"/>
      <c r="AM83" s="176"/>
      <c r="AN83" s="176"/>
      <c r="AO83" s="176"/>
      <c r="AP83" s="176"/>
      <c r="AQ83" s="177" t="s">
        <v>97</v>
      </c>
      <c r="AR83" s="70" t="str">
        <f t="shared" si="34"/>
        <v>KTG.100.0101</v>
      </c>
      <c r="AS83" s="71" t="str">
        <f t="shared" si="33"/>
        <v>KPBS-2.020</v>
      </c>
      <c r="AT83" s="71" t="str">
        <f t="shared" si="33"/>
        <v>A06</v>
      </c>
      <c r="AU83" s="72"/>
      <c r="AV83" s="202">
        <v>0.71067579299999994</v>
      </c>
      <c r="AW83" s="202">
        <v>124.3237407883</v>
      </c>
      <c r="AX83" s="65" t="s">
        <v>98</v>
      </c>
      <c r="AY83" s="65" t="s">
        <v>94</v>
      </c>
      <c r="AZ83" s="65" t="s">
        <v>94</v>
      </c>
      <c r="BA83" s="73" t="s">
        <v>77</v>
      </c>
      <c r="BB83" s="65" t="s">
        <v>98</v>
      </c>
      <c r="BC83" s="65">
        <v>31</v>
      </c>
      <c r="BD83" s="65" t="s">
        <v>98</v>
      </c>
      <c r="BE83" s="211" t="str">
        <f t="shared" si="37"/>
        <v>397, POYOWA BESAR,</v>
      </c>
    </row>
    <row r="84" spans="1:57" s="211" customFormat="1" ht="15.75" customHeight="1">
      <c r="A84" s="221"/>
      <c r="B84" s="222"/>
      <c r="C84" s="222"/>
      <c r="D84" s="222"/>
      <c r="E84" s="222"/>
      <c r="F84" s="222"/>
      <c r="G84" s="223"/>
      <c r="H84" s="23">
        <v>3</v>
      </c>
      <c r="I84" s="64" t="str">
        <f t="shared" si="38"/>
        <v>MR.KPBS.P058</v>
      </c>
      <c r="J84" s="64">
        <f t="shared" si="38"/>
        <v>0.71050987990000003</v>
      </c>
      <c r="K84" s="64">
        <f t="shared" si="38"/>
        <v>124.3233630237</v>
      </c>
      <c r="L84" s="64" t="str">
        <f t="shared" si="38"/>
        <v>JL. RAYA POYOWA BESAR</v>
      </c>
      <c r="M84" s="64" t="str">
        <f t="shared" si="38"/>
        <v>SULAWESI UTARA</v>
      </c>
      <c r="N84" s="65" t="s">
        <v>105</v>
      </c>
      <c r="O84" s="66" t="s">
        <v>118</v>
      </c>
      <c r="P84" s="65" t="s">
        <v>119</v>
      </c>
      <c r="Q84" s="66">
        <v>95717</v>
      </c>
      <c r="R84" s="67"/>
      <c r="S84" s="68"/>
      <c r="T84" s="68"/>
      <c r="U84" s="68"/>
      <c r="V84" s="68"/>
      <c r="W84" s="65" t="s">
        <v>105</v>
      </c>
      <c r="X84" s="64"/>
      <c r="Y84" s="64" t="s">
        <v>106</v>
      </c>
      <c r="Z84" s="64" t="str">
        <f t="shared" si="36"/>
        <v>KELURAHAN POYOWA BESAR SATU KOTAMOBAGU</v>
      </c>
      <c r="AA84" s="65"/>
      <c r="AB84" s="65"/>
      <c r="AC84" s="65" t="s">
        <v>70</v>
      </c>
      <c r="AD84" s="64" t="str">
        <f t="shared" si="39"/>
        <v>POYOWA BESAR</v>
      </c>
      <c r="AE84" s="67"/>
      <c r="AF84" s="67"/>
      <c r="AG84" s="67"/>
      <c r="AH84" s="67"/>
      <c r="AI84" s="69"/>
      <c r="AJ84" s="11" t="s">
        <v>689</v>
      </c>
      <c r="AK84" s="65" t="s">
        <v>96</v>
      </c>
      <c r="AL84" s="65"/>
      <c r="AM84" s="176"/>
      <c r="AN84" s="176"/>
      <c r="AO84" s="176"/>
      <c r="AP84" s="176"/>
      <c r="AQ84" s="177" t="s">
        <v>97</v>
      </c>
      <c r="AR84" s="70" t="str">
        <f t="shared" si="34"/>
        <v>KTG.100.0101</v>
      </c>
      <c r="AS84" s="71" t="str">
        <f t="shared" si="33"/>
        <v>KPBS-2.020</v>
      </c>
      <c r="AT84" s="71" t="str">
        <f t="shared" si="33"/>
        <v>A06</v>
      </c>
      <c r="AU84" s="72"/>
      <c r="AV84" s="202">
        <v>0.7106549942</v>
      </c>
      <c r="AW84" s="202">
        <v>124.32366468959999</v>
      </c>
      <c r="AX84" s="65" t="s">
        <v>98</v>
      </c>
      <c r="AY84" s="65" t="s">
        <v>94</v>
      </c>
      <c r="AZ84" s="65" t="s">
        <v>94</v>
      </c>
      <c r="BA84" s="73" t="s">
        <v>77</v>
      </c>
      <c r="BB84" s="65" t="s">
        <v>98</v>
      </c>
      <c r="BC84" s="65">
        <v>31</v>
      </c>
      <c r="BD84" s="65" t="s">
        <v>98</v>
      </c>
      <c r="BE84" s="211" t="str">
        <f t="shared" si="37"/>
        <v>396, POYOWA BESAR,</v>
      </c>
    </row>
    <row r="85" spans="1:57" s="211" customFormat="1" ht="15.75" customHeight="1">
      <c r="A85" s="224"/>
      <c r="B85" s="225"/>
      <c r="C85" s="225"/>
      <c r="D85" s="225"/>
      <c r="E85" s="225"/>
      <c r="F85" s="225"/>
      <c r="G85" s="226"/>
      <c r="H85" s="23">
        <v>4</v>
      </c>
      <c r="I85" s="64" t="str">
        <f t="shared" si="38"/>
        <v>MR.KPBS.P058</v>
      </c>
      <c r="J85" s="64">
        <f t="shared" si="38"/>
        <v>0.71050987990000003</v>
      </c>
      <c r="K85" s="64">
        <f t="shared" si="38"/>
        <v>124.3233630237</v>
      </c>
      <c r="L85" s="64" t="str">
        <f t="shared" si="38"/>
        <v>JL. RAYA POYOWA BESAR</v>
      </c>
      <c r="M85" s="64" t="str">
        <f t="shared" si="38"/>
        <v>SULAWESI UTARA</v>
      </c>
      <c r="N85" s="65" t="s">
        <v>105</v>
      </c>
      <c r="O85" s="66" t="s">
        <v>118</v>
      </c>
      <c r="P85" s="65" t="s">
        <v>119</v>
      </c>
      <c r="Q85" s="66">
        <v>95717</v>
      </c>
      <c r="R85" s="67"/>
      <c r="S85" s="68"/>
      <c r="T85" s="68"/>
      <c r="U85" s="68"/>
      <c r="V85" s="68"/>
      <c r="W85" s="65" t="s">
        <v>105</v>
      </c>
      <c r="X85" s="64"/>
      <c r="Y85" s="64" t="s">
        <v>106</v>
      </c>
      <c r="Z85" s="64" t="str">
        <f t="shared" si="36"/>
        <v>KELURAHAN POYOWA BESAR SATU KOTAMOBAGU</v>
      </c>
      <c r="AA85" s="65"/>
      <c r="AB85" s="65"/>
      <c r="AC85" s="65" t="s">
        <v>70</v>
      </c>
      <c r="AD85" s="64" t="str">
        <f t="shared" si="39"/>
        <v>POYOWA BESAR</v>
      </c>
      <c r="AE85" s="67"/>
      <c r="AF85" s="67"/>
      <c r="AG85" s="67"/>
      <c r="AH85" s="67"/>
      <c r="AI85" s="69"/>
      <c r="AJ85" s="11" t="s">
        <v>690</v>
      </c>
      <c r="AK85" s="65" t="s">
        <v>96</v>
      </c>
      <c r="AL85" s="65"/>
      <c r="AM85" s="176"/>
      <c r="AN85" s="176"/>
      <c r="AO85" s="176"/>
      <c r="AP85" s="176"/>
      <c r="AQ85" s="177" t="s">
        <v>97</v>
      </c>
      <c r="AR85" s="70" t="str">
        <f t="shared" si="34"/>
        <v>KTG.100.0101</v>
      </c>
      <c r="AS85" s="71" t="str">
        <f t="shared" si="33"/>
        <v>KPBS-2.020</v>
      </c>
      <c r="AT85" s="71" t="str">
        <f t="shared" si="33"/>
        <v>A06</v>
      </c>
      <c r="AU85" s="72"/>
      <c r="AV85" s="202">
        <v>0.71066291380000002</v>
      </c>
      <c r="AW85" s="202">
        <v>124.3235033811</v>
      </c>
      <c r="AX85" s="65" t="s">
        <v>98</v>
      </c>
      <c r="AY85" s="65" t="s">
        <v>94</v>
      </c>
      <c r="AZ85" s="65" t="s">
        <v>94</v>
      </c>
      <c r="BA85" s="73" t="s">
        <v>77</v>
      </c>
      <c r="BB85" s="65" t="s">
        <v>98</v>
      </c>
      <c r="BC85" s="65">
        <v>31</v>
      </c>
      <c r="BD85" s="65" t="s">
        <v>98</v>
      </c>
      <c r="BE85" s="211" t="str">
        <f t="shared" si="37"/>
        <v>335, POYOWA BESAR,</v>
      </c>
    </row>
    <row r="86" spans="1:57" s="211" customFormat="1" ht="15.75" customHeight="1">
      <c r="A86" s="224"/>
      <c r="B86" s="225"/>
      <c r="C86" s="225"/>
      <c r="D86" s="225"/>
      <c r="E86" s="225"/>
      <c r="F86" s="225"/>
      <c r="G86" s="226"/>
      <c r="H86" s="23">
        <v>5</v>
      </c>
      <c r="I86" s="64" t="str">
        <f t="shared" si="38"/>
        <v>MR.KPBS.P058</v>
      </c>
      <c r="J86" s="64">
        <f t="shared" si="38"/>
        <v>0.71050987990000003</v>
      </c>
      <c r="K86" s="64">
        <f t="shared" si="38"/>
        <v>124.3233630237</v>
      </c>
      <c r="L86" s="64" t="str">
        <f t="shared" si="38"/>
        <v>JL. RAYA POYOWA BESAR</v>
      </c>
      <c r="M86" s="64" t="str">
        <f t="shared" si="38"/>
        <v>SULAWESI UTARA</v>
      </c>
      <c r="N86" s="65" t="s">
        <v>105</v>
      </c>
      <c r="O86" s="66" t="s">
        <v>118</v>
      </c>
      <c r="P86" s="65" t="s">
        <v>119</v>
      </c>
      <c r="Q86" s="66">
        <v>95717</v>
      </c>
      <c r="R86" s="67"/>
      <c r="S86" s="68"/>
      <c r="T86" s="68"/>
      <c r="U86" s="68"/>
      <c r="V86" s="68"/>
      <c r="W86" s="65" t="s">
        <v>105</v>
      </c>
      <c r="X86" s="64"/>
      <c r="Y86" s="64" t="s">
        <v>106</v>
      </c>
      <c r="Z86" s="64" t="str">
        <f t="shared" si="36"/>
        <v>KELURAHAN POYOWA BESAR SATU KOTAMOBAGU</v>
      </c>
      <c r="AA86" s="65"/>
      <c r="AB86" s="65"/>
      <c r="AC86" s="65" t="s">
        <v>70</v>
      </c>
      <c r="AD86" s="64" t="str">
        <f t="shared" si="39"/>
        <v>POYOWA BESAR</v>
      </c>
      <c r="AE86" s="67"/>
      <c r="AF86" s="67"/>
      <c r="AG86" s="67"/>
      <c r="AH86" s="67"/>
      <c r="AI86" s="69"/>
      <c r="AJ86" s="11" t="s">
        <v>691</v>
      </c>
      <c r="AK86" s="65" t="s">
        <v>96</v>
      </c>
      <c r="AL86" s="65"/>
      <c r="AM86" s="176"/>
      <c r="AN86" s="176"/>
      <c r="AO86" s="176"/>
      <c r="AP86" s="176"/>
      <c r="AQ86" s="177" t="s">
        <v>97</v>
      </c>
      <c r="AR86" s="70" t="str">
        <f t="shared" si="34"/>
        <v>KTG.100.0101</v>
      </c>
      <c r="AS86" s="71" t="str">
        <f t="shared" si="33"/>
        <v>KPBS-2.020</v>
      </c>
      <c r="AT86" s="71" t="str">
        <f t="shared" si="33"/>
        <v>A06</v>
      </c>
      <c r="AU86" s="72"/>
      <c r="AV86" s="202">
        <v>0.71075849820000003</v>
      </c>
      <c r="AW86" s="202">
        <v>124.323513159</v>
      </c>
      <c r="AX86" s="65" t="s">
        <v>98</v>
      </c>
      <c r="AY86" s="65" t="s">
        <v>94</v>
      </c>
      <c r="AZ86" s="65" t="s">
        <v>94</v>
      </c>
      <c r="BA86" s="73" t="s">
        <v>77</v>
      </c>
      <c r="BB86" s="65" t="s">
        <v>98</v>
      </c>
      <c r="BC86" s="65">
        <v>31</v>
      </c>
      <c r="BD86" s="65" t="s">
        <v>98</v>
      </c>
      <c r="BE86" s="211" t="str">
        <f t="shared" si="37"/>
        <v>332, POYOWA BESAR,</v>
      </c>
    </row>
    <row r="87" spans="1:57" s="211" customFormat="1" ht="15.75" customHeight="1">
      <c r="A87" s="224"/>
      <c r="B87" s="225"/>
      <c r="C87" s="225"/>
      <c r="D87" s="225"/>
      <c r="E87" s="225"/>
      <c r="F87" s="225"/>
      <c r="G87" s="226"/>
      <c r="H87" s="23">
        <v>6</v>
      </c>
      <c r="I87" s="64" t="str">
        <f t="shared" si="38"/>
        <v>MR.KPBS.P058</v>
      </c>
      <c r="J87" s="64">
        <f t="shared" si="38"/>
        <v>0.71050987990000003</v>
      </c>
      <c r="K87" s="64">
        <f t="shared" si="38"/>
        <v>124.3233630237</v>
      </c>
      <c r="L87" s="64" t="str">
        <f t="shared" si="38"/>
        <v>JL. RAYA POYOWA BESAR</v>
      </c>
      <c r="M87" s="64" t="str">
        <f t="shared" si="38"/>
        <v>SULAWESI UTARA</v>
      </c>
      <c r="N87" s="65" t="s">
        <v>105</v>
      </c>
      <c r="O87" s="66" t="s">
        <v>118</v>
      </c>
      <c r="P87" s="65" t="s">
        <v>119</v>
      </c>
      <c r="Q87" s="66">
        <v>95717</v>
      </c>
      <c r="R87" s="67"/>
      <c r="S87" s="68"/>
      <c r="T87" s="74"/>
      <c r="U87" s="74"/>
      <c r="V87" s="74"/>
      <c r="W87" s="65" t="s">
        <v>105</v>
      </c>
      <c r="X87" s="64"/>
      <c r="Y87" s="64" t="s">
        <v>106</v>
      </c>
      <c r="Z87" s="64" t="str">
        <f t="shared" si="36"/>
        <v>KELURAHAN POYOWA BESAR SATU KOTAMOBAGU</v>
      </c>
      <c r="AA87" s="65"/>
      <c r="AB87" s="65"/>
      <c r="AC87" s="65" t="s">
        <v>70</v>
      </c>
      <c r="AD87" s="64" t="str">
        <f t="shared" si="39"/>
        <v>POYOWA BESAR</v>
      </c>
      <c r="AE87" s="75"/>
      <c r="AF87" s="75"/>
      <c r="AG87" s="75"/>
      <c r="AH87" s="75"/>
      <c r="AI87" s="69"/>
      <c r="AJ87" s="11" t="s">
        <v>692</v>
      </c>
      <c r="AK87" s="65" t="s">
        <v>96</v>
      </c>
      <c r="AL87" s="65"/>
      <c r="AM87" s="176"/>
      <c r="AN87" s="176"/>
      <c r="AO87" s="176"/>
      <c r="AP87" s="176"/>
      <c r="AQ87" s="186" t="s">
        <v>97</v>
      </c>
      <c r="AR87" s="70" t="str">
        <f t="shared" si="34"/>
        <v>KTG.100.0101</v>
      </c>
      <c r="AS87" s="71" t="str">
        <f t="shared" si="33"/>
        <v>KPBS-2.020</v>
      </c>
      <c r="AT87" s="71" t="str">
        <f t="shared" si="33"/>
        <v>A06</v>
      </c>
      <c r="AU87" s="72"/>
      <c r="AV87" s="202">
        <v>0.71072061880000004</v>
      </c>
      <c r="AW87" s="202">
        <v>124.3231897735</v>
      </c>
      <c r="AX87" s="65" t="s">
        <v>98</v>
      </c>
      <c r="AY87" s="65" t="s">
        <v>94</v>
      </c>
      <c r="AZ87" s="65" t="s">
        <v>94</v>
      </c>
      <c r="BA87" s="73" t="s">
        <v>77</v>
      </c>
      <c r="BB87" s="65" t="s">
        <v>98</v>
      </c>
      <c r="BC87" s="65">
        <v>31</v>
      </c>
      <c r="BD87" s="65" t="s">
        <v>98</v>
      </c>
      <c r="BE87" s="211" t="str">
        <f t="shared" si="37"/>
        <v>334, POYOWA BESAR,</v>
      </c>
    </row>
    <row r="88" spans="1:57" s="211" customFormat="1" ht="15.75" customHeight="1">
      <c r="A88" s="224"/>
      <c r="B88" s="225"/>
      <c r="C88" s="225"/>
      <c r="D88" s="225"/>
      <c r="E88" s="225"/>
      <c r="F88" s="225"/>
      <c r="G88" s="226"/>
      <c r="H88" s="23">
        <v>7</v>
      </c>
      <c r="I88" s="64" t="str">
        <f t="shared" si="38"/>
        <v>MR.KPBS.P058</v>
      </c>
      <c r="J88" s="64">
        <f t="shared" si="38"/>
        <v>0.71050987990000003</v>
      </c>
      <c r="K88" s="64">
        <f t="shared" si="38"/>
        <v>124.3233630237</v>
      </c>
      <c r="L88" s="64" t="str">
        <f t="shared" si="38"/>
        <v>JL. RAYA POYOWA BESAR</v>
      </c>
      <c r="M88" s="64" t="str">
        <f t="shared" si="38"/>
        <v>SULAWESI UTARA</v>
      </c>
      <c r="N88" s="65" t="s">
        <v>105</v>
      </c>
      <c r="O88" s="66" t="s">
        <v>118</v>
      </c>
      <c r="P88" s="65" t="s">
        <v>119</v>
      </c>
      <c r="Q88" s="66">
        <v>95717</v>
      </c>
      <c r="R88" s="67"/>
      <c r="S88" s="68"/>
      <c r="T88" s="68"/>
      <c r="U88" s="68"/>
      <c r="V88" s="68"/>
      <c r="W88" s="65" t="s">
        <v>105</v>
      </c>
      <c r="X88" s="64"/>
      <c r="Y88" s="64" t="s">
        <v>106</v>
      </c>
      <c r="Z88" s="64" t="str">
        <f t="shared" si="36"/>
        <v>KELURAHAN POYOWA BESAR SATU KOTAMOBAGU</v>
      </c>
      <c r="AA88" s="65"/>
      <c r="AB88" s="65"/>
      <c r="AC88" s="65" t="s">
        <v>70</v>
      </c>
      <c r="AD88" s="64" t="str">
        <f t="shared" si="39"/>
        <v>POYOWA BESAR</v>
      </c>
      <c r="AE88" s="67"/>
      <c r="AF88" s="67"/>
      <c r="AG88" s="67"/>
      <c r="AH88" s="67"/>
      <c r="AI88" s="69"/>
      <c r="AJ88" s="11" t="s">
        <v>693</v>
      </c>
      <c r="AK88" s="65" t="s">
        <v>96</v>
      </c>
      <c r="AL88" s="65"/>
      <c r="AM88" s="65"/>
      <c r="AN88" s="65"/>
      <c r="AO88" s="65"/>
      <c r="AP88" s="65"/>
      <c r="AQ88" s="177" t="s">
        <v>97</v>
      </c>
      <c r="AR88" s="70" t="str">
        <f t="shared" si="34"/>
        <v>KTG.100.0101</v>
      </c>
      <c r="AS88" s="71" t="str">
        <f t="shared" si="33"/>
        <v>KPBS-2.020</v>
      </c>
      <c r="AT88" s="71" t="str">
        <f t="shared" si="33"/>
        <v>A06</v>
      </c>
      <c r="AU88" s="72"/>
      <c r="AV88" s="202">
        <v>0.7106320491</v>
      </c>
      <c r="AW88" s="202">
        <v>124.3232107944</v>
      </c>
      <c r="AX88" s="65" t="s">
        <v>98</v>
      </c>
      <c r="AY88" s="65" t="s">
        <v>94</v>
      </c>
      <c r="AZ88" s="65" t="s">
        <v>94</v>
      </c>
      <c r="BA88" s="73" t="s">
        <v>77</v>
      </c>
      <c r="BB88" s="65" t="s">
        <v>98</v>
      </c>
      <c r="BC88" s="65">
        <v>31</v>
      </c>
      <c r="BD88" s="65" t="s">
        <v>98</v>
      </c>
      <c r="BE88" s="211" t="str">
        <f t="shared" si="37"/>
        <v>336, POYOWA BESAR,</v>
      </c>
    </row>
    <row r="89" spans="1:57" s="211" customFormat="1" ht="15.75" customHeight="1">
      <c r="A89" s="224"/>
      <c r="B89" s="225"/>
      <c r="C89" s="225"/>
      <c r="D89" s="225"/>
      <c r="E89" s="225"/>
      <c r="F89" s="225"/>
      <c r="G89" s="226"/>
      <c r="H89" s="23">
        <v>8</v>
      </c>
      <c r="I89" s="64" t="str">
        <f t="shared" si="38"/>
        <v>MR.KPBS.P058</v>
      </c>
      <c r="J89" s="64">
        <f t="shared" si="38"/>
        <v>0.71050987990000003</v>
      </c>
      <c r="K89" s="64">
        <f t="shared" si="38"/>
        <v>124.3233630237</v>
      </c>
      <c r="L89" s="64" t="str">
        <f t="shared" si="38"/>
        <v>JL. RAYA POYOWA BESAR</v>
      </c>
      <c r="M89" s="64" t="str">
        <f t="shared" si="38"/>
        <v>SULAWESI UTARA</v>
      </c>
      <c r="N89" s="65" t="s">
        <v>105</v>
      </c>
      <c r="O89" s="66" t="s">
        <v>118</v>
      </c>
      <c r="P89" s="65" t="s">
        <v>119</v>
      </c>
      <c r="Q89" s="66">
        <v>95717</v>
      </c>
      <c r="R89" s="67"/>
      <c r="S89" s="68"/>
      <c r="T89" s="68"/>
      <c r="U89" s="68"/>
      <c r="V89" s="68"/>
      <c r="W89" s="65" t="s">
        <v>105</v>
      </c>
      <c r="X89" s="64"/>
      <c r="Y89" s="64" t="s">
        <v>106</v>
      </c>
      <c r="Z89" s="64" t="str">
        <f t="shared" si="36"/>
        <v>KELURAHAN POYOWA BESAR SATU KOTAMOBAGU</v>
      </c>
      <c r="AA89" s="65"/>
      <c r="AB89" s="65"/>
      <c r="AC89" s="65" t="s">
        <v>70</v>
      </c>
      <c r="AD89" s="64" t="str">
        <f t="shared" si="39"/>
        <v>POYOWA BESAR</v>
      </c>
      <c r="AE89" s="67"/>
      <c r="AF89" s="67"/>
      <c r="AG89" s="67"/>
      <c r="AH89" s="67"/>
      <c r="AI89" s="69"/>
      <c r="AJ89" s="11" t="s">
        <v>694</v>
      </c>
      <c r="AK89" s="65" t="s">
        <v>96</v>
      </c>
      <c r="AL89" s="65"/>
      <c r="AM89" s="65"/>
      <c r="AN89" s="65"/>
      <c r="AO89" s="65"/>
      <c r="AP89" s="65"/>
      <c r="AQ89" s="177" t="s">
        <v>97</v>
      </c>
      <c r="AR89" s="70" t="str">
        <f t="shared" si="34"/>
        <v>KTG.100.0101</v>
      </c>
      <c r="AS89" s="71" t="str">
        <f t="shared" si="33"/>
        <v>KPBS-2.020</v>
      </c>
      <c r="AT89" s="71" t="str">
        <f t="shared" si="33"/>
        <v>A06</v>
      </c>
      <c r="AU89" s="72"/>
      <c r="AV89" s="202">
        <v>0.71053384330000002</v>
      </c>
      <c r="AW89" s="202">
        <v>124.32322339380001</v>
      </c>
      <c r="AX89" s="65" t="s">
        <v>98</v>
      </c>
      <c r="AY89" s="65" t="s">
        <v>94</v>
      </c>
      <c r="AZ89" s="65" t="s">
        <v>94</v>
      </c>
      <c r="BA89" s="73" t="s">
        <v>77</v>
      </c>
      <c r="BB89" s="65" t="s">
        <v>98</v>
      </c>
      <c r="BC89" s="65">
        <v>31</v>
      </c>
      <c r="BD89" s="65" t="s">
        <v>98</v>
      </c>
      <c r="BE89" s="211" t="str">
        <f t="shared" si="37"/>
        <v>337, POYOWA BESAR,</v>
      </c>
    </row>
    <row r="90" spans="1:57" s="211" customFormat="1" ht="15.75" customHeight="1">
      <c r="A90" s="224"/>
      <c r="B90" s="225"/>
      <c r="C90" s="225"/>
      <c r="D90" s="225"/>
      <c r="E90" s="225"/>
      <c r="F90" s="225"/>
      <c r="G90" s="226"/>
      <c r="H90" s="23">
        <v>9</v>
      </c>
      <c r="I90" s="64" t="str">
        <f t="shared" si="38"/>
        <v>MR.KPBS.P058</v>
      </c>
      <c r="J90" s="64">
        <f t="shared" si="38"/>
        <v>0.71050987990000003</v>
      </c>
      <c r="K90" s="64">
        <f t="shared" si="38"/>
        <v>124.3233630237</v>
      </c>
      <c r="L90" s="64" t="str">
        <f t="shared" si="38"/>
        <v>JL. RAYA POYOWA BESAR</v>
      </c>
      <c r="M90" s="64" t="str">
        <f t="shared" si="38"/>
        <v>SULAWESI UTARA</v>
      </c>
      <c r="N90" s="65" t="s">
        <v>105</v>
      </c>
      <c r="O90" s="66" t="s">
        <v>118</v>
      </c>
      <c r="P90" s="65" t="s">
        <v>119</v>
      </c>
      <c r="Q90" s="66">
        <v>95717</v>
      </c>
      <c r="R90" s="67"/>
      <c r="S90" s="68"/>
      <c r="T90" s="68"/>
      <c r="U90" s="68"/>
      <c r="V90" s="68"/>
      <c r="W90" s="65" t="s">
        <v>105</v>
      </c>
      <c r="X90" s="64"/>
      <c r="Y90" s="64" t="s">
        <v>106</v>
      </c>
      <c r="Z90" s="64" t="str">
        <f t="shared" si="36"/>
        <v>KELURAHAN POYOWA BESAR SATU KOTAMOBAGU</v>
      </c>
      <c r="AA90" s="65"/>
      <c r="AB90" s="65"/>
      <c r="AC90" s="65" t="s">
        <v>70</v>
      </c>
      <c r="AD90" s="64" t="str">
        <f t="shared" si="39"/>
        <v>POYOWA BESAR</v>
      </c>
      <c r="AE90" s="67"/>
      <c r="AF90" s="67"/>
      <c r="AG90" s="67"/>
      <c r="AH90" s="67"/>
      <c r="AI90" s="69"/>
      <c r="AJ90" s="11" t="s">
        <v>695</v>
      </c>
      <c r="AK90" s="65" t="s">
        <v>96</v>
      </c>
      <c r="AL90" s="65"/>
      <c r="AM90" s="65"/>
      <c r="AN90" s="65"/>
      <c r="AO90" s="65"/>
      <c r="AP90" s="65"/>
      <c r="AQ90" s="177" t="s">
        <v>97</v>
      </c>
      <c r="AR90" s="70" t="str">
        <f t="shared" si="34"/>
        <v>KTG.100.0101</v>
      </c>
      <c r="AS90" s="71" t="str">
        <f t="shared" si="33"/>
        <v>KPBS-2.020</v>
      </c>
      <c r="AT90" s="71" t="str">
        <f t="shared" si="33"/>
        <v>A06</v>
      </c>
      <c r="AU90" s="72"/>
      <c r="AV90" s="202">
        <v>0.71034543939999895</v>
      </c>
      <c r="AW90" s="202">
        <v>124.32325513719999</v>
      </c>
      <c r="AX90" s="65" t="s">
        <v>98</v>
      </c>
      <c r="AY90" s="65" t="s">
        <v>94</v>
      </c>
      <c r="AZ90" s="65" t="s">
        <v>94</v>
      </c>
      <c r="BA90" s="73" t="s">
        <v>77</v>
      </c>
      <c r="BB90" s="65" t="s">
        <v>98</v>
      </c>
      <c r="BC90" s="65">
        <v>31</v>
      </c>
      <c r="BD90" s="65" t="s">
        <v>98</v>
      </c>
      <c r="BE90" s="211" t="str">
        <f t="shared" si="37"/>
        <v>394, POYOWA BESAR,</v>
      </c>
    </row>
    <row r="91" spans="1:57" s="211" customFormat="1" ht="15.75" customHeight="1">
      <c r="A91" s="224"/>
      <c r="B91" s="225"/>
      <c r="C91" s="225"/>
      <c r="D91" s="225"/>
      <c r="E91" s="225"/>
      <c r="F91" s="225"/>
      <c r="G91" s="226"/>
      <c r="H91" s="23">
        <v>10</v>
      </c>
      <c r="I91" s="64" t="str">
        <f t="shared" si="38"/>
        <v>MR.KPBS.P058</v>
      </c>
      <c r="J91" s="64">
        <f t="shared" si="38"/>
        <v>0.71050987990000003</v>
      </c>
      <c r="K91" s="64">
        <f t="shared" si="38"/>
        <v>124.3233630237</v>
      </c>
      <c r="L91" s="64" t="str">
        <f t="shared" si="38"/>
        <v>JL. RAYA POYOWA BESAR</v>
      </c>
      <c r="M91" s="64" t="str">
        <f t="shared" si="38"/>
        <v>SULAWESI UTARA</v>
      </c>
      <c r="N91" s="65" t="s">
        <v>105</v>
      </c>
      <c r="O91" s="66" t="s">
        <v>118</v>
      </c>
      <c r="P91" s="65" t="s">
        <v>119</v>
      </c>
      <c r="Q91" s="66">
        <v>95717</v>
      </c>
      <c r="R91" s="67"/>
      <c r="S91" s="68"/>
      <c r="T91" s="68"/>
      <c r="U91" s="68"/>
      <c r="V91" s="68"/>
      <c r="W91" s="64" t="s">
        <v>105</v>
      </c>
      <c r="X91" s="64"/>
      <c r="Y91" s="64" t="s">
        <v>106</v>
      </c>
      <c r="Z91" s="64" t="str">
        <f t="shared" si="36"/>
        <v>KELURAHAN POYOWA BESAR SATU KOTAMOBAGU</v>
      </c>
      <c r="AA91" s="65"/>
      <c r="AB91" s="65"/>
      <c r="AC91" s="65" t="s">
        <v>70</v>
      </c>
      <c r="AD91" s="64" t="str">
        <f t="shared" si="39"/>
        <v>POYOWA BESAR</v>
      </c>
      <c r="AE91" s="67"/>
      <c r="AF91" s="67"/>
      <c r="AG91" s="67"/>
      <c r="AH91" s="67"/>
      <c r="AI91" s="69"/>
      <c r="AJ91" s="11" t="s">
        <v>696</v>
      </c>
      <c r="AK91" s="65" t="s">
        <v>96</v>
      </c>
      <c r="AL91" s="65"/>
      <c r="AM91" s="65"/>
      <c r="AN91" s="65"/>
      <c r="AO91" s="65"/>
      <c r="AP91" s="65"/>
      <c r="AQ91" s="177" t="s">
        <v>97</v>
      </c>
      <c r="AR91" s="70" t="str">
        <f t="shared" si="34"/>
        <v>KTG.100.0101</v>
      </c>
      <c r="AS91" s="71" t="str">
        <f t="shared" si="33"/>
        <v>KPBS-2.020</v>
      </c>
      <c r="AT91" s="71" t="str">
        <f t="shared" si="33"/>
        <v>A06</v>
      </c>
      <c r="AU91" s="72"/>
      <c r="AV91" s="202">
        <v>0.71028823139999997</v>
      </c>
      <c r="AW91" s="202">
        <v>124.3231615169</v>
      </c>
      <c r="AX91" s="65" t="s">
        <v>98</v>
      </c>
      <c r="AY91" s="65" t="s">
        <v>94</v>
      </c>
      <c r="AZ91" s="65" t="s">
        <v>94</v>
      </c>
      <c r="BA91" s="73" t="s">
        <v>77</v>
      </c>
      <c r="BB91" s="65" t="s">
        <v>98</v>
      </c>
      <c r="BC91" s="65">
        <v>31</v>
      </c>
      <c r="BD91" s="65" t="s">
        <v>98</v>
      </c>
      <c r="BE91" s="211" t="str">
        <f t="shared" si="37"/>
        <v>393, POYOWA BESAR,</v>
      </c>
    </row>
    <row r="92" spans="1:57" s="211" customFormat="1" ht="15.75" customHeight="1">
      <c r="A92" s="224"/>
      <c r="B92" s="225"/>
      <c r="C92" s="225"/>
      <c r="D92" s="225"/>
      <c r="E92" s="225"/>
      <c r="F92" s="225"/>
      <c r="G92" s="226"/>
      <c r="H92" s="23">
        <v>11</v>
      </c>
      <c r="I92" s="64" t="str">
        <f t="shared" si="38"/>
        <v>MR.KPBS.P058</v>
      </c>
      <c r="J92" s="64">
        <f t="shared" si="38"/>
        <v>0.71050987990000003</v>
      </c>
      <c r="K92" s="64">
        <f t="shared" si="38"/>
        <v>124.3233630237</v>
      </c>
      <c r="L92" s="64" t="str">
        <f t="shared" si="38"/>
        <v>JL. RAYA POYOWA BESAR</v>
      </c>
      <c r="M92" s="64" t="str">
        <f t="shared" si="38"/>
        <v>SULAWESI UTARA</v>
      </c>
      <c r="N92" s="65" t="s">
        <v>105</v>
      </c>
      <c r="O92" s="66" t="s">
        <v>118</v>
      </c>
      <c r="P92" s="65" t="s">
        <v>119</v>
      </c>
      <c r="Q92" s="66">
        <v>95717</v>
      </c>
      <c r="R92" s="67"/>
      <c r="S92" s="68"/>
      <c r="T92" s="68"/>
      <c r="U92" s="68"/>
      <c r="V92" s="68"/>
      <c r="W92" s="64" t="s">
        <v>105</v>
      </c>
      <c r="X92" s="64"/>
      <c r="Y92" s="64" t="s">
        <v>106</v>
      </c>
      <c r="Z92" s="64" t="str">
        <f t="shared" si="36"/>
        <v>KELURAHAN POYOWA BESAR SATU KOTAMOBAGU</v>
      </c>
      <c r="AA92" s="65"/>
      <c r="AB92" s="65"/>
      <c r="AC92" s="65" t="s">
        <v>70</v>
      </c>
      <c r="AD92" s="64" t="str">
        <f t="shared" si="39"/>
        <v>POYOWA BESAR</v>
      </c>
      <c r="AE92" s="67"/>
      <c r="AF92" s="67"/>
      <c r="AG92" s="67"/>
      <c r="AH92" s="67"/>
      <c r="AI92" s="69"/>
      <c r="AJ92" s="11" t="s">
        <v>697</v>
      </c>
      <c r="AK92" s="65" t="s">
        <v>96</v>
      </c>
      <c r="AL92" s="65"/>
      <c r="AM92" s="65"/>
      <c r="AN92" s="65"/>
      <c r="AO92" s="65"/>
      <c r="AP92" s="65"/>
      <c r="AQ92" s="177" t="s">
        <v>97</v>
      </c>
      <c r="AR92" s="70" t="str">
        <f t="shared" si="34"/>
        <v>KTG.100.0101</v>
      </c>
      <c r="AS92" s="71" t="str">
        <f t="shared" si="33"/>
        <v>KPBS-2.020</v>
      </c>
      <c r="AT92" s="71" t="str">
        <f t="shared" si="33"/>
        <v>A06</v>
      </c>
      <c r="AU92" s="72"/>
      <c r="AV92" s="202">
        <v>0.71053829710000005</v>
      </c>
      <c r="AW92" s="202">
        <v>124.3230649142</v>
      </c>
      <c r="AX92" s="65" t="s">
        <v>98</v>
      </c>
      <c r="AY92" s="65" t="s">
        <v>94</v>
      </c>
      <c r="AZ92" s="65" t="s">
        <v>94</v>
      </c>
      <c r="BA92" s="73" t="s">
        <v>77</v>
      </c>
      <c r="BB92" s="65" t="s">
        <v>98</v>
      </c>
      <c r="BC92" s="65">
        <v>31</v>
      </c>
      <c r="BD92" s="65" t="s">
        <v>98</v>
      </c>
      <c r="BE92" s="211" t="str">
        <f t="shared" si="37"/>
        <v>339, POYOWA BESAR,</v>
      </c>
    </row>
    <row r="93" spans="1:57" s="211" customFormat="1" ht="15.75" customHeight="1">
      <c r="A93" s="40" t="s">
        <v>67</v>
      </c>
      <c r="B93" s="40">
        <f>B82+1</f>
        <v>7</v>
      </c>
      <c r="C93" s="32" t="s">
        <v>68</v>
      </c>
      <c r="D93" s="111" t="s">
        <v>348</v>
      </c>
      <c r="E93" s="120">
        <v>2</v>
      </c>
      <c r="F93" s="43">
        <f>F83+1</f>
        <v>15</v>
      </c>
      <c r="G93" s="213" t="s">
        <v>76</v>
      </c>
      <c r="H93" s="42">
        <v>1</v>
      </c>
      <c r="I93" s="82" t="s">
        <v>335</v>
      </c>
      <c r="J93" s="83">
        <v>0.71041449459999995</v>
      </c>
      <c r="K93" s="83">
        <v>124.3228278455</v>
      </c>
      <c r="L93" s="117" t="s">
        <v>116</v>
      </c>
      <c r="M93" s="119" t="s">
        <v>117</v>
      </c>
      <c r="N93" s="14" t="s">
        <v>105</v>
      </c>
      <c r="O93" s="84" t="s">
        <v>118</v>
      </c>
      <c r="P93" s="14" t="s">
        <v>119</v>
      </c>
      <c r="Q93" s="84">
        <v>95717</v>
      </c>
      <c r="R93" s="86"/>
      <c r="S93" s="87"/>
      <c r="T93" s="88"/>
      <c r="U93" s="87"/>
      <c r="V93" s="88"/>
      <c r="W93" s="85" t="s">
        <v>105</v>
      </c>
      <c r="X93" s="83"/>
      <c r="Y93" s="119" t="s">
        <v>106</v>
      </c>
      <c r="Z93" s="119" t="str">
        <f t="shared" si="36"/>
        <v>KELURAHAN POYOWA BESAR SATU KOTAMOBAGU</v>
      </c>
      <c r="AA93" s="89"/>
      <c r="AB93" s="89"/>
      <c r="AC93" s="89" t="s">
        <v>70</v>
      </c>
      <c r="AD93" s="117" t="s">
        <v>119</v>
      </c>
      <c r="AE93" s="90"/>
      <c r="AF93" s="90"/>
      <c r="AG93" s="90"/>
      <c r="AH93" s="90"/>
      <c r="AI93" s="91"/>
      <c r="AJ93" s="115" t="s">
        <v>698</v>
      </c>
      <c r="AK93" s="89" t="s">
        <v>96</v>
      </c>
      <c r="AL93" s="95"/>
      <c r="AM93" s="187"/>
      <c r="AN93" s="187"/>
      <c r="AO93" s="187"/>
      <c r="AP93" s="187"/>
      <c r="AQ93" s="188" t="s">
        <v>97</v>
      </c>
      <c r="AR93" s="92" t="str">
        <f t="shared" si="34"/>
        <v>KTG.100.0101</v>
      </c>
      <c r="AS93" s="93" t="str">
        <f>AS82</f>
        <v>KPBS-2.020</v>
      </c>
      <c r="AT93" s="93" t="str">
        <f>G93</f>
        <v>A07</v>
      </c>
      <c r="AU93" s="94"/>
      <c r="AV93" s="203">
        <v>0.71052206949999996</v>
      </c>
      <c r="AW93" s="203">
        <v>124.32297382359999</v>
      </c>
      <c r="AX93" s="95" t="s">
        <v>98</v>
      </c>
      <c r="AY93" s="95" t="s">
        <v>94</v>
      </c>
      <c r="AZ93" s="95" t="s">
        <v>94</v>
      </c>
      <c r="BA93" s="96" t="s">
        <v>77</v>
      </c>
      <c r="BB93" s="95" t="s">
        <v>98</v>
      </c>
      <c r="BC93" s="95">
        <v>31</v>
      </c>
      <c r="BD93" s="95" t="s">
        <v>98</v>
      </c>
      <c r="BE93" s="211" t="str">
        <f t="shared" ref="BE93:BE154" si="40">AJ93&amp;", "&amp;AD93&amp;","&amp;AI93</f>
        <v>340, POYOWA BESAR,</v>
      </c>
    </row>
    <row r="94" spans="1:57" s="211" customFormat="1" ht="15.75" customHeight="1">
      <c r="A94" s="46"/>
      <c r="B94" s="46"/>
      <c r="C94" s="22" t="s">
        <v>68</v>
      </c>
      <c r="D94" s="22" t="s">
        <v>348</v>
      </c>
      <c r="E94" s="32">
        <v>2</v>
      </c>
      <c r="F94" s="47">
        <f>F93+1</f>
        <v>16</v>
      </c>
      <c r="G94" s="214"/>
      <c r="H94" s="23">
        <v>2</v>
      </c>
      <c r="I94" s="64" t="str">
        <f t="shared" ref="I94:M113" si="41">I93</f>
        <v>MR.KPBS.P060</v>
      </c>
      <c r="J94" s="64">
        <f t="shared" si="41"/>
        <v>0.71041449459999995</v>
      </c>
      <c r="K94" s="64">
        <f t="shared" si="41"/>
        <v>124.3228278455</v>
      </c>
      <c r="L94" s="64" t="str">
        <f t="shared" si="41"/>
        <v>JL. RAYA POYOWA BESAR</v>
      </c>
      <c r="M94" s="64" t="str">
        <f t="shared" si="41"/>
        <v>SULAWESI UTARA</v>
      </c>
      <c r="N94" s="65" t="s">
        <v>105</v>
      </c>
      <c r="O94" s="66" t="s">
        <v>118</v>
      </c>
      <c r="P94" s="65" t="s">
        <v>119</v>
      </c>
      <c r="Q94" s="66">
        <v>95717</v>
      </c>
      <c r="R94" s="67"/>
      <c r="S94" s="68"/>
      <c r="T94" s="68"/>
      <c r="U94" s="68"/>
      <c r="V94" s="68"/>
      <c r="W94" s="65" t="s">
        <v>105</v>
      </c>
      <c r="X94" s="64"/>
      <c r="Y94" s="64" t="s">
        <v>106</v>
      </c>
      <c r="Z94" s="64" t="str">
        <f t="shared" si="36"/>
        <v>KELURAHAN POYOWA BESAR SATU KOTAMOBAGU</v>
      </c>
      <c r="AA94" s="65"/>
      <c r="AB94" s="65"/>
      <c r="AC94" s="65" t="s">
        <v>70</v>
      </c>
      <c r="AD94" s="64" t="str">
        <f t="shared" ref="AD94:AD108" si="42">AD93</f>
        <v>POYOWA BESAR</v>
      </c>
      <c r="AE94" s="67"/>
      <c r="AF94" s="67"/>
      <c r="AG94" s="67"/>
      <c r="AH94" s="67"/>
      <c r="AI94" s="69"/>
      <c r="AJ94" s="11" t="s">
        <v>699</v>
      </c>
      <c r="AK94" s="65" t="s">
        <v>96</v>
      </c>
      <c r="AL94" s="65"/>
      <c r="AM94" s="176"/>
      <c r="AN94" s="176"/>
      <c r="AO94" s="176"/>
      <c r="AP94" s="176"/>
      <c r="AQ94" s="177" t="s">
        <v>97</v>
      </c>
      <c r="AR94" s="70" t="str">
        <f t="shared" si="34"/>
        <v>KTG.100.0101</v>
      </c>
      <c r="AS94" s="71" t="str">
        <f t="shared" si="33"/>
        <v>KPBS-2.020</v>
      </c>
      <c r="AT94" s="71" t="str">
        <f t="shared" si="33"/>
        <v>A07</v>
      </c>
      <c r="AU94" s="72"/>
      <c r="AV94" s="202">
        <v>0.71028995319999999</v>
      </c>
      <c r="AW94" s="202">
        <v>124.3230984182</v>
      </c>
      <c r="AX94" s="65" t="s">
        <v>98</v>
      </c>
      <c r="AY94" s="65" t="s">
        <v>94</v>
      </c>
      <c r="AZ94" s="65" t="s">
        <v>94</v>
      </c>
      <c r="BA94" s="73" t="s">
        <v>77</v>
      </c>
      <c r="BB94" s="65" t="s">
        <v>98</v>
      </c>
      <c r="BC94" s="65">
        <v>31</v>
      </c>
      <c r="BD94" s="65" t="s">
        <v>98</v>
      </c>
      <c r="BE94" s="211" t="str">
        <f t="shared" si="40"/>
        <v>392, POYOWA BESAR,</v>
      </c>
    </row>
    <row r="95" spans="1:57" s="211" customFormat="1" ht="15.75" customHeight="1">
      <c r="A95" s="221"/>
      <c r="B95" s="222"/>
      <c r="C95" s="222"/>
      <c r="D95" s="222"/>
      <c r="E95" s="222"/>
      <c r="F95" s="222"/>
      <c r="G95" s="223"/>
      <c r="H95" s="23">
        <v>3</v>
      </c>
      <c r="I95" s="64" t="str">
        <f t="shared" si="41"/>
        <v>MR.KPBS.P060</v>
      </c>
      <c r="J95" s="64">
        <f t="shared" si="41"/>
        <v>0.71041449459999995</v>
      </c>
      <c r="K95" s="64">
        <f t="shared" si="41"/>
        <v>124.3228278455</v>
      </c>
      <c r="L95" s="64" t="str">
        <f t="shared" si="41"/>
        <v>JL. RAYA POYOWA BESAR</v>
      </c>
      <c r="M95" s="64" t="str">
        <f t="shared" si="41"/>
        <v>SULAWESI UTARA</v>
      </c>
      <c r="N95" s="65" t="s">
        <v>105</v>
      </c>
      <c r="O95" s="66" t="s">
        <v>118</v>
      </c>
      <c r="P95" s="65" t="s">
        <v>119</v>
      </c>
      <c r="Q95" s="66">
        <v>95717</v>
      </c>
      <c r="R95" s="67"/>
      <c r="S95" s="68"/>
      <c r="T95" s="68"/>
      <c r="U95" s="68"/>
      <c r="V95" s="68"/>
      <c r="W95" s="65" t="s">
        <v>105</v>
      </c>
      <c r="X95" s="64"/>
      <c r="Y95" s="64" t="s">
        <v>106</v>
      </c>
      <c r="Z95" s="64" t="str">
        <f t="shared" si="36"/>
        <v>KELURAHAN POYOWA BESAR SATU KOTAMOBAGU</v>
      </c>
      <c r="AA95" s="65"/>
      <c r="AB95" s="65"/>
      <c r="AC95" s="65" t="s">
        <v>70</v>
      </c>
      <c r="AD95" s="64" t="str">
        <f t="shared" si="42"/>
        <v>POYOWA BESAR</v>
      </c>
      <c r="AE95" s="67"/>
      <c r="AF95" s="67"/>
      <c r="AG95" s="67"/>
      <c r="AH95" s="67"/>
      <c r="AI95" s="69"/>
      <c r="AJ95" s="11" t="s">
        <v>700</v>
      </c>
      <c r="AK95" s="65" t="s">
        <v>96</v>
      </c>
      <c r="AL95" s="65"/>
      <c r="AM95" s="176"/>
      <c r="AN95" s="176"/>
      <c r="AO95" s="176"/>
      <c r="AP95" s="176"/>
      <c r="AQ95" s="177" t="s">
        <v>97</v>
      </c>
      <c r="AR95" s="70" t="str">
        <f t="shared" si="34"/>
        <v>KTG.100.0101</v>
      </c>
      <c r="AS95" s="71" t="str">
        <f t="shared" si="33"/>
        <v>KPBS-2.020</v>
      </c>
      <c r="AT95" s="71" t="str">
        <f t="shared" si="33"/>
        <v>A07</v>
      </c>
      <c r="AU95" s="72"/>
      <c r="AV95" s="202">
        <v>0.7102785116</v>
      </c>
      <c r="AW95" s="202">
        <v>124.3230299155</v>
      </c>
      <c r="AX95" s="65" t="s">
        <v>98</v>
      </c>
      <c r="AY95" s="65" t="s">
        <v>94</v>
      </c>
      <c r="AZ95" s="65" t="s">
        <v>94</v>
      </c>
      <c r="BA95" s="73" t="s">
        <v>77</v>
      </c>
      <c r="BB95" s="65" t="s">
        <v>98</v>
      </c>
      <c r="BC95" s="65">
        <v>31</v>
      </c>
      <c r="BD95" s="65" t="s">
        <v>98</v>
      </c>
      <c r="BE95" s="211" t="str">
        <f t="shared" si="40"/>
        <v>391, POYOWA BESAR,</v>
      </c>
    </row>
    <row r="96" spans="1:57" s="211" customFormat="1" ht="15.75" customHeight="1">
      <c r="A96" s="224"/>
      <c r="B96" s="225"/>
      <c r="C96" s="225"/>
      <c r="D96" s="225"/>
      <c r="E96" s="225"/>
      <c r="F96" s="225"/>
      <c r="G96" s="226"/>
      <c r="H96" s="23">
        <v>4</v>
      </c>
      <c r="I96" s="64" t="str">
        <f t="shared" si="41"/>
        <v>MR.KPBS.P060</v>
      </c>
      <c r="J96" s="64">
        <f t="shared" si="41"/>
        <v>0.71041449459999995</v>
      </c>
      <c r="K96" s="64">
        <f t="shared" si="41"/>
        <v>124.3228278455</v>
      </c>
      <c r="L96" s="64" t="str">
        <f t="shared" si="41"/>
        <v>JL. RAYA POYOWA BESAR</v>
      </c>
      <c r="M96" s="64" t="str">
        <f t="shared" si="41"/>
        <v>SULAWESI UTARA</v>
      </c>
      <c r="N96" s="65" t="s">
        <v>105</v>
      </c>
      <c r="O96" s="66" t="s">
        <v>118</v>
      </c>
      <c r="P96" s="65" t="s">
        <v>119</v>
      </c>
      <c r="Q96" s="66">
        <v>95717</v>
      </c>
      <c r="R96" s="67"/>
      <c r="S96" s="68"/>
      <c r="T96" s="68"/>
      <c r="U96" s="68"/>
      <c r="V96" s="68"/>
      <c r="W96" s="65" t="s">
        <v>105</v>
      </c>
      <c r="X96" s="64"/>
      <c r="Y96" s="64" t="s">
        <v>106</v>
      </c>
      <c r="Z96" s="64" t="str">
        <f t="shared" si="36"/>
        <v>KELURAHAN POYOWA BESAR SATU KOTAMOBAGU</v>
      </c>
      <c r="AA96" s="65"/>
      <c r="AB96" s="65"/>
      <c r="AC96" s="65" t="s">
        <v>70</v>
      </c>
      <c r="AD96" s="64" t="str">
        <f t="shared" si="42"/>
        <v>POYOWA BESAR</v>
      </c>
      <c r="AE96" s="67"/>
      <c r="AF96" s="67"/>
      <c r="AG96" s="67"/>
      <c r="AH96" s="67"/>
      <c r="AI96" s="69"/>
      <c r="AJ96" s="11" t="s">
        <v>701</v>
      </c>
      <c r="AK96" s="65" t="s">
        <v>96</v>
      </c>
      <c r="AL96" s="65"/>
      <c r="AM96" s="176"/>
      <c r="AN96" s="176"/>
      <c r="AO96" s="176"/>
      <c r="AP96" s="176"/>
      <c r="AQ96" s="177" t="s">
        <v>97</v>
      </c>
      <c r="AR96" s="70" t="str">
        <f t="shared" si="34"/>
        <v>KTG.100.0101</v>
      </c>
      <c r="AS96" s="71" t="str">
        <f t="shared" si="33"/>
        <v>KPBS-2.020</v>
      </c>
      <c r="AT96" s="71" t="str">
        <f t="shared" si="33"/>
        <v>A07</v>
      </c>
      <c r="AU96" s="72"/>
      <c r="AV96" s="202">
        <v>0.71050636379999998</v>
      </c>
      <c r="AW96" s="202">
        <v>124.3228820296</v>
      </c>
      <c r="AX96" s="65" t="s">
        <v>98</v>
      </c>
      <c r="AY96" s="65" t="s">
        <v>94</v>
      </c>
      <c r="AZ96" s="65" t="s">
        <v>94</v>
      </c>
      <c r="BA96" s="73" t="s">
        <v>77</v>
      </c>
      <c r="BB96" s="65" t="s">
        <v>98</v>
      </c>
      <c r="BC96" s="65">
        <v>31</v>
      </c>
      <c r="BD96" s="65" t="s">
        <v>98</v>
      </c>
      <c r="BE96" s="211" t="str">
        <f t="shared" si="40"/>
        <v>341, POYOWA BESAR,</v>
      </c>
    </row>
    <row r="97" spans="1:57" s="211" customFormat="1" ht="15.75" customHeight="1">
      <c r="A97" s="224"/>
      <c r="B97" s="225"/>
      <c r="C97" s="225"/>
      <c r="D97" s="225"/>
      <c r="E97" s="225"/>
      <c r="F97" s="225"/>
      <c r="G97" s="226"/>
      <c r="H97" s="23">
        <v>5</v>
      </c>
      <c r="I97" s="64" t="str">
        <f t="shared" si="41"/>
        <v>MR.KPBS.P060</v>
      </c>
      <c r="J97" s="64">
        <f t="shared" si="41"/>
        <v>0.71041449459999995</v>
      </c>
      <c r="K97" s="64">
        <f t="shared" si="41"/>
        <v>124.3228278455</v>
      </c>
      <c r="L97" s="64" t="str">
        <f t="shared" si="41"/>
        <v>JL. RAYA POYOWA BESAR</v>
      </c>
      <c r="M97" s="64" t="str">
        <f t="shared" si="41"/>
        <v>SULAWESI UTARA</v>
      </c>
      <c r="N97" s="65" t="s">
        <v>105</v>
      </c>
      <c r="O97" s="66" t="s">
        <v>118</v>
      </c>
      <c r="P97" s="65" t="s">
        <v>119</v>
      </c>
      <c r="Q97" s="66">
        <v>95717</v>
      </c>
      <c r="R97" s="67"/>
      <c r="S97" s="68"/>
      <c r="T97" s="68"/>
      <c r="U97" s="68"/>
      <c r="V97" s="68"/>
      <c r="W97" s="65" t="s">
        <v>105</v>
      </c>
      <c r="X97" s="64"/>
      <c r="Y97" s="64" t="s">
        <v>106</v>
      </c>
      <c r="Z97" s="64" t="str">
        <f t="shared" si="36"/>
        <v>KELURAHAN POYOWA BESAR SATU KOTAMOBAGU</v>
      </c>
      <c r="AA97" s="65"/>
      <c r="AB97" s="65"/>
      <c r="AC97" s="65" t="s">
        <v>70</v>
      </c>
      <c r="AD97" s="64" t="str">
        <f t="shared" si="42"/>
        <v>POYOWA BESAR</v>
      </c>
      <c r="AE97" s="67"/>
      <c r="AF97" s="67"/>
      <c r="AG97" s="67"/>
      <c r="AH97" s="67"/>
      <c r="AI97" s="69"/>
      <c r="AJ97" s="11" t="s">
        <v>702</v>
      </c>
      <c r="AK97" s="65" t="s">
        <v>96</v>
      </c>
      <c r="AL97" s="65"/>
      <c r="AM97" s="176"/>
      <c r="AN97" s="176"/>
      <c r="AO97" s="176"/>
      <c r="AP97" s="176"/>
      <c r="AQ97" s="177" t="s">
        <v>97</v>
      </c>
      <c r="AR97" s="70" t="str">
        <f t="shared" si="34"/>
        <v>KTG.100.0101</v>
      </c>
      <c r="AS97" s="71" t="str">
        <f t="shared" si="33"/>
        <v>KPBS-2.020</v>
      </c>
      <c r="AT97" s="71" t="str">
        <f t="shared" si="33"/>
        <v>A07</v>
      </c>
      <c r="AU97" s="72"/>
      <c r="AV97" s="202">
        <v>0.71050636379999998</v>
      </c>
      <c r="AW97" s="202">
        <v>124.322765608</v>
      </c>
      <c r="AX97" s="65" t="s">
        <v>98</v>
      </c>
      <c r="AY97" s="65" t="s">
        <v>94</v>
      </c>
      <c r="AZ97" s="65" t="s">
        <v>94</v>
      </c>
      <c r="BA97" s="73" t="s">
        <v>77</v>
      </c>
      <c r="BB97" s="65" t="s">
        <v>98</v>
      </c>
      <c r="BC97" s="65">
        <v>31</v>
      </c>
      <c r="BD97" s="65" t="s">
        <v>98</v>
      </c>
      <c r="BE97" s="211" t="str">
        <f t="shared" si="40"/>
        <v>342, POYOWA BESAR,</v>
      </c>
    </row>
    <row r="98" spans="1:57" s="211" customFormat="1" ht="15.75" customHeight="1">
      <c r="A98" s="224"/>
      <c r="B98" s="225"/>
      <c r="C98" s="225"/>
      <c r="D98" s="225"/>
      <c r="E98" s="225"/>
      <c r="F98" s="225"/>
      <c r="G98" s="226"/>
      <c r="H98" s="23">
        <v>6</v>
      </c>
      <c r="I98" s="64" t="str">
        <f t="shared" ref="I98:M98" si="43">I97</f>
        <v>MR.KPBS.P060</v>
      </c>
      <c r="J98" s="64">
        <f t="shared" si="43"/>
        <v>0.71041449459999995</v>
      </c>
      <c r="K98" s="64">
        <f t="shared" si="43"/>
        <v>124.3228278455</v>
      </c>
      <c r="L98" s="64" t="str">
        <f t="shared" si="43"/>
        <v>JL. RAYA POYOWA BESAR</v>
      </c>
      <c r="M98" s="64" t="str">
        <f t="shared" si="43"/>
        <v>SULAWESI UTARA</v>
      </c>
      <c r="N98" s="65" t="s">
        <v>105</v>
      </c>
      <c r="O98" s="66" t="s">
        <v>118</v>
      </c>
      <c r="P98" s="65" t="s">
        <v>119</v>
      </c>
      <c r="Q98" s="66">
        <v>95717</v>
      </c>
      <c r="R98" s="67"/>
      <c r="S98" s="68"/>
      <c r="T98" s="68"/>
      <c r="U98" s="68"/>
      <c r="V98" s="68"/>
      <c r="W98" s="65" t="s">
        <v>105</v>
      </c>
      <c r="X98" s="64"/>
      <c r="Y98" s="64" t="s">
        <v>106</v>
      </c>
      <c r="Z98" s="64" t="str">
        <f t="shared" si="36"/>
        <v>KELURAHAN POYOWA BESAR SATU KOTAMOBAGU</v>
      </c>
      <c r="AA98" s="65"/>
      <c r="AB98" s="65"/>
      <c r="AC98" s="65" t="s">
        <v>70</v>
      </c>
      <c r="AD98" s="64" t="str">
        <f t="shared" si="42"/>
        <v>POYOWA BESAR</v>
      </c>
      <c r="AE98" s="67"/>
      <c r="AF98" s="67"/>
      <c r="AG98" s="67"/>
      <c r="AH98" s="67"/>
      <c r="AI98" s="69"/>
      <c r="AJ98" s="11" t="s">
        <v>703</v>
      </c>
      <c r="AK98" s="65" t="s">
        <v>96</v>
      </c>
      <c r="AL98" s="65"/>
      <c r="AM98" s="176"/>
      <c r="AN98" s="176"/>
      <c r="AO98" s="176"/>
      <c r="AP98" s="176"/>
      <c r="AQ98" s="177" t="s">
        <v>97</v>
      </c>
      <c r="AR98" s="70" t="str">
        <f t="shared" si="34"/>
        <v>KTG.100.0101</v>
      </c>
      <c r="AS98" s="71" t="str">
        <f t="shared" ref="AS98:AS101" si="44">AS97</f>
        <v>KPBS-2.020</v>
      </c>
      <c r="AT98" s="71" t="str">
        <f t="shared" ref="AT98:AT101" si="45">AT97</f>
        <v>A07</v>
      </c>
      <c r="AU98" s="72"/>
      <c r="AV98" s="202">
        <v>0.71046597749999996</v>
      </c>
      <c r="AW98" s="202">
        <v>124.3226872473</v>
      </c>
      <c r="AX98" s="65" t="s">
        <v>98</v>
      </c>
      <c r="AY98" s="65" t="s">
        <v>94</v>
      </c>
      <c r="AZ98" s="65" t="s">
        <v>94</v>
      </c>
      <c r="BA98" s="73" t="s">
        <v>77</v>
      </c>
      <c r="BB98" s="65" t="s">
        <v>98</v>
      </c>
      <c r="BC98" s="65">
        <v>31</v>
      </c>
      <c r="BD98" s="65" t="s">
        <v>98</v>
      </c>
      <c r="BE98" s="211" t="str">
        <f t="shared" ref="BE98:BE101" si="46">AJ98&amp;", "&amp;AD98&amp;","&amp;AI98</f>
        <v>343, POYOWA BESAR,</v>
      </c>
    </row>
    <row r="99" spans="1:57" s="211" customFormat="1" ht="15.75" customHeight="1">
      <c r="A99" s="224"/>
      <c r="B99" s="225"/>
      <c r="C99" s="225"/>
      <c r="D99" s="225"/>
      <c r="E99" s="225"/>
      <c r="F99" s="225"/>
      <c r="G99" s="226"/>
      <c r="H99" s="23">
        <v>7</v>
      </c>
      <c r="I99" s="64" t="str">
        <f t="shared" ref="I99:M99" si="47">I98</f>
        <v>MR.KPBS.P060</v>
      </c>
      <c r="J99" s="64">
        <f t="shared" si="47"/>
        <v>0.71041449459999995</v>
      </c>
      <c r="K99" s="64">
        <f t="shared" si="47"/>
        <v>124.3228278455</v>
      </c>
      <c r="L99" s="64" t="str">
        <f t="shared" si="47"/>
        <v>JL. RAYA POYOWA BESAR</v>
      </c>
      <c r="M99" s="64" t="str">
        <f t="shared" si="47"/>
        <v>SULAWESI UTARA</v>
      </c>
      <c r="N99" s="65" t="s">
        <v>105</v>
      </c>
      <c r="O99" s="66" t="s">
        <v>118</v>
      </c>
      <c r="P99" s="65" t="s">
        <v>119</v>
      </c>
      <c r="Q99" s="66">
        <v>95717</v>
      </c>
      <c r="R99" s="67"/>
      <c r="S99" s="68"/>
      <c r="T99" s="68"/>
      <c r="U99" s="68"/>
      <c r="V99" s="68"/>
      <c r="W99" s="65" t="s">
        <v>105</v>
      </c>
      <c r="X99" s="64"/>
      <c r="Y99" s="64" t="s">
        <v>106</v>
      </c>
      <c r="Z99" s="64" t="str">
        <f t="shared" si="36"/>
        <v>KELURAHAN POYOWA BESAR SATU KOTAMOBAGU</v>
      </c>
      <c r="AA99" s="65"/>
      <c r="AB99" s="65"/>
      <c r="AC99" s="65" t="s">
        <v>70</v>
      </c>
      <c r="AD99" s="64" t="str">
        <f t="shared" si="42"/>
        <v>POYOWA BESAR</v>
      </c>
      <c r="AE99" s="67"/>
      <c r="AF99" s="67"/>
      <c r="AG99" s="67"/>
      <c r="AH99" s="67"/>
      <c r="AI99" s="69"/>
      <c r="AJ99" s="11" t="s">
        <v>704</v>
      </c>
      <c r="AK99" s="65" t="s">
        <v>96</v>
      </c>
      <c r="AL99" s="65"/>
      <c r="AM99" s="176"/>
      <c r="AN99" s="176"/>
      <c r="AO99" s="176"/>
      <c r="AP99" s="176"/>
      <c r="AQ99" s="177" t="s">
        <v>97</v>
      </c>
      <c r="AR99" s="70" t="str">
        <f t="shared" si="34"/>
        <v>KTG.100.0101</v>
      </c>
      <c r="AS99" s="71" t="str">
        <f t="shared" si="44"/>
        <v>KPBS-2.020</v>
      </c>
      <c r="AT99" s="71" t="str">
        <f t="shared" si="45"/>
        <v>A07</v>
      </c>
      <c r="AU99" s="72"/>
      <c r="AV99" s="202">
        <v>0.71045700270000001</v>
      </c>
      <c r="AW99" s="202">
        <v>124.3225797811</v>
      </c>
      <c r="AX99" s="65" t="s">
        <v>98</v>
      </c>
      <c r="AY99" s="65" t="s">
        <v>94</v>
      </c>
      <c r="AZ99" s="65" t="s">
        <v>94</v>
      </c>
      <c r="BA99" s="73" t="s">
        <v>77</v>
      </c>
      <c r="BB99" s="65" t="s">
        <v>98</v>
      </c>
      <c r="BC99" s="65">
        <v>31</v>
      </c>
      <c r="BD99" s="65" t="s">
        <v>98</v>
      </c>
      <c r="BE99" s="211" t="str">
        <f t="shared" si="46"/>
        <v>344, POYOWA BESAR,</v>
      </c>
    </row>
    <row r="100" spans="1:57" s="211" customFormat="1" ht="15.75" customHeight="1">
      <c r="A100" s="224"/>
      <c r="B100" s="225"/>
      <c r="C100" s="225"/>
      <c r="D100" s="225"/>
      <c r="E100" s="225"/>
      <c r="F100" s="225"/>
      <c r="G100" s="226"/>
      <c r="H100" s="23">
        <v>8</v>
      </c>
      <c r="I100" s="64" t="str">
        <f t="shared" ref="I100:M100" si="48">I99</f>
        <v>MR.KPBS.P060</v>
      </c>
      <c r="J100" s="64">
        <f t="shared" si="48"/>
        <v>0.71041449459999995</v>
      </c>
      <c r="K100" s="64">
        <f t="shared" si="48"/>
        <v>124.3228278455</v>
      </c>
      <c r="L100" s="64" t="str">
        <f t="shared" si="48"/>
        <v>JL. RAYA POYOWA BESAR</v>
      </c>
      <c r="M100" s="64" t="str">
        <f t="shared" si="48"/>
        <v>SULAWESI UTARA</v>
      </c>
      <c r="N100" s="65" t="s">
        <v>105</v>
      </c>
      <c r="O100" s="66" t="s">
        <v>118</v>
      </c>
      <c r="P100" s="65" t="s">
        <v>119</v>
      </c>
      <c r="Q100" s="66">
        <v>95717</v>
      </c>
      <c r="R100" s="67"/>
      <c r="S100" s="68"/>
      <c r="T100" s="68"/>
      <c r="U100" s="68"/>
      <c r="V100" s="68"/>
      <c r="W100" s="65" t="s">
        <v>105</v>
      </c>
      <c r="X100" s="64"/>
      <c r="Y100" s="64" t="s">
        <v>106</v>
      </c>
      <c r="Z100" s="64" t="str">
        <f t="shared" si="36"/>
        <v>KELURAHAN POYOWA BESAR SATU KOTAMOBAGU</v>
      </c>
      <c r="AA100" s="65"/>
      <c r="AB100" s="65"/>
      <c r="AC100" s="65" t="s">
        <v>70</v>
      </c>
      <c r="AD100" s="64" t="str">
        <f t="shared" si="42"/>
        <v>POYOWA BESAR</v>
      </c>
      <c r="AE100" s="67"/>
      <c r="AF100" s="67"/>
      <c r="AG100" s="67"/>
      <c r="AH100" s="67"/>
      <c r="AI100" s="69"/>
      <c r="AJ100" s="11" t="s">
        <v>705</v>
      </c>
      <c r="AK100" s="65" t="s">
        <v>96</v>
      </c>
      <c r="AL100" s="65"/>
      <c r="AM100" s="176"/>
      <c r="AN100" s="176"/>
      <c r="AO100" s="176"/>
      <c r="AP100" s="176"/>
      <c r="AQ100" s="177" t="s">
        <v>97</v>
      </c>
      <c r="AR100" s="70" t="str">
        <f t="shared" si="34"/>
        <v>KTG.100.0101</v>
      </c>
      <c r="AS100" s="71" t="str">
        <f t="shared" si="44"/>
        <v>KPBS-2.020</v>
      </c>
      <c r="AT100" s="71" t="str">
        <f t="shared" si="45"/>
        <v>A07</v>
      </c>
      <c r="AU100" s="72"/>
      <c r="AV100" s="202">
        <v>0.71046822119999997</v>
      </c>
      <c r="AW100" s="202">
        <v>124.3224432096</v>
      </c>
      <c r="AX100" s="65" t="s">
        <v>98</v>
      </c>
      <c r="AY100" s="65" t="s">
        <v>94</v>
      </c>
      <c r="AZ100" s="65" t="s">
        <v>94</v>
      </c>
      <c r="BA100" s="73" t="s">
        <v>77</v>
      </c>
      <c r="BB100" s="65" t="s">
        <v>98</v>
      </c>
      <c r="BC100" s="65">
        <v>31</v>
      </c>
      <c r="BD100" s="65" t="s">
        <v>98</v>
      </c>
      <c r="BE100" s="211" t="str">
        <f t="shared" si="46"/>
        <v>345, POYOWA BESAR,</v>
      </c>
    </row>
    <row r="101" spans="1:57" s="211" customFormat="1" ht="15.75" customHeight="1">
      <c r="A101" s="224"/>
      <c r="B101" s="225"/>
      <c r="C101" s="225"/>
      <c r="D101" s="225"/>
      <c r="E101" s="225"/>
      <c r="F101" s="225"/>
      <c r="G101" s="226"/>
      <c r="H101" s="23">
        <v>9</v>
      </c>
      <c r="I101" s="64" t="str">
        <f t="shared" ref="I101:M101" si="49">I100</f>
        <v>MR.KPBS.P060</v>
      </c>
      <c r="J101" s="64">
        <f t="shared" si="49"/>
        <v>0.71041449459999995</v>
      </c>
      <c r="K101" s="64">
        <f t="shared" si="49"/>
        <v>124.3228278455</v>
      </c>
      <c r="L101" s="64" t="str">
        <f t="shared" si="49"/>
        <v>JL. RAYA POYOWA BESAR</v>
      </c>
      <c r="M101" s="64" t="str">
        <f t="shared" si="49"/>
        <v>SULAWESI UTARA</v>
      </c>
      <c r="N101" s="65" t="s">
        <v>105</v>
      </c>
      <c r="O101" s="66" t="s">
        <v>118</v>
      </c>
      <c r="P101" s="65" t="s">
        <v>119</v>
      </c>
      <c r="Q101" s="66">
        <v>95717</v>
      </c>
      <c r="R101" s="67"/>
      <c r="S101" s="68"/>
      <c r="T101" s="68"/>
      <c r="U101" s="68"/>
      <c r="V101" s="68"/>
      <c r="W101" s="65" t="s">
        <v>105</v>
      </c>
      <c r="X101" s="64"/>
      <c r="Y101" s="64" t="s">
        <v>106</v>
      </c>
      <c r="Z101" s="64" t="str">
        <f t="shared" si="36"/>
        <v>KELURAHAN POYOWA BESAR SATU KOTAMOBAGU</v>
      </c>
      <c r="AA101" s="65"/>
      <c r="AB101" s="65"/>
      <c r="AC101" s="65" t="s">
        <v>70</v>
      </c>
      <c r="AD101" s="64" t="str">
        <f t="shared" si="42"/>
        <v>POYOWA BESAR</v>
      </c>
      <c r="AE101" s="67"/>
      <c r="AF101" s="67"/>
      <c r="AG101" s="67"/>
      <c r="AH101" s="67"/>
      <c r="AI101" s="69"/>
      <c r="AJ101" s="11" t="s">
        <v>706</v>
      </c>
      <c r="AK101" s="65" t="s">
        <v>96</v>
      </c>
      <c r="AL101" s="65"/>
      <c r="AM101" s="176"/>
      <c r="AN101" s="176"/>
      <c r="AO101" s="176"/>
      <c r="AP101" s="176"/>
      <c r="AQ101" s="177" t="s">
        <v>97</v>
      </c>
      <c r="AR101" s="70" t="str">
        <f t="shared" si="34"/>
        <v>KTG.100.0101</v>
      </c>
      <c r="AS101" s="71" t="str">
        <f t="shared" si="44"/>
        <v>KPBS-2.020</v>
      </c>
      <c r="AT101" s="71" t="str">
        <f t="shared" si="45"/>
        <v>A07</v>
      </c>
      <c r="AU101" s="72"/>
      <c r="AV101" s="202">
        <v>0.71018011390000002</v>
      </c>
      <c r="AW101" s="202">
        <v>124.322440793</v>
      </c>
      <c r="AX101" s="65" t="s">
        <v>98</v>
      </c>
      <c r="AY101" s="65" t="s">
        <v>94</v>
      </c>
      <c r="AZ101" s="65" t="s">
        <v>94</v>
      </c>
      <c r="BA101" s="73" t="s">
        <v>77</v>
      </c>
      <c r="BB101" s="65" t="s">
        <v>98</v>
      </c>
      <c r="BC101" s="65">
        <v>31</v>
      </c>
      <c r="BD101" s="65" t="s">
        <v>98</v>
      </c>
      <c r="BE101" s="211" t="str">
        <f t="shared" si="46"/>
        <v>383, POYOWA BESAR,</v>
      </c>
    </row>
    <row r="102" spans="1:57" s="211" customFormat="1" ht="15.75" customHeight="1">
      <c r="A102" s="224"/>
      <c r="B102" s="225"/>
      <c r="C102" s="225"/>
      <c r="D102" s="225"/>
      <c r="E102" s="225"/>
      <c r="F102" s="225"/>
      <c r="G102" s="226"/>
      <c r="H102" s="23">
        <v>10</v>
      </c>
      <c r="I102" s="64" t="str">
        <f>I97</f>
        <v>MR.KPBS.P060</v>
      </c>
      <c r="J102" s="64">
        <f>J97</f>
        <v>0.71041449459999995</v>
      </c>
      <c r="K102" s="64">
        <f>K97</f>
        <v>124.3228278455</v>
      </c>
      <c r="L102" s="64" t="str">
        <f>L97</f>
        <v>JL. RAYA POYOWA BESAR</v>
      </c>
      <c r="M102" s="64" t="str">
        <f>M97</f>
        <v>SULAWESI UTARA</v>
      </c>
      <c r="N102" s="65" t="s">
        <v>105</v>
      </c>
      <c r="O102" s="66" t="s">
        <v>118</v>
      </c>
      <c r="P102" s="65" t="s">
        <v>119</v>
      </c>
      <c r="Q102" s="66">
        <v>95717</v>
      </c>
      <c r="R102" s="67"/>
      <c r="S102" s="68"/>
      <c r="T102" s="74"/>
      <c r="U102" s="74"/>
      <c r="V102" s="74"/>
      <c r="W102" s="65" t="s">
        <v>105</v>
      </c>
      <c r="X102" s="64"/>
      <c r="Y102" s="64" t="s">
        <v>106</v>
      </c>
      <c r="Z102" s="64" t="str">
        <f t="shared" si="36"/>
        <v>KELURAHAN POYOWA BESAR SATU KOTAMOBAGU</v>
      </c>
      <c r="AA102" s="65"/>
      <c r="AB102" s="65"/>
      <c r="AC102" s="65" t="s">
        <v>70</v>
      </c>
      <c r="AD102" s="64" t="str">
        <f>AD97</f>
        <v>POYOWA BESAR</v>
      </c>
      <c r="AE102" s="75"/>
      <c r="AF102" s="75"/>
      <c r="AG102" s="75"/>
      <c r="AH102" s="75"/>
      <c r="AI102" s="69"/>
      <c r="AJ102" s="11" t="s">
        <v>707</v>
      </c>
      <c r="AK102" s="65" t="s">
        <v>96</v>
      </c>
      <c r="AL102" s="65"/>
      <c r="AM102" s="176"/>
      <c r="AN102" s="176"/>
      <c r="AO102" s="176"/>
      <c r="AP102" s="176"/>
      <c r="AQ102" s="186" t="s">
        <v>97</v>
      </c>
      <c r="AR102" s="70" t="str">
        <f t="shared" si="34"/>
        <v>KTG.100.0101</v>
      </c>
      <c r="AS102" s="71" t="str">
        <f>AS97</f>
        <v>KPBS-2.020</v>
      </c>
      <c r="AT102" s="71" t="str">
        <f>AT97</f>
        <v>A07</v>
      </c>
      <c r="AU102" s="72"/>
      <c r="AV102" s="202">
        <v>0.71016867230000003</v>
      </c>
      <c r="AW102" s="202">
        <v>124.32253898</v>
      </c>
      <c r="AX102" s="65" t="s">
        <v>98</v>
      </c>
      <c r="AY102" s="65" t="s">
        <v>94</v>
      </c>
      <c r="AZ102" s="65" t="s">
        <v>94</v>
      </c>
      <c r="BA102" s="73" t="s">
        <v>77</v>
      </c>
      <c r="BB102" s="65" t="s">
        <v>98</v>
      </c>
      <c r="BC102" s="65">
        <v>31</v>
      </c>
      <c r="BD102" s="65" t="s">
        <v>98</v>
      </c>
      <c r="BE102" s="211" t="str">
        <f t="shared" si="40"/>
        <v>384, POYOWA BESAR,</v>
      </c>
    </row>
    <row r="103" spans="1:57" s="211" customFormat="1" ht="15.75" customHeight="1">
      <c r="A103" s="224"/>
      <c r="B103" s="225"/>
      <c r="C103" s="225"/>
      <c r="D103" s="225"/>
      <c r="E103" s="225"/>
      <c r="F103" s="225"/>
      <c r="G103" s="226"/>
      <c r="H103" s="23">
        <v>11</v>
      </c>
      <c r="I103" s="64" t="str">
        <f t="shared" si="41"/>
        <v>MR.KPBS.P060</v>
      </c>
      <c r="J103" s="64">
        <f t="shared" si="41"/>
        <v>0.71041449459999995</v>
      </c>
      <c r="K103" s="64">
        <f t="shared" si="41"/>
        <v>124.3228278455</v>
      </c>
      <c r="L103" s="64" t="str">
        <f t="shared" si="41"/>
        <v>JL. RAYA POYOWA BESAR</v>
      </c>
      <c r="M103" s="64" t="str">
        <f t="shared" si="41"/>
        <v>SULAWESI UTARA</v>
      </c>
      <c r="N103" s="65" t="s">
        <v>105</v>
      </c>
      <c r="O103" s="66" t="s">
        <v>118</v>
      </c>
      <c r="P103" s="65" t="s">
        <v>119</v>
      </c>
      <c r="Q103" s="66">
        <v>95717</v>
      </c>
      <c r="R103" s="67"/>
      <c r="S103" s="68"/>
      <c r="T103" s="68"/>
      <c r="U103" s="68"/>
      <c r="V103" s="68"/>
      <c r="W103" s="65" t="s">
        <v>105</v>
      </c>
      <c r="X103" s="64"/>
      <c r="Y103" s="64" t="s">
        <v>106</v>
      </c>
      <c r="Z103" s="64" t="str">
        <f t="shared" si="36"/>
        <v>KELURAHAN POYOWA BESAR SATU KOTAMOBAGU</v>
      </c>
      <c r="AA103" s="65"/>
      <c r="AB103" s="65"/>
      <c r="AC103" s="65" t="s">
        <v>70</v>
      </c>
      <c r="AD103" s="64" t="str">
        <f t="shared" si="42"/>
        <v>POYOWA BESAR</v>
      </c>
      <c r="AE103" s="67"/>
      <c r="AF103" s="67"/>
      <c r="AG103" s="67"/>
      <c r="AH103" s="67"/>
      <c r="AI103" s="69"/>
      <c r="AJ103" s="11" t="s">
        <v>708</v>
      </c>
      <c r="AK103" s="65" t="s">
        <v>96</v>
      </c>
      <c r="AL103" s="65"/>
      <c r="AM103" s="65"/>
      <c r="AN103" s="65"/>
      <c r="AO103" s="65"/>
      <c r="AP103" s="65"/>
      <c r="AQ103" s="177" t="s">
        <v>97</v>
      </c>
      <c r="AR103" s="70" t="str">
        <f t="shared" si="34"/>
        <v>KTG.100.0101</v>
      </c>
      <c r="AS103" s="71" t="str">
        <f t="shared" si="33"/>
        <v>KPBS-2.020</v>
      </c>
      <c r="AT103" s="71" t="str">
        <f t="shared" si="33"/>
        <v>A07</v>
      </c>
      <c r="AU103" s="72"/>
      <c r="AV103" s="202">
        <v>0.71020528539999905</v>
      </c>
      <c r="AW103" s="202">
        <v>124.3226234665</v>
      </c>
      <c r="AX103" s="65" t="s">
        <v>98</v>
      </c>
      <c r="AY103" s="65" t="s">
        <v>94</v>
      </c>
      <c r="AZ103" s="65" t="s">
        <v>94</v>
      </c>
      <c r="BA103" s="73" t="s">
        <v>77</v>
      </c>
      <c r="BB103" s="65" t="s">
        <v>98</v>
      </c>
      <c r="BC103" s="65">
        <v>31</v>
      </c>
      <c r="BD103" s="65" t="s">
        <v>98</v>
      </c>
      <c r="BE103" s="211" t="str">
        <f t="shared" si="40"/>
        <v>385, POYOWA BESAR,</v>
      </c>
    </row>
    <row r="104" spans="1:57" s="211" customFormat="1" ht="15.75" customHeight="1">
      <c r="A104" s="224"/>
      <c r="B104" s="225"/>
      <c r="C104" s="225"/>
      <c r="D104" s="225"/>
      <c r="E104" s="225"/>
      <c r="F104" s="225"/>
      <c r="G104" s="226"/>
      <c r="H104" s="23">
        <v>12</v>
      </c>
      <c r="I104" s="64" t="str">
        <f t="shared" si="41"/>
        <v>MR.KPBS.P060</v>
      </c>
      <c r="J104" s="64">
        <f t="shared" si="41"/>
        <v>0.71041449459999995</v>
      </c>
      <c r="K104" s="64">
        <f t="shared" si="41"/>
        <v>124.3228278455</v>
      </c>
      <c r="L104" s="64" t="str">
        <f t="shared" si="41"/>
        <v>JL. RAYA POYOWA BESAR</v>
      </c>
      <c r="M104" s="64" t="str">
        <f t="shared" si="41"/>
        <v>SULAWESI UTARA</v>
      </c>
      <c r="N104" s="65" t="s">
        <v>105</v>
      </c>
      <c r="O104" s="66" t="s">
        <v>118</v>
      </c>
      <c r="P104" s="65" t="s">
        <v>119</v>
      </c>
      <c r="Q104" s="66">
        <v>95717</v>
      </c>
      <c r="R104" s="67"/>
      <c r="S104" s="68"/>
      <c r="T104" s="68"/>
      <c r="U104" s="68"/>
      <c r="V104" s="68"/>
      <c r="W104" s="64" t="s">
        <v>105</v>
      </c>
      <c r="X104" s="64"/>
      <c r="Y104" s="64" t="s">
        <v>106</v>
      </c>
      <c r="Z104" s="64" t="str">
        <f t="shared" si="36"/>
        <v>KELURAHAN POYOWA BESAR SATU KOTAMOBAGU</v>
      </c>
      <c r="AA104" s="65"/>
      <c r="AB104" s="65"/>
      <c r="AC104" s="65" t="s">
        <v>70</v>
      </c>
      <c r="AD104" s="64" t="str">
        <f t="shared" si="42"/>
        <v>POYOWA BESAR</v>
      </c>
      <c r="AE104" s="67"/>
      <c r="AF104" s="67"/>
      <c r="AG104" s="67"/>
      <c r="AH104" s="67"/>
      <c r="AI104" s="69"/>
      <c r="AJ104" s="11" t="s">
        <v>709</v>
      </c>
      <c r="AK104" s="65" t="s">
        <v>96</v>
      </c>
      <c r="AL104" s="65"/>
      <c r="AM104" s="65"/>
      <c r="AN104" s="65"/>
      <c r="AO104" s="65"/>
      <c r="AP104" s="65"/>
      <c r="AQ104" s="177" t="s">
        <v>97</v>
      </c>
      <c r="AR104" s="70" t="str">
        <f t="shared" si="34"/>
        <v>KTG.100.0101</v>
      </c>
      <c r="AS104" s="71" t="str">
        <f t="shared" si="33"/>
        <v>KPBS-2.020</v>
      </c>
      <c r="AT104" s="71" t="str">
        <f t="shared" si="33"/>
        <v>A07</v>
      </c>
      <c r="AU104" s="72"/>
      <c r="AV104" s="202">
        <v>0.71020299710000001</v>
      </c>
      <c r="AW104" s="202">
        <v>124.322696536</v>
      </c>
      <c r="AX104" s="65" t="s">
        <v>98</v>
      </c>
      <c r="AY104" s="65" t="s">
        <v>94</v>
      </c>
      <c r="AZ104" s="65" t="s">
        <v>94</v>
      </c>
      <c r="BA104" s="73" t="s">
        <v>77</v>
      </c>
      <c r="BB104" s="65" t="s">
        <v>98</v>
      </c>
      <c r="BC104" s="65">
        <v>31</v>
      </c>
      <c r="BD104" s="65" t="s">
        <v>98</v>
      </c>
      <c r="BE104" s="211" t="str">
        <f t="shared" si="40"/>
        <v>386, POYOWA BESAR,</v>
      </c>
    </row>
    <row r="105" spans="1:57" s="211" customFormat="1" ht="15.75" customHeight="1">
      <c r="A105" s="224"/>
      <c r="B105" s="225"/>
      <c r="C105" s="225"/>
      <c r="D105" s="225"/>
      <c r="E105" s="225"/>
      <c r="F105" s="225"/>
      <c r="G105" s="226"/>
      <c r="H105" s="23">
        <v>13</v>
      </c>
      <c r="I105" s="64" t="str">
        <f t="shared" si="41"/>
        <v>MR.KPBS.P060</v>
      </c>
      <c r="J105" s="64">
        <f t="shared" si="41"/>
        <v>0.71041449459999995</v>
      </c>
      <c r="K105" s="64">
        <f t="shared" si="41"/>
        <v>124.3228278455</v>
      </c>
      <c r="L105" s="64" t="str">
        <f t="shared" si="41"/>
        <v>JL. RAYA POYOWA BESAR</v>
      </c>
      <c r="M105" s="64" t="str">
        <f t="shared" si="41"/>
        <v>SULAWESI UTARA</v>
      </c>
      <c r="N105" s="65" t="s">
        <v>105</v>
      </c>
      <c r="O105" s="66" t="s">
        <v>118</v>
      </c>
      <c r="P105" s="65" t="s">
        <v>119</v>
      </c>
      <c r="Q105" s="66">
        <v>95717</v>
      </c>
      <c r="R105" s="67"/>
      <c r="S105" s="68"/>
      <c r="T105" s="68"/>
      <c r="U105" s="68"/>
      <c r="V105" s="68"/>
      <c r="W105" s="64" t="s">
        <v>105</v>
      </c>
      <c r="X105" s="64"/>
      <c r="Y105" s="64" t="s">
        <v>106</v>
      </c>
      <c r="Z105" s="64" t="str">
        <f t="shared" si="36"/>
        <v>KELURAHAN POYOWA BESAR SATU KOTAMOBAGU</v>
      </c>
      <c r="AA105" s="65"/>
      <c r="AB105" s="65"/>
      <c r="AC105" s="65" t="s">
        <v>70</v>
      </c>
      <c r="AD105" s="64" t="str">
        <f t="shared" si="42"/>
        <v>POYOWA BESAR</v>
      </c>
      <c r="AE105" s="67"/>
      <c r="AF105" s="67"/>
      <c r="AG105" s="67"/>
      <c r="AH105" s="67"/>
      <c r="AI105" s="69"/>
      <c r="AJ105" s="11" t="s">
        <v>710</v>
      </c>
      <c r="AK105" s="65" t="s">
        <v>96</v>
      </c>
      <c r="AL105" s="65"/>
      <c r="AM105" s="65"/>
      <c r="AN105" s="65"/>
      <c r="AO105" s="65"/>
      <c r="AP105" s="65"/>
      <c r="AQ105" s="177" t="s">
        <v>97</v>
      </c>
      <c r="AR105" s="70" t="str">
        <f t="shared" si="34"/>
        <v>KTG.100.0101</v>
      </c>
      <c r="AS105" s="71" t="str">
        <f t="shared" si="33"/>
        <v>KPBS-2.020</v>
      </c>
      <c r="AT105" s="71" t="str">
        <f t="shared" si="33"/>
        <v>A07</v>
      </c>
      <c r="AU105" s="72"/>
      <c r="AV105" s="202">
        <v>0.71019155549999902</v>
      </c>
      <c r="AW105" s="202">
        <v>124.3227581884</v>
      </c>
      <c r="AX105" s="65" t="s">
        <v>98</v>
      </c>
      <c r="AY105" s="65" t="s">
        <v>94</v>
      </c>
      <c r="AZ105" s="65" t="s">
        <v>94</v>
      </c>
      <c r="BA105" s="73" t="s">
        <v>77</v>
      </c>
      <c r="BB105" s="65" t="s">
        <v>98</v>
      </c>
      <c r="BC105" s="65">
        <v>31</v>
      </c>
      <c r="BD105" s="65" t="s">
        <v>98</v>
      </c>
      <c r="BE105" s="211" t="str">
        <f t="shared" si="40"/>
        <v>387, POYOWA BESAR,</v>
      </c>
    </row>
    <row r="106" spans="1:57" s="211" customFormat="1" ht="15.75" customHeight="1">
      <c r="A106" s="224"/>
      <c r="B106" s="225"/>
      <c r="C106" s="225"/>
      <c r="D106" s="225"/>
      <c r="E106" s="225"/>
      <c r="F106" s="225"/>
      <c r="G106" s="226"/>
      <c r="H106" s="23">
        <v>14</v>
      </c>
      <c r="I106" s="64" t="str">
        <f t="shared" si="41"/>
        <v>MR.KPBS.P060</v>
      </c>
      <c r="J106" s="64">
        <f t="shared" si="41"/>
        <v>0.71041449459999995</v>
      </c>
      <c r="K106" s="64">
        <f t="shared" si="41"/>
        <v>124.3228278455</v>
      </c>
      <c r="L106" s="64" t="str">
        <f t="shared" si="41"/>
        <v>JL. RAYA POYOWA BESAR</v>
      </c>
      <c r="M106" s="64" t="str">
        <f t="shared" si="41"/>
        <v>SULAWESI UTARA</v>
      </c>
      <c r="N106" s="65" t="s">
        <v>105</v>
      </c>
      <c r="O106" s="66" t="s">
        <v>118</v>
      </c>
      <c r="P106" s="65" t="s">
        <v>119</v>
      </c>
      <c r="Q106" s="66">
        <v>95717</v>
      </c>
      <c r="R106" s="67"/>
      <c r="S106" s="68"/>
      <c r="T106" s="68"/>
      <c r="U106" s="68"/>
      <c r="V106" s="68"/>
      <c r="W106" s="64" t="s">
        <v>105</v>
      </c>
      <c r="X106" s="64"/>
      <c r="Y106" s="64" t="s">
        <v>106</v>
      </c>
      <c r="Z106" s="64" t="str">
        <f t="shared" si="36"/>
        <v>KELURAHAN POYOWA BESAR SATU KOTAMOBAGU</v>
      </c>
      <c r="AA106" s="65"/>
      <c r="AB106" s="65"/>
      <c r="AC106" s="65" t="s">
        <v>70</v>
      </c>
      <c r="AD106" s="64" t="str">
        <f t="shared" si="42"/>
        <v>POYOWA BESAR</v>
      </c>
      <c r="AE106" s="67"/>
      <c r="AF106" s="67"/>
      <c r="AG106" s="67"/>
      <c r="AH106" s="67"/>
      <c r="AI106" s="69"/>
      <c r="AJ106" s="11" t="s">
        <v>711</v>
      </c>
      <c r="AK106" s="65" t="s">
        <v>96</v>
      </c>
      <c r="AL106" s="65"/>
      <c r="AM106" s="65"/>
      <c r="AN106" s="65"/>
      <c r="AO106" s="65"/>
      <c r="AP106" s="65"/>
      <c r="AQ106" s="177" t="s">
        <v>97</v>
      </c>
      <c r="AR106" s="70" t="str">
        <f t="shared" si="34"/>
        <v>KTG.100.0101</v>
      </c>
      <c r="AS106" s="71" t="str">
        <f t="shared" si="33"/>
        <v>KPBS-2.020</v>
      </c>
      <c r="AT106" s="71" t="str">
        <f t="shared" si="33"/>
        <v>A07</v>
      </c>
      <c r="AU106" s="72"/>
      <c r="AV106" s="202">
        <v>0.71016638389999998</v>
      </c>
      <c r="AW106" s="202">
        <v>124.3228403916</v>
      </c>
      <c r="AX106" s="65" t="s">
        <v>98</v>
      </c>
      <c r="AY106" s="65" t="s">
        <v>94</v>
      </c>
      <c r="AZ106" s="65" t="s">
        <v>94</v>
      </c>
      <c r="BA106" s="73" t="s">
        <v>77</v>
      </c>
      <c r="BB106" s="65" t="s">
        <v>98</v>
      </c>
      <c r="BC106" s="65">
        <v>31</v>
      </c>
      <c r="BD106" s="65" t="s">
        <v>98</v>
      </c>
      <c r="BE106" s="211" t="str">
        <f t="shared" si="40"/>
        <v>388, POYOWA BESAR,</v>
      </c>
    </row>
    <row r="107" spans="1:57" s="211" customFormat="1" ht="15.75" customHeight="1">
      <c r="A107" s="224"/>
      <c r="B107" s="225"/>
      <c r="C107" s="225"/>
      <c r="D107" s="225"/>
      <c r="E107" s="225"/>
      <c r="F107" s="225"/>
      <c r="G107" s="226"/>
      <c r="H107" s="23">
        <v>15</v>
      </c>
      <c r="I107" s="64" t="str">
        <f t="shared" si="41"/>
        <v>MR.KPBS.P060</v>
      </c>
      <c r="J107" s="64">
        <f t="shared" si="41"/>
        <v>0.71041449459999995</v>
      </c>
      <c r="K107" s="64">
        <f t="shared" si="41"/>
        <v>124.3228278455</v>
      </c>
      <c r="L107" s="64" t="str">
        <f t="shared" si="41"/>
        <v>JL. RAYA POYOWA BESAR</v>
      </c>
      <c r="M107" s="64" t="str">
        <f t="shared" si="41"/>
        <v>SULAWESI UTARA</v>
      </c>
      <c r="N107" s="65" t="s">
        <v>105</v>
      </c>
      <c r="O107" s="66" t="s">
        <v>118</v>
      </c>
      <c r="P107" s="65" t="s">
        <v>119</v>
      </c>
      <c r="Q107" s="66">
        <v>95717</v>
      </c>
      <c r="R107" s="66"/>
      <c r="S107" s="66"/>
      <c r="T107" s="66"/>
      <c r="U107" s="66"/>
      <c r="V107" s="66"/>
      <c r="W107" s="64" t="s">
        <v>105</v>
      </c>
      <c r="X107" s="64"/>
      <c r="Y107" s="64" t="s">
        <v>106</v>
      </c>
      <c r="Z107" s="64" t="str">
        <f t="shared" si="36"/>
        <v>KELURAHAN POYOWA BESAR SATU KOTAMOBAGU</v>
      </c>
      <c r="AA107" s="65"/>
      <c r="AB107" s="65"/>
      <c r="AC107" s="65" t="s">
        <v>70</v>
      </c>
      <c r="AD107" s="64" t="str">
        <f t="shared" si="42"/>
        <v>POYOWA BESAR</v>
      </c>
      <c r="AE107" s="66"/>
      <c r="AF107" s="66"/>
      <c r="AG107" s="66"/>
      <c r="AH107" s="66"/>
      <c r="AI107" s="69"/>
      <c r="AJ107" s="11" t="s">
        <v>712</v>
      </c>
      <c r="AK107" s="178" t="s">
        <v>96</v>
      </c>
      <c r="AL107" s="178"/>
      <c r="AM107" s="178"/>
      <c r="AN107" s="178"/>
      <c r="AO107" s="178"/>
      <c r="AP107" s="178"/>
      <c r="AQ107" s="179" t="s">
        <v>97</v>
      </c>
      <c r="AR107" s="70" t="str">
        <f t="shared" si="34"/>
        <v>KTG.100.0101</v>
      </c>
      <c r="AS107" s="71" t="str">
        <f t="shared" si="33"/>
        <v>KPBS-2.020</v>
      </c>
      <c r="AT107" s="71" t="str">
        <f t="shared" si="33"/>
        <v>A07</v>
      </c>
      <c r="AU107" s="72"/>
      <c r="AV107" s="202">
        <v>0.71025105180000003</v>
      </c>
      <c r="AW107" s="202">
        <v>124.3228997606</v>
      </c>
      <c r="AX107" s="65" t="s">
        <v>98</v>
      </c>
      <c r="AY107" s="65" t="s">
        <v>94</v>
      </c>
      <c r="AZ107" s="65" t="s">
        <v>94</v>
      </c>
      <c r="BA107" s="73" t="s">
        <v>77</v>
      </c>
      <c r="BB107" s="65" t="s">
        <v>98</v>
      </c>
      <c r="BC107" s="65">
        <v>31</v>
      </c>
      <c r="BD107" s="65" t="s">
        <v>98</v>
      </c>
      <c r="BE107" s="211" t="str">
        <f t="shared" si="40"/>
        <v>389, POYOWA BESAR,</v>
      </c>
    </row>
    <row r="108" spans="1:57" s="211" customFormat="1" ht="15.75" customHeight="1">
      <c r="A108" s="224"/>
      <c r="B108" s="225"/>
      <c r="C108" s="225"/>
      <c r="D108" s="225"/>
      <c r="E108" s="225"/>
      <c r="F108" s="225"/>
      <c r="G108" s="226"/>
      <c r="H108" s="23">
        <v>16</v>
      </c>
      <c r="I108" s="64" t="str">
        <f t="shared" si="41"/>
        <v>MR.KPBS.P060</v>
      </c>
      <c r="J108" s="64">
        <f t="shared" si="41"/>
        <v>0.71041449459999995</v>
      </c>
      <c r="K108" s="64">
        <f t="shared" si="41"/>
        <v>124.3228278455</v>
      </c>
      <c r="L108" s="64" t="str">
        <f t="shared" si="41"/>
        <v>JL. RAYA POYOWA BESAR</v>
      </c>
      <c r="M108" s="64" t="str">
        <f t="shared" si="41"/>
        <v>SULAWESI UTARA</v>
      </c>
      <c r="N108" s="65" t="s">
        <v>105</v>
      </c>
      <c r="O108" s="66" t="s">
        <v>118</v>
      </c>
      <c r="P108" s="65" t="s">
        <v>119</v>
      </c>
      <c r="Q108" s="66">
        <v>95717</v>
      </c>
      <c r="R108" s="67"/>
      <c r="S108" s="68"/>
      <c r="T108" s="68"/>
      <c r="U108" s="68"/>
      <c r="V108" s="68"/>
      <c r="W108" s="64" t="s">
        <v>105</v>
      </c>
      <c r="X108" s="64"/>
      <c r="Y108" s="64" t="s">
        <v>106</v>
      </c>
      <c r="Z108" s="64" t="str">
        <f t="shared" si="36"/>
        <v>KELURAHAN POYOWA BESAR SATU KOTAMOBAGU</v>
      </c>
      <c r="AA108" s="65"/>
      <c r="AB108" s="65"/>
      <c r="AC108" s="65" t="s">
        <v>70</v>
      </c>
      <c r="AD108" s="64" t="str">
        <f t="shared" si="42"/>
        <v>POYOWA BESAR</v>
      </c>
      <c r="AE108" s="67"/>
      <c r="AF108" s="67"/>
      <c r="AG108" s="67"/>
      <c r="AH108" s="67"/>
      <c r="AI108" s="69"/>
      <c r="AJ108" s="11" t="s">
        <v>713</v>
      </c>
      <c r="AK108" s="178" t="s">
        <v>96</v>
      </c>
      <c r="AL108" s="178"/>
      <c r="AM108" s="178"/>
      <c r="AN108" s="178"/>
      <c r="AO108" s="178"/>
      <c r="AP108" s="178"/>
      <c r="AQ108" s="179" t="s">
        <v>97</v>
      </c>
      <c r="AR108" s="70" t="str">
        <f t="shared" si="34"/>
        <v>KTG.100.0101</v>
      </c>
      <c r="AS108" s="71" t="str">
        <f t="shared" si="33"/>
        <v>KPBS-2.020</v>
      </c>
      <c r="AT108" s="71" t="str">
        <f t="shared" si="33"/>
        <v>A07</v>
      </c>
      <c r="AU108" s="72"/>
      <c r="AV108" s="202">
        <v>0.71027164669999998</v>
      </c>
      <c r="AW108" s="202">
        <v>124.32295912950001</v>
      </c>
      <c r="AX108" s="65" t="s">
        <v>98</v>
      </c>
      <c r="AY108" s="65" t="s">
        <v>94</v>
      </c>
      <c r="AZ108" s="65" t="s">
        <v>94</v>
      </c>
      <c r="BA108" s="73" t="s">
        <v>77</v>
      </c>
      <c r="BB108" s="65" t="s">
        <v>98</v>
      </c>
      <c r="BC108" s="65">
        <v>31</v>
      </c>
      <c r="BD108" s="65" t="s">
        <v>98</v>
      </c>
      <c r="BE108" s="211" t="str">
        <f t="shared" si="40"/>
        <v>390, POYOWA BESAR,</v>
      </c>
    </row>
    <row r="109" spans="1:57" s="211" customFormat="1" ht="15.75" customHeight="1">
      <c r="A109" s="40" t="s">
        <v>67</v>
      </c>
      <c r="B109" s="40">
        <f>B93+1</f>
        <v>8</v>
      </c>
      <c r="C109" s="32" t="s">
        <v>68</v>
      </c>
      <c r="D109" s="111" t="s">
        <v>348</v>
      </c>
      <c r="E109" s="120">
        <v>2</v>
      </c>
      <c r="F109" s="43">
        <f>F94+1</f>
        <v>17</v>
      </c>
      <c r="G109" s="213" t="s">
        <v>79</v>
      </c>
      <c r="H109" s="42">
        <v>1</v>
      </c>
      <c r="I109" s="82" t="s">
        <v>336</v>
      </c>
      <c r="J109" s="83">
        <v>0.71005906510000005</v>
      </c>
      <c r="K109" s="83">
        <v>124.3233560542</v>
      </c>
      <c r="L109" s="117" t="s">
        <v>116</v>
      </c>
      <c r="M109" s="119" t="str">
        <f t="shared" si="41"/>
        <v>SULAWESI UTARA</v>
      </c>
      <c r="N109" s="14" t="s">
        <v>105</v>
      </c>
      <c r="O109" s="84" t="s">
        <v>118</v>
      </c>
      <c r="P109" s="14" t="s">
        <v>119</v>
      </c>
      <c r="Q109" s="84">
        <v>95717</v>
      </c>
      <c r="R109" s="86"/>
      <c r="S109" s="87"/>
      <c r="T109" s="88"/>
      <c r="U109" s="87"/>
      <c r="V109" s="88"/>
      <c r="W109" s="85" t="s">
        <v>105</v>
      </c>
      <c r="X109" s="83"/>
      <c r="Y109" s="119" t="s">
        <v>106</v>
      </c>
      <c r="Z109" s="119" t="str">
        <f t="shared" si="36"/>
        <v>KELURAHAN POYOWA BESAR SATU KOTAMOBAGU</v>
      </c>
      <c r="AA109" s="89"/>
      <c r="AB109" s="89"/>
      <c r="AC109" s="89" t="s">
        <v>70</v>
      </c>
      <c r="AD109" s="117" t="s">
        <v>119</v>
      </c>
      <c r="AE109" s="90"/>
      <c r="AF109" s="90"/>
      <c r="AG109" s="90"/>
      <c r="AH109" s="90"/>
      <c r="AI109" s="91"/>
      <c r="AJ109" s="115" t="s">
        <v>714</v>
      </c>
      <c r="AK109" s="89" t="s">
        <v>96</v>
      </c>
      <c r="AL109" s="95"/>
      <c r="AM109" s="187"/>
      <c r="AN109" s="187"/>
      <c r="AO109" s="187"/>
      <c r="AP109" s="187"/>
      <c r="AQ109" s="188" t="s">
        <v>97</v>
      </c>
      <c r="AR109" s="92" t="str">
        <f t="shared" si="34"/>
        <v>KTG.100.0101</v>
      </c>
      <c r="AS109" s="93" t="str">
        <f>AS93</f>
        <v>KPBS-2.020</v>
      </c>
      <c r="AT109" s="93" t="str">
        <f>G109</f>
        <v>A08</v>
      </c>
      <c r="AU109" s="94"/>
      <c r="AV109" s="203">
        <v>0.7099463238</v>
      </c>
      <c r="AW109" s="203">
        <v>124.3234730986</v>
      </c>
      <c r="AX109" s="95" t="s">
        <v>98</v>
      </c>
      <c r="AY109" s="95" t="s">
        <v>94</v>
      </c>
      <c r="AZ109" s="95" t="s">
        <v>94</v>
      </c>
      <c r="BA109" s="96" t="s">
        <v>77</v>
      </c>
      <c r="BB109" s="95" t="s">
        <v>98</v>
      </c>
      <c r="BC109" s="95">
        <v>31</v>
      </c>
      <c r="BD109" s="95" t="s">
        <v>98</v>
      </c>
      <c r="BE109" s="211" t="str">
        <f t="shared" si="40"/>
        <v>99, POYOWA BESAR,</v>
      </c>
    </row>
    <row r="110" spans="1:57" s="211" customFormat="1" ht="15.75" customHeight="1">
      <c r="A110" s="46"/>
      <c r="B110" s="46"/>
      <c r="C110" s="22" t="s">
        <v>68</v>
      </c>
      <c r="D110" s="22" t="s">
        <v>348</v>
      </c>
      <c r="E110" s="32">
        <v>2</v>
      </c>
      <c r="F110" s="47">
        <f>F109+1</f>
        <v>18</v>
      </c>
      <c r="G110" s="214"/>
      <c r="H110" s="23">
        <v>2</v>
      </c>
      <c r="I110" s="64" t="str">
        <f t="shared" ref="I110:M125" si="50">I109</f>
        <v>MR.KPBS.P062</v>
      </c>
      <c r="J110" s="64">
        <f t="shared" si="50"/>
        <v>0.71005906510000005</v>
      </c>
      <c r="K110" s="64">
        <f t="shared" si="50"/>
        <v>124.3233560542</v>
      </c>
      <c r="L110" s="64" t="str">
        <f t="shared" si="50"/>
        <v>JL. RAYA POYOWA BESAR</v>
      </c>
      <c r="M110" s="64" t="str">
        <f t="shared" si="41"/>
        <v>SULAWESI UTARA</v>
      </c>
      <c r="N110" s="65" t="s">
        <v>105</v>
      </c>
      <c r="O110" s="66" t="s">
        <v>118</v>
      </c>
      <c r="P110" s="65" t="s">
        <v>119</v>
      </c>
      <c r="Q110" s="66">
        <v>95717</v>
      </c>
      <c r="R110" s="67"/>
      <c r="S110" s="68"/>
      <c r="T110" s="68"/>
      <c r="U110" s="68"/>
      <c r="V110" s="68"/>
      <c r="W110" s="65" t="s">
        <v>105</v>
      </c>
      <c r="X110" s="64"/>
      <c r="Y110" s="64" t="s">
        <v>106</v>
      </c>
      <c r="Z110" s="64" t="str">
        <f t="shared" si="36"/>
        <v>KELURAHAN POYOWA BESAR SATU KOTAMOBAGU</v>
      </c>
      <c r="AA110" s="65"/>
      <c r="AB110" s="65"/>
      <c r="AC110" s="65" t="s">
        <v>70</v>
      </c>
      <c r="AD110" s="64" t="str">
        <f t="shared" ref="AD110:AD118" si="51">AD109</f>
        <v>POYOWA BESAR</v>
      </c>
      <c r="AE110" s="67"/>
      <c r="AF110" s="67"/>
      <c r="AG110" s="67"/>
      <c r="AH110" s="67"/>
      <c r="AI110" s="69"/>
      <c r="AJ110" s="11" t="s">
        <v>715</v>
      </c>
      <c r="AK110" s="65" t="s">
        <v>96</v>
      </c>
      <c r="AL110" s="65"/>
      <c r="AM110" s="176"/>
      <c r="AN110" s="176"/>
      <c r="AO110" s="176"/>
      <c r="AP110" s="176"/>
      <c r="AQ110" s="177" t="s">
        <v>97</v>
      </c>
      <c r="AR110" s="70" t="str">
        <f t="shared" si="34"/>
        <v>KTG.100.0101</v>
      </c>
      <c r="AS110" s="71" t="str">
        <f t="shared" si="33"/>
        <v>KPBS-2.020</v>
      </c>
      <c r="AT110" s="71" t="str">
        <f t="shared" si="33"/>
        <v>A08</v>
      </c>
      <c r="AU110" s="72"/>
      <c r="AV110" s="202">
        <v>0.71027678979999997</v>
      </c>
      <c r="AW110" s="202">
        <v>124.3232756881</v>
      </c>
      <c r="AX110" s="65" t="s">
        <v>98</v>
      </c>
      <c r="AY110" s="65" t="s">
        <v>94</v>
      </c>
      <c r="AZ110" s="65" t="s">
        <v>94</v>
      </c>
      <c r="BA110" s="73" t="s">
        <v>77</v>
      </c>
      <c r="BB110" s="65" t="s">
        <v>98</v>
      </c>
      <c r="BC110" s="65">
        <v>31</v>
      </c>
      <c r="BD110" s="65" t="s">
        <v>98</v>
      </c>
      <c r="BE110" s="211" t="str">
        <f t="shared" si="40"/>
        <v>395, POYOWA BESAR,</v>
      </c>
    </row>
    <row r="111" spans="1:57" s="211" customFormat="1" ht="15.75" customHeight="1">
      <c r="A111" s="221"/>
      <c r="B111" s="222"/>
      <c r="C111" s="222"/>
      <c r="D111" s="222"/>
      <c r="E111" s="222"/>
      <c r="F111" s="222"/>
      <c r="G111" s="223"/>
      <c r="H111" s="23">
        <v>3</v>
      </c>
      <c r="I111" s="64" t="str">
        <f t="shared" si="50"/>
        <v>MR.KPBS.P062</v>
      </c>
      <c r="J111" s="64">
        <f t="shared" si="50"/>
        <v>0.71005906510000005</v>
      </c>
      <c r="K111" s="64">
        <f t="shared" si="50"/>
        <v>124.3233560542</v>
      </c>
      <c r="L111" s="64" t="str">
        <f t="shared" si="50"/>
        <v>JL. RAYA POYOWA BESAR</v>
      </c>
      <c r="M111" s="64" t="str">
        <f t="shared" si="41"/>
        <v>SULAWESI UTARA</v>
      </c>
      <c r="N111" s="65" t="s">
        <v>105</v>
      </c>
      <c r="O111" s="66" t="s">
        <v>118</v>
      </c>
      <c r="P111" s="65" t="s">
        <v>119</v>
      </c>
      <c r="Q111" s="66">
        <v>95717</v>
      </c>
      <c r="R111" s="67"/>
      <c r="S111" s="68"/>
      <c r="T111" s="68"/>
      <c r="U111" s="68"/>
      <c r="V111" s="68"/>
      <c r="W111" s="65" t="s">
        <v>105</v>
      </c>
      <c r="X111" s="64"/>
      <c r="Y111" s="64" t="s">
        <v>106</v>
      </c>
      <c r="Z111" s="64" t="str">
        <f t="shared" si="36"/>
        <v>KELURAHAN POYOWA BESAR SATU KOTAMOBAGU</v>
      </c>
      <c r="AA111" s="65"/>
      <c r="AB111" s="65"/>
      <c r="AC111" s="65" t="s">
        <v>70</v>
      </c>
      <c r="AD111" s="64" t="str">
        <f t="shared" si="51"/>
        <v>POYOWA BESAR</v>
      </c>
      <c r="AE111" s="67"/>
      <c r="AF111" s="67"/>
      <c r="AG111" s="67"/>
      <c r="AH111" s="67"/>
      <c r="AI111" s="69"/>
      <c r="AJ111" s="11" t="s">
        <v>716</v>
      </c>
      <c r="AK111" s="65" t="s">
        <v>96</v>
      </c>
      <c r="AL111" s="65"/>
      <c r="AM111" s="176"/>
      <c r="AN111" s="176"/>
      <c r="AO111" s="176"/>
      <c r="AP111" s="176"/>
      <c r="AQ111" s="177" t="s">
        <v>97</v>
      </c>
      <c r="AR111" s="70" t="str">
        <f t="shared" si="34"/>
        <v>KTG.100.0101</v>
      </c>
      <c r="AS111" s="71" t="str">
        <f t="shared" si="33"/>
        <v>KPBS-2.020</v>
      </c>
      <c r="AT111" s="71" t="str">
        <f t="shared" si="33"/>
        <v>A08</v>
      </c>
      <c r="AU111" s="72"/>
      <c r="AV111" s="202">
        <v>0.7102064454</v>
      </c>
      <c r="AW111" s="202">
        <v>124.3232625687</v>
      </c>
      <c r="AX111" s="65" t="s">
        <v>98</v>
      </c>
      <c r="AY111" s="65" t="s">
        <v>94</v>
      </c>
      <c r="AZ111" s="65" t="s">
        <v>94</v>
      </c>
      <c r="BA111" s="73" t="s">
        <v>77</v>
      </c>
      <c r="BB111" s="65" t="s">
        <v>98</v>
      </c>
      <c r="BC111" s="65">
        <v>31</v>
      </c>
      <c r="BD111" s="65" t="s">
        <v>98</v>
      </c>
      <c r="BE111" s="211" t="str">
        <f t="shared" si="40"/>
        <v>572, POYOWA BESAR,</v>
      </c>
    </row>
    <row r="112" spans="1:57" s="211" customFormat="1" ht="15.75" customHeight="1">
      <c r="A112" s="224"/>
      <c r="B112" s="225"/>
      <c r="C112" s="225"/>
      <c r="D112" s="225"/>
      <c r="E112" s="225"/>
      <c r="F112" s="225"/>
      <c r="G112" s="226"/>
      <c r="H112" s="23">
        <v>4</v>
      </c>
      <c r="I112" s="64" t="str">
        <f t="shared" si="50"/>
        <v>MR.KPBS.P062</v>
      </c>
      <c r="J112" s="64">
        <f t="shared" si="50"/>
        <v>0.71005906510000005</v>
      </c>
      <c r="K112" s="64">
        <f t="shared" si="50"/>
        <v>124.3233560542</v>
      </c>
      <c r="L112" s="64" t="str">
        <f t="shared" si="50"/>
        <v>JL. RAYA POYOWA BESAR</v>
      </c>
      <c r="M112" s="64" t="str">
        <f t="shared" si="41"/>
        <v>SULAWESI UTARA</v>
      </c>
      <c r="N112" s="65" t="s">
        <v>105</v>
      </c>
      <c r="O112" s="66" t="s">
        <v>118</v>
      </c>
      <c r="P112" s="65" t="s">
        <v>119</v>
      </c>
      <c r="Q112" s="66">
        <v>95717</v>
      </c>
      <c r="R112" s="67"/>
      <c r="S112" s="68"/>
      <c r="T112" s="68"/>
      <c r="U112" s="68"/>
      <c r="V112" s="68"/>
      <c r="W112" s="65" t="s">
        <v>105</v>
      </c>
      <c r="X112" s="64"/>
      <c r="Y112" s="64" t="s">
        <v>106</v>
      </c>
      <c r="Z112" s="64" t="str">
        <f t="shared" si="36"/>
        <v>KELURAHAN POYOWA BESAR SATU KOTAMOBAGU</v>
      </c>
      <c r="AA112" s="65"/>
      <c r="AB112" s="65"/>
      <c r="AC112" s="65" t="s">
        <v>70</v>
      </c>
      <c r="AD112" s="64" t="str">
        <f t="shared" si="51"/>
        <v>POYOWA BESAR</v>
      </c>
      <c r="AE112" s="67"/>
      <c r="AF112" s="67"/>
      <c r="AG112" s="67"/>
      <c r="AH112" s="67"/>
      <c r="AI112" s="69"/>
      <c r="AJ112" s="11" t="s">
        <v>717</v>
      </c>
      <c r="AK112" s="65" t="s">
        <v>96</v>
      </c>
      <c r="AL112" s="65"/>
      <c r="AM112" s="176"/>
      <c r="AN112" s="176"/>
      <c r="AO112" s="176"/>
      <c r="AP112" s="176"/>
      <c r="AQ112" s="177" t="s">
        <v>97</v>
      </c>
      <c r="AR112" s="70" t="str">
        <f t="shared" si="34"/>
        <v>KTG.100.0101</v>
      </c>
      <c r="AS112" s="71" t="str">
        <f t="shared" si="33"/>
        <v>KPBS-2.020</v>
      </c>
      <c r="AT112" s="71" t="str">
        <f t="shared" si="33"/>
        <v>A08</v>
      </c>
      <c r="AU112" s="72"/>
      <c r="AV112" s="202">
        <v>0.71014251890000002</v>
      </c>
      <c r="AW112" s="202">
        <v>124.3232106518</v>
      </c>
      <c r="AX112" s="65" t="s">
        <v>98</v>
      </c>
      <c r="AY112" s="65" t="s">
        <v>94</v>
      </c>
      <c r="AZ112" s="65" t="s">
        <v>94</v>
      </c>
      <c r="BA112" s="73" t="s">
        <v>77</v>
      </c>
      <c r="BB112" s="65" t="s">
        <v>98</v>
      </c>
      <c r="BC112" s="65">
        <v>31</v>
      </c>
      <c r="BD112" s="65" t="s">
        <v>98</v>
      </c>
      <c r="BE112" s="211" t="str">
        <f t="shared" si="40"/>
        <v>573, POYOWA BESAR,</v>
      </c>
    </row>
    <row r="113" spans="1:57" s="211" customFormat="1" ht="15.75" customHeight="1">
      <c r="A113" s="224"/>
      <c r="B113" s="225"/>
      <c r="C113" s="225"/>
      <c r="D113" s="225"/>
      <c r="E113" s="225"/>
      <c r="F113" s="225"/>
      <c r="G113" s="226"/>
      <c r="H113" s="23">
        <v>5</v>
      </c>
      <c r="I113" s="64" t="str">
        <f t="shared" si="50"/>
        <v>MR.KPBS.P062</v>
      </c>
      <c r="J113" s="64">
        <f t="shared" si="50"/>
        <v>0.71005906510000005</v>
      </c>
      <c r="K113" s="64">
        <f t="shared" si="50"/>
        <v>124.3233560542</v>
      </c>
      <c r="L113" s="64" t="str">
        <f t="shared" si="50"/>
        <v>JL. RAYA POYOWA BESAR</v>
      </c>
      <c r="M113" s="64" t="str">
        <f t="shared" si="41"/>
        <v>SULAWESI UTARA</v>
      </c>
      <c r="N113" s="65" t="s">
        <v>105</v>
      </c>
      <c r="O113" s="66" t="s">
        <v>118</v>
      </c>
      <c r="P113" s="65" t="s">
        <v>119</v>
      </c>
      <c r="Q113" s="66">
        <v>95717</v>
      </c>
      <c r="R113" s="67"/>
      <c r="S113" s="68"/>
      <c r="T113" s="68"/>
      <c r="U113" s="68"/>
      <c r="V113" s="68"/>
      <c r="W113" s="65" t="s">
        <v>105</v>
      </c>
      <c r="X113" s="64"/>
      <c r="Y113" s="64" t="s">
        <v>106</v>
      </c>
      <c r="Z113" s="64" t="str">
        <f t="shared" si="36"/>
        <v>KELURAHAN POYOWA BESAR SATU KOTAMOBAGU</v>
      </c>
      <c r="AA113" s="65"/>
      <c r="AB113" s="65"/>
      <c r="AC113" s="65" t="s">
        <v>70</v>
      </c>
      <c r="AD113" s="64" t="str">
        <f t="shared" si="51"/>
        <v>POYOWA BESAR</v>
      </c>
      <c r="AE113" s="67"/>
      <c r="AF113" s="67"/>
      <c r="AG113" s="67"/>
      <c r="AH113" s="67"/>
      <c r="AI113" s="69"/>
      <c r="AJ113" s="11" t="s">
        <v>718</v>
      </c>
      <c r="AK113" s="65" t="s">
        <v>96</v>
      </c>
      <c r="AL113" s="65"/>
      <c r="AM113" s="176"/>
      <c r="AN113" s="176"/>
      <c r="AO113" s="176"/>
      <c r="AP113" s="176"/>
      <c r="AQ113" s="177" t="s">
        <v>97</v>
      </c>
      <c r="AR113" s="70" t="str">
        <f t="shared" si="34"/>
        <v>KTG.100.0101</v>
      </c>
      <c r="AS113" s="71" t="str">
        <f t="shared" si="33"/>
        <v>KPBS-2.020</v>
      </c>
      <c r="AT113" s="71" t="str">
        <f t="shared" si="33"/>
        <v>A08</v>
      </c>
      <c r="AU113" s="72"/>
      <c r="AV113" s="202">
        <v>0.71008005419999998</v>
      </c>
      <c r="AW113" s="202">
        <v>124.3232165851</v>
      </c>
      <c r="AX113" s="65" t="s">
        <v>98</v>
      </c>
      <c r="AY113" s="65" t="s">
        <v>94</v>
      </c>
      <c r="AZ113" s="65" t="s">
        <v>94</v>
      </c>
      <c r="BA113" s="73" t="s">
        <v>77</v>
      </c>
      <c r="BB113" s="65" t="s">
        <v>98</v>
      </c>
      <c r="BC113" s="65">
        <v>31</v>
      </c>
      <c r="BD113" s="65" t="s">
        <v>98</v>
      </c>
      <c r="BE113" s="211" t="str">
        <f t="shared" si="40"/>
        <v>574, POYOWA BESAR,</v>
      </c>
    </row>
    <row r="114" spans="1:57" s="211" customFormat="1" ht="15.75" customHeight="1">
      <c r="A114" s="224"/>
      <c r="B114" s="225"/>
      <c r="C114" s="225"/>
      <c r="D114" s="225"/>
      <c r="E114" s="225"/>
      <c r="F114" s="225"/>
      <c r="G114" s="226"/>
      <c r="H114" s="23">
        <v>6</v>
      </c>
      <c r="I114" s="64" t="str">
        <f t="shared" si="50"/>
        <v>MR.KPBS.P062</v>
      </c>
      <c r="J114" s="64">
        <f t="shared" si="50"/>
        <v>0.71005906510000005</v>
      </c>
      <c r="K114" s="64">
        <f t="shared" si="50"/>
        <v>124.3233560542</v>
      </c>
      <c r="L114" s="64" t="str">
        <f t="shared" si="50"/>
        <v>JL. RAYA POYOWA BESAR</v>
      </c>
      <c r="M114" s="64" t="str">
        <f t="shared" si="50"/>
        <v>SULAWESI UTARA</v>
      </c>
      <c r="N114" s="65" t="s">
        <v>105</v>
      </c>
      <c r="O114" s="66" t="s">
        <v>118</v>
      </c>
      <c r="P114" s="65" t="s">
        <v>119</v>
      </c>
      <c r="Q114" s="66">
        <v>95717</v>
      </c>
      <c r="R114" s="67"/>
      <c r="S114" s="68"/>
      <c r="T114" s="74"/>
      <c r="U114" s="74"/>
      <c r="V114" s="74"/>
      <c r="W114" s="65" t="s">
        <v>105</v>
      </c>
      <c r="X114" s="64"/>
      <c r="Y114" s="64" t="s">
        <v>106</v>
      </c>
      <c r="Z114" s="64" t="str">
        <f t="shared" si="36"/>
        <v>KELURAHAN POYOWA BESAR SATU KOTAMOBAGU</v>
      </c>
      <c r="AA114" s="65"/>
      <c r="AB114" s="65"/>
      <c r="AC114" s="65" t="s">
        <v>70</v>
      </c>
      <c r="AD114" s="64" t="str">
        <f t="shared" si="51"/>
        <v>POYOWA BESAR</v>
      </c>
      <c r="AE114" s="75"/>
      <c r="AF114" s="75"/>
      <c r="AG114" s="75"/>
      <c r="AH114" s="75"/>
      <c r="AI114" s="69"/>
      <c r="AJ114" s="11" t="s">
        <v>719</v>
      </c>
      <c r="AK114" s="65" t="s">
        <v>96</v>
      </c>
      <c r="AL114" s="65"/>
      <c r="AM114" s="176"/>
      <c r="AN114" s="176"/>
      <c r="AO114" s="176"/>
      <c r="AP114" s="176"/>
      <c r="AQ114" s="186" t="s">
        <v>97</v>
      </c>
      <c r="AR114" s="70" t="str">
        <f t="shared" si="34"/>
        <v>KTG.100.0101</v>
      </c>
      <c r="AS114" s="71" t="str">
        <f t="shared" si="33"/>
        <v>KPBS-2.020</v>
      </c>
      <c r="AT114" s="71" t="str">
        <f t="shared" si="33"/>
        <v>A08</v>
      </c>
      <c r="AU114" s="72"/>
      <c r="AV114" s="202">
        <v>0.7100306086</v>
      </c>
      <c r="AW114" s="202">
        <v>124.32345110209999</v>
      </c>
      <c r="AX114" s="65" t="s">
        <v>98</v>
      </c>
      <c r="AY114" s="65" t="s">
        <v>94</v>
      </c>
      <c r="AZ114" s="65" t="s">
        <v>94</v>
      </c>
      <c r="BA114" s="73" t="s">
        <v>77</v>
      </c>
      <c r="BB114" s="65" t="s">
        <v>98</v>
      </c>
      <c r="BC114" s="65">
        <v>31</v>
      </c>
      <c r="BD114" s="65" t="s">
        <v>98</v>
      </c>
      <c r="BE114" s="211" t="str">
        <f t="shared" si="40"/>
        <v>98, POYOWA BESAR,</v>
      </c>
    </row>
    <row r="115" spans="1:57" s="211" customFormat="1" ht="15.75" customHeight="1">
      <c r="A115" s="224"/>
      <c r="B115" s="225"/>
      <c r="C115" s="225"/>
      <c r="D115" s="225"/>
      <c r="E115" s="225"/>
      <c r="F115" s="225"/>
      <c r="G115" s="226"/>
      <c r="H115" s="23">
        <v>7</v>
      </c>
      <c r="I115" s="64" t="str">
        <f t="shared" si="50"/>
        <v>MR.KPBS.P062</v>
      </c>
      <c r="J115" s="64">
        <f t="shared" si="50"/>
        <v>0.71005906510000005</v>
      </c>
      <c r="K115" s="64">
        <f t="shared" si="50"/>
        <v>124.3233560542</v>
      </c>
      <c r="L115" s="64" t="str">
        <f t="shared" si="50"/>
        <v>JL. RAYA POYOWA BESAR</v>
      </c>
      <c r="M115" s="64" t="str">
        <f t="shared" si="50"/>
        <v>SULAWESI UTARA</v>
      </c>
      <c r="N115" s="65" t="s">
        <v>105</v>
      </c>
      <c r="O115" s="66" t="s">
        <v>118</v>
      </c>
      <c r="P115" s="65" t="s">
        <v>119</v>
      </c>
      <c r="Q115" s="66">
        <v>95717</v>
      </c>
      <c r="R115" s="67"/>
      <c r="S115" s="68"/>
      <c r="T115" s="68"/>
      <c r="U115" s="68"/>
      <c r="V115" s="68"/>
      <c r="W115" s="65" t="s">
        <v>105</v>
      </c>
      <c r="X115" s="64"/>
      <c r="Y115" s="64" t="s">
        <v>106</v>
      </c>
      <c r="Z115" s="64" t="str">
        <f t="shared" si="36"/>
        <v>KELURAHAN POYOWA BESAR SATU KOTAMOBAGU</v>
      </c>
      <c r="AA115" s="65"/>
      <c r="AB115" s="65"/>
      <c r="AC115" s="65" t="s">
        <v>70</v>
      </c>
      <c r="AD115" s="64" t="str">
        <f t="shared" si="51"/>
        <v>POYOWA BESAR</v>
      </c>
      <c r="AE115" s="67"/>
      <c r="AF115" s="67"/>
      <c r="AG115" s="67"/>
      <c r="AH115" s="67"/>
      <c r="AI115" s="69"/>
      <c r="AJ115" s="11" t="s">
        <v>720</v>
      </c>
      <c r="AK115" s="65" t="s">
        <v>96</v>
      </c>
      <c r="AL115" s="65"/>
      <c r="AM115" s="65"/>
      <c r="AN115" s="65"/>
      <c r="AO115" s="65"/>
      <c r="AP115" s="65"/>
      <c r="AQ115" s="177" t="s">
        <v>97</v>
      </c>
      <c r="AR115" s="70" t="str">
        <f t="shared" si="34"/>
        <v>KTG.100.0101</v>
      </c>
      <c r="AS115" s="71" t="str">
        <f t="shared" si="33"/>
        <v>KPBS-2.020</v>
      </c>
      <c r="AT115" s="71" t="str">
        <f t="shared" si="33"/>
        <v>A08</v>
      </c>
      <c r="AU115" s="72"/>
      <c r="AV115" s="202">
        <v>0.71000561129999895</v>
      </c>
      <c r="AW115" s="202">
        <v>124.323255152</v>
      </c>
      <c r="AX115" s="65" t="s">
        <v>98</v>
      </c>
      <c r="AY115" s="65" t="s">
        <v>94</v>
      </c>
      <c r="AZ115" s="65" t="s">
        <v>94</v>
      </c>
      <c r="BA115" s="73" t="s">
        <v>77</v>
      </c>
      <c r="BB115" s="65" t="s">
        <v>98</v>
      </c>
      <c r="BC115" s="65">
        <v>31</v>
      </c>
      <c r="BD115" s="65" t="s">
        <v>98</v>
      </c>
      <c r="BE115" s="211" t="str">
        <f t="shared" si="40"/>
        <v>575, POYOWA BESAR,</v>
      </c>
    </row>
    <row r="116" spans="1:57" s="211" customFormat="1" ht="15.75" customHeight="1">
      <c r="A116" s="224"/>
      <c r="B116" s="225"/>
      <c r="C116" s="225"/>
      <c r="D116" s="225"/>
      <c r="E116" s="225"/>
      <c r="F116" s="225"/>
      <c r="G116" s="226"/>
      <c r="H116" s="23">
        <v>8</v>
      </c>
      <c r="I116" s="64" t="str">
        <f t="shared" si="50"/>
        <v>MR.KPBS.P062</v>
      </c>
      <c r="J116" s="64">
        <f t="shared" si="50"/>
        <v>0.71005906510000005</v>
      </c>
      <c r="K116" s="64">
        <f t="shared" si="50"/>
        <v>124.3233560542</v>
      </c>
      <c r="L116" s="64" t="str">
        <f t="shared" si="50"/>
        <v>JL. RAYA POYOWA BESAR</v>
      </c>
      <c r="M116" s="64" t="str">
        <f t="shared" si="50"/>
        <v>SULAWESI UTARA</v>
      </c>
      <c r="N116" s="65" t="s">
        <v>105</v>
      </c>
      <c r="O116" s="66" t="s">
        <v>118</v>
      </c>
      <c r="P116" s="65" t="s">
        <v>119</v>
      </c>
      <c r="Q116" s="66">
        <v>95717</v>
      </c>
      <c r="R116" s="67"/>
      <c r="S116" s="68"/>
      <c r="T116" s="68"/>
      <c r="U116" s="68"/>
      <c r="V116" s="68"/>
      <c r="W116" s="64" t="s">
        <v>105</v>
      </c>
      <c r="X116" s="64"/>
      <c r="Y116" s="64" t="s">
        <v>106</v>
      </c>
      <c r="Z116" s="64" t="str">
        <f t="shared" si="36"/>
        <v>KELURAHAN POYOWA BESAR SATU KOTAMOBAGU</v>
      </c>
      <c r="AA116" s="65"/>
      <c r="AB116" s="65"/>
      <c r="AC116" s="65" t="s">
        <v>70</v>
      </c>
      <c r="AD116" s="64" t="str">
        <f t="shared" si="51"/>
        <v>POYOWA BESAR</v>
      </c>
      <c r="AE116" s="67"/>
      <c r="AF116" s="67"/>
      <c r="AG116" s="67"/>
      <c r="AH116" s="67"/>
      <c r="AI116" s="69"/>
      <c r="AJ116" s="11" t="s">
        <v>721</v>
      </c>
      <c r="AK116" s="65" t="s">
        <v>96</v>
      </c>
      <c r="AL116" s="65"/>
      <c r="AM116" s="65"/>
      <c r="AN116" s="65"/>
      <c r="AO116" s="65"/>
      <c r="AP116" s="65"/>
      <c r="AQ116" s="177" t="s">
        <v>97</v>
      </c>
      <c r="AR116" s="70" t="str">
        <f t="shared" si="34"/>
        <v>KTG.100.0101</v>
      </c>
      <c r="AS116" s="71" t="str">
        <f t="shared" si="33"/>
        <v>KPBS-2.020</v>
      </c>
      <c r="AT116" s="71" t="str">
        <f t="shared" si="33"/>
        <v>A08</v>
      </c>
      <c r="AU116" s="72"/>
      <c r="AV116" s="202">
        <v>0.7099299523</v>
      </c>
      <c r="AW116" s="202">
        <v>124.323246252</v>
      </c>
      <c r="AX116" s="65" t="s">
        <v>98</v>
      </c>
      <c r="AY116" s="65" t="s">
        <v>94</v>
      </c>
      <c r="AZ116" s="65" t="s">
        <v>94</v>
      </c>
      <c r="BA116" s="73" t="s">
        <v>77</v>
      </c>
      <c r="BB116" s="65" t="s">
        <v>98</v>
      </c>
      <c r="BC116" s="65">
        <v>31</v>
      </c>
      <c r="BD116" s="65" t="s">
        <v>98</v>
      </c>
      <c r="BE116" s="211" t="str">
        <f t="shared" si="40"/>
        <v>576, POYOWA BESAR,</v>
      </c>
    </row>
    <row r="117" spans="1:57" s="211" customFormat="1" ht="15.75" customHeight="1">
      <c r="A117" s="224"/>
      <c r="B117" s="225"/>
      <c r="C117" s="225"/>
      <c r="D117" s="225"/>
      <c r="E117" s="225"/>
      <c r="F117" s="225"/>
      <c r="G117" s="226"/>
      <c r="H117" s="23">
        <v>9</v>
      </c>
      <c r="I117" s="64" t="str">
        <f t="shared" si="50"/>
        <v>MR.KPBS.P062</v>
      </c>
      <c r="J117" s="64">
        <f t="shared" si="50"/>
        <v>0.71005906510000005</v>
      </c>
      <c r="K117" s="64">
        <f t="shared" si="50"/>
        <v>124.3233560542</v>
      </c>
      <c r="L117" s="64" t="str">
        <f t="shared" si="50"/>
        <v>JL. RAYA POYOWA BESAR</v>
      </c>
      <c r="M117" s="64" t="str">
        <f t="shared" si="50"/>
        <v>SULAWESI UTARA</v>
      </c>
      <c r="N117" s="65" t="s">
        <v>105</v>
      </c>
      <c r="O117" s="66" t="s">
        <v>118</v>
      </c>
      <c r="P117" s="65" t="s">
        <v>119</v>
      </c>
      <c r="Q117" s="66">
        <v>95717</v>
      </c>
      <c r="R117" s="67"/>
      <c r="S117" s="68"/>
      <c r="T117" s="68"/>
      <c r="U117" s="68"/>
      <c r="V117" s="68"/>
      <c r="W117" s="64" t="s">
        <v>105</v>
      </c>
      <c r="X117" s="64"/>
      <c r="Y117" s="64" t="s">
        <v>106</v>
      </c>
      <c r="Z117" s="64" t="str">
        <f t="shared" si="36"/>
        <v>KELURAHAN POYOWA BESAR SATU KOTAMOBAGU</v>
      </c>
      <c r="AA117" s="65"/>
      <c r="AB117" s="65"/>
      <c r="AC117" s="65" t="s">
        <v>70</v>
      </c>
      <c r="AD117" s="64" t="str">
        <f t="shared" si="51"/>
        <v>POYOWA BESAR</v>
      </c>
      <c r="AE117" s="67"/>
      <c r="AF117" s="67"/>
      <c r="AG117" s="67"/>
      <c r="AH117" s="67"/>
      <c r="AI117" s="69"/>
      <c r="AJ117" s="11" t="s">
        <v>722</v>
      </c>
      <c r="AK117" s="65" t="s">
        <v>96</v>
      </c>
      <c r="AL117" s="65"/>
      <c r="AM117" s="65"/>
      <c r="AN117" s="65"/>
      <c r="AO117" s="65"/>
      <c r="AP117" s="65"/>
      <c r="AQ117" s="177" t="s">
        <v>97</v>
      </c>
      <c r="AR117" s="70" t="str">
        <f t="shared" si="34"/>
        <v>KTG.100.0101</v>
      </c>
      <c r="AS117" s="71" t="str">
        <f t="shared" si="33"/>
        <v>KPBS-2.020</v>
      </c>
      <c r="AT117" s="71" t="str">
        <f t="shared" si="33"/>
        <v>A08</v>
      </c>
      <c r="AU117" s="72"/>
      <c r="AV117" s="202">
        <v>0.70985166550000001</v>
      </c>
      <c r="AW117" s="202">
        <v>124.3235007808</v>
      </c>
      <c r="AX117" s="65" t="s">
        <v>98</v>
      </c>
      <c r="AY117" s="65" t="s">
        <v>94</v>
      </c>
      <c r="AZ117" s="65" t="s">
        <v>94</v>
      </c>
      <c r="BA117" s="73" t="s">
        <v>77</v>
      </c>
      <c r="BB117" s="65" t="s">
        <v>98</v>
      </c>
      <c r="BC117" s="65">
        <v>31</v>
      </c>
      <c r="BD117" s="65" t="s">
        <v>98</v>
      </c>
      <c r="BE117" s="211" t="str">
        <f t="shared" si="40"/>
        <v>100, POYOWA BESAR,</v>
      </c>
    </row>
    <row r="118" spans="1:57" s="211" customFormat="1" ht="15.75" customHeight="1">
      <c r="A118" s="224"/>
      <c r="B118" s="225"/>
      <c r="C118" s="225"/>
      <c r="D118" s="225"/>
      <c r="E118" s="225"/>
      <c r="F118" s="225"/>
      <c r="G118" s="226"/>
      <c r="H118" s="23">
        <v>10</v>
      </c>
      <c r="I118" s="64" t="str">
        <f t="shared" si="50"/>
        <v>MR.KPBS.P062</v>
      </c>
      <c r="J118" s="64">
        <f t="shared" si="50"/>
        <v>0.71005906510000005</v>
      </c>
      <c r="K118" s="64">
        <f t="shared" si="50"/>
        <v>124.3233560542</v>
      </c>
      <c r="L118" s="64" t="str">
        <f t="shared" si="50"/>
        <v>JL. RAYA POYOWA BESAR</v>
      </c>
      <c r="M118" s="64" t="str">
        <f t="shared" si="50"/>
        <v>SULAWESI UTARA</v>
      </c>
      <c r="N118" s="65" t="s">
        <v>105</v>
      </c>
      <c r="O118" s="66" t="s">
        <v>118</v>
      </c>
      <c r="P118" s="65" t="s">
        <v>119</v>
      </c>
      <c r="Q118" s="66">
        <v>95717</v>
      </c>
      <c r="R118" s="67"/>
      <c r="S118" s="68"/>
      <c r="T118" s="68"/>
      <c r="U118" s="68"/>
      <c r="V118" s="68"/>
      <c r="W118" s="64" t="s">
        <v>105</v>
      </c>
      <c r="X118" s="64"/>
      <c r="Y118" s="64" t="s">
        <v>106</v>
      </c>
      <c r="Z118" s="64" t="str">
        <f t="shared" si="36"/>
        <v>KELURAHAN POYOWA BESAR SATU KOTAMOBAGU</v>
      </c>
      <c r="AA118" s="65"/>
      <c r="AB118" s="65"/>
      <c r="AC118" s="65" t="s">
        <v>70</v>
      </c>
      <c r="AD118" s="64" t="str">
        <f t="shared" si="51"/>
        <v>POYOWA BESAR</v>
      </c>
      <c r="AE118" s="67"/>
      <c r="AF118" s="67"/>
      <c r="AG118" s="67"/>
      <c r="AH118" s="67"/>
      <c r="AI118" s="69"/>
      <c r="AJ118" s="11" t="s">
        <v>723</v>
      </c>
      <c r="AK118" s="65" t="s">
        <v>96</v>
      </c>
      <c r="AL118" s="65"/>
      <c r="AM118" s="65"/>
      <c r="AN118" s="65"/>
      <c r="AO118" s="65"/>
      <c r="AP118" s="65"/>
      <c r="AQ118" s="177" t="s">
        <v>97</v>
      </c>
      <c r="AR118" s="70" t="str">
        <f t="shared" si="34"/>
        <v>KTG.100.0101</v>
      </c>
      <c r="AS118" s="71" t="str">
        <f t="shared" si="33"/>
        <v>KPBS-2.020</v>
      </c>
      <c r="AT118" s="71" t="str">
        <f t="shared" si="33"/>
        <v>A08</v>
      </c>
      <c r="AU118" s="72"/>
      <c r="AV118" s="202">
        <v>0.70985547260000004</v>
      </c>
      <c r="AW118" s="202">
        <v>124.3232714688</v>
      </c>
      <c r="AX118" s="65" t="s">
        <v>98</v>
      </c>
      <c r="AY118" s="65" t="s">
        <v>94</v>
      </c>
      <c r="AZ118" s="65" t="s">
        <v>94</v>
      </c>
      <c r="BA118" s="73" t="s">
        <v>77</v>
      </c>
      <c r="BB118" s="65" t="s">
        <v>98</v>
      </c>
      <c r="BC118" s="65">
        <v>31</v>
      </c>
      <c r="BD118" s="65" t="s">
        <v>98</v>
      </c>
      <c r="BE118" s="211" t="str">
        <f t="shared" si="40"/>
        <v>577, POYOWA BESAR,</v>
      </c>
    </row>
    <row r="119" spans="1:57" s="211" customFormat="1" ht="15.75" customHeight="1">
      <c r="A119" s="224"/>
      <c r="B119" s="225"/>
      <c r="C119" s="225"/>
      <c r="D119" s="225"/>
      <c r="E119" s="225"/>
      <c r="F119" s="225"/>
      <c r="G119" s="226"/>
      <c r="H119" s="23">
        <v>11</v>
      </c>
      <c r="I119" s="64" t="str">
        <f t="shared" ref="I119:L119" si="52">I116</f>
        <v>MR.KPBS.P062</v>
      </c>
      <c r="J119" s="64">
        <f t="shared" si="52"/>
        <v>0.71005906510000005</v>
      </c>
      <c r="K119" s="64">
        <f t="shared" si="52"/>
        <v>124.3233560542</v>
      </c>
      <c r="L119" s="64" t="str">
        <f t="shared" si="52"/>
        <v>JL. RAYA POYOWA BESAR</v>
      </c>
      <c r="M119" s="64" t="str">
        <f t="shared" si="50"/>
        <v>SULAWESI UTARA</v>
      </c>
      <c r="N119" s="65" t="s">
        <v>105</v>
      </c>
      <c r="O119" s="66" t="s">
        <v>118</v>
      </c>
      <c r="P119" s="65" t="s">
        <v>119</v>
      </c>
      <c r="Q119" s="66">
        <v>95717</v>
      </c>
      <c r="R119" s="67"/>
      <c r="S119" s="68"/>
      <c r="T119" s="68"/>
      <c r="U119" s="68"/>
      <c r="V119" s="68"/>
      <c r="W119" s="64" t="s">
        <v>105</v>
      </c>
      <c r="X119" s="64"/>
      <c r="Y119" s="64" t="s">
        <v>106</v>
      </c>
      <c r="Z119" s="64" t="str">
        <f t="shared" si="36"/>
        <v>KELURAHAN POYOWA BESAR SATU KOTAMOBAGU</v>
      </c>
      <c r="AA119" s="65"/>
      <c r="AB119" s="65"/>
      <c r="AC119" s="65" t="s">
        <v>70</v>
      </c>
      <c r="AD119" s="64" t="str">
        <f t="shared" ref="AD119" si="53">AD116</f>
        <v>POYOWA BESAR</v>
      </c>
      <c r="AE119" s="67"/>
      <c r="AF119" s="67"/>
      <c r="AG119" s="67"/>
      <c r="AH119" s="67"/>
      <c r="AI119" s="69"/>
      <c r="AJ119" s="11" t="s">
        <v>724</v>
      </c>
      <c r="AK119" s="65" t="s">
        <v>96</v>
      </c>
      <c r="AL119" s="65"/>
      <c r="AM119" s="65"/>
      <c r="AN119" s="65"/>
      <c r="AO119" s="65"/>
      <c r="AP119" s="65"/>
      <c r="AQ119" s="177" t="s">
        <v>97</v>
      </c>
      <c r="AR119" s="70" t="str">
        <f t="shared" si="34"/>
        <v>KTG.100.0101</v>
      </c>
      <c r="AS119" s="71" t="str">
        <f t="shared" si="33"/>
        <v>KPBS-2.020</v>
      </c>
      <c r="AT119" s="71" t="str">
        <f t="shared" si="33"/>
        <v>A08</v>
      </c>
      <c r="AU119" s="72"/>
      <c r="AV119" s="202">
        <v>0.7097284801</v>
      </c>
      <c r="AW119" s="202">
        <v>124.3235253651</v>
      </c>
      <c r="AX119" s="65" t="s">
        <v>98</v>
      </c>
      <c r="AY119" s="65" t="s">
        <v>94</v>
      </c>
      <c r="AZ119" s="65" t="s">
        <v>94</v>
      </c>
      <c r="BA119" s="73" t="s">
        <v>77</v>
      </c>
      <c r="BB119" s="65" t="s">
        <v>98</v>
      </c>
      <c r="BC119" s="65">
        <v>31</v>
      </c>
      <c r="BD119" s="65" t="s">
        <v>98</v>
      </c>
      <c r="BE119" s="211" t="str">
        <f t="shared" si="40"/>
        <v>101, POYOWA BESAR,</v>
      </c>
    </row>
    <row r="120" spans="1:57" s="211" customFormat="1" ht="15.75" customHeight="1">
      <c r="A120" s="224"/>
      <c r="B120" s="225"/>
      <c r="C120" s="225"/>
      <c r="D120" s="225"/>
      <c r="E120" s="225"/>
      <c r="F120" s="225"/>
      <c r="G120" s="226"/>
      <c r="H120" s="23">
        <v>12</v>
      </c>
      <c r="I120" s="64" t="str">
        <f t="shared" ref="I120:L124" si="54">I119</f>
        <v>MR.KPBS.P062</v>
      </c>
      <c r="J120" s="64">
        <f t="shared" si="54"/>
        <v>0.71005906510000005</v>
      </c>
      <c r="K120" s="64">
        <f t="shared" si="54"/>
        <v>124.3233560542</v>
      </c>
      <c r="L120" s="64" t="str">
        <f t="shared" si="54"/>
        <v>JL. RAYA POYOWA BESAR</v>
      </c>
      <c r="M120" s="64" t="str">
        <f t="shared" si="50"/>
        <v>SULAWESI UTARA</v>
      </c>
      <c r="N120" s="65" t="s">
        <v>105</v>
      </c>
      <c r="O120" s="66" t="s">
        <v>118</v>
      </c>
      <c r="P120" s="65" t="s">
        <v>119</v>
      </c>
      <c r="Q120" s="66">
        <v>95717</v>
      </c>
      <c r="R120" s="67"/>
      <c r="S120" s="68"/>
      <c r="T120" s="68"/>
      <c r="U120" s="68"/>
      <c r="V120" s="68"/>
      <c r="W120" s="64" t="s">
        <v>105</v>
      </c>
      <c r="X120" s="64"/>
      <c r="Y120" s="64" t="s">
        <v>106</v>
      </c>
      <c r="Z120" s="64" t="str">
        <f t="shared" si="36"/>
        <v>KELURAHAN POYOWA BESAR SATU KOTAMOBAGU</v>
      </c>
      <c r="AA120" s="65"/>
      <c r="AB120" s="65"/>
      <c r="AC120" s="65" t="s">
        <v>70</v>
      </c>
      <c r="AD120" s="64" t="str">
        <f t="shared" ref="AD120:AD124" si="55">AD119</f>
        <v>POYOWA BESAR</v>
      </c>
      <c r="AE120" s="67"/>
      <c r="AF120" s="67"/>
      <c r="AG120" s="67"/>
      <c r="AH120" s="67"/>
      <c r="AI120" s="69"/>
      <c r="AJ120" s="11" t="s">
        <v>725</v>
      </c>
      <c r="AK120" s="65" t="s">
        <v>96</v>
      </c>
      <c r="AL120" s="65"/>
      <c r="AM120" s="65"/>
      <c r="AN120" s="65"/>
      <c r="AO120" s="65"/>
      <c r="AP120" s="65"/>
      <c r="AQ120" s="177" t="s">
        <v>97</v>
      </c>
      <c r="AR120" s="70" t="str">
        <f t="shared" si="34"/>
        <v>KTG.100.0101</v>
      </c>
      <c r="AS120" s="71" t="str">
        <f t="shared" si="33"/>
        <v>KPBS-2.020</v>
      </c>
      <c r="AT120" s="71" t="str">
        <f t="shared" si="33"/>
        <v>A08</v>
      </c>
      <c r="AU120" s="72"/>
      <c r="AV120" s="202">
        <v>0.70975454280000005</v>
      </c>
      <c r="AW120" s="202">
        <v>124.3232803688</v>
      </c>
      <c r="AX120" s="65" t="s">
        <v>98</v>
      </c>
      <c r="AY120" s="65" t="s">
        <v>94</v>
      </c>
      <c r="AZ120" s="65" t="s">
        <v>94</v>
      </c>
      <c r="BA120" s="73" t="s">
        <v>77</v>
      </c>
      <c r="BB120" s="65" t="s">
        <v>98</v>
      </c>
      <c r="BC120" s="65">
        <v>31</v>
      </c>
      <c r="BD120" s="65" t="s">
        <v>98</v>
      </c>
      <c r="BE120" s="211" t="str">
        <f t="shared" si="40"/>
        <v>578, POYOWA BESAR,</v>
      </c>
    </row>
    <row r="121" spans="1:57" s="211" customFormat="1" ht="15.75" customHeight="1">
      <c r="A121" s="224"/>
      <c r="B121" s="225"/>
      <c r="C121" s="225"/>
      <c r="D121" s="225"/>
      <c r="E121" s="225"/>
      <c r="F121" s="225"/>
      <c r="G121" s="226"/>
      <c r="H121" s="23">
        <v>13</v>
      </c>
      <c r="I121" s="64" t="str">
        <f t="shared" si="54"/>
        <v>MR.KPBS.P062</v>
      </c>
      <c r="J121" s="64">
        <f t="shared" si="54"/>
        <v>0.71005906510000005</v>
      </c>
      <c r="K121" s="64">
        <f t="shared" si="54"/>
        <v>124.3233560542</v>
      </c>
      <c r="L121" s="64" t="str">
        <f t="shared" si="54"/>
        <v>JL. RAYA POYOWA BESAR</v>
      </c>
      <c r="M121" s="64" t="str">
        <f t="shared" si="50"/>
        <v>SULAWESI UTARA</v>
      </c>
      <c r="N121" s="65" t="s">
        <v>105</v>
      </c>
      <c r="O121" s="66" t="s">
        <v>118</v>
      </c>
      <c r="P121" s="65" t="s">
        <v>119</v>
      </c>
      <c r="Q121" s="66">
        <v>95717</v>
      </c>
      <c r="R121" s="66"/>
      <c r="S121" s="66"/>
      <c r="T121" s="66"/>
      <c r="U121" s="66"/>
      <c r="V121" s="66"/>
      <c r="W121" s="64" t="s">
        <v>105</v>
      </c>
      <c r="X121" s="64"/>
      <c r="Y121" s="64" t="s">
        <v>106</v>
      </c>
      <c r="Z121" s="64" t="str">
        <f t="shared" si="36"/>
        <v>KELURAHAN POYOWA BESAR SATU KOTAMOBAGU</v>
      </c>
      <c r="AA121" s="65"/>
      <c r="AB121" s="65"/>
      <c r="AC121" s="65" t="s">
        <v>70</v>
      </c>
      <c r="AD121" s="64" t="str">
        <f t="shared" si="55"/>
        <v>POYOWA BESAR</v>
      </c>
      <c r="AE121" s="66"/>
      <c r="AF121" s="66"/>
      <c r="AG121" s="66"/>
      <c r="AH121" s="66"/>
      <c r="AI121" s="69"/>
      <c r="AJ121" s="11" t="s">
        <v>726</v>
      </c>
      <c r="AK121" s="178" t="s">
        <v>96</v>
      </c>
      <c r="AL121" s="178"/>
      <c r="AM121" s="178"/>
      <c r="AN121" s="178"/>
      <c r="AO121" s="178"/>
      <c r="AP121" s="178"/>
      <c r="AQ121" s="179" t="s">
        <v>97</v>
      </c>
      <c r="AR121" s="70" t="str">
        <f t="shared" si="34"/>
        <v>KTG.100.0101</v>
      </c>
      <c r="AS121" s="71" t="str">
        <f t="shared" si="33"/>
        <v>KPBS-2.020</v>
      </c>
      <c r="AT121" s="71" t="str">
        <f t="shared" si="33"/>
        <v>A08</v>
      </c>
      <c r="AU121" s="72"/>
      <c r="AV121" s="202">
        <v>0.70965168040000004</v>
      </c>
      <c r="AW121" s="202">
        <v>124.3232625771</v>
      </c>
      <c r="AX121" s="65" t="s">
        <v>98</v>
      </c>
      <c r="AY121" s="65" t="s">
        <v>94</v>
      </c>
      <c r="AZ121" s="65" t="s">
        <v>94</v>
      </c>
      <c r="BA121" s="73" t="s">
        <v>77</v>
      </c>
      <c r="BB121" s="65" t="s">
        <v>98</v>
      </c>
      <c r="BC121" s="65">
        <v>31</v>
      </c>
      <c r="BD121" s="65" t="s">
        <v>98</v>
      </c>
      <c r="BE121" s="211" t="str">
        <f t="shared" si="40"/>
        <v>579, POYOWA BESAR,</v>
      </c>
    </row>
    <row r="122" spans="1:57" s="211" customFormat="1" ht="15.75" customHeight="1">
      <c r="A122" s="224"/>
      <c r="B122" s="225"/>
      <c r="C122" s="225"/>
      <c r="D122" s="225"/>
      <c r="E122" s="225"/>
      <c r="F122" s="225"/>
      <c r="G122" s="226"/>
      <c r="H122" s="23">
        <v>14</v>
      </c>
      <c r="I122" s="64" t="str">
        <f t="shared" si="54"/>
        <v>MR.KPBS.P062</v>
      </c>
      <c r="J122" s="64">
        <f t="shared" si="54"/>
        <v>0.71005906510000005</v>
      </c>
      <c r="K122" s="64">
        <f t="shared" si="54"/>
        <v>124.3233560542</v>
      </c>
      <c r="L122" s="64" t="str">
        <f t="shared" si="54"/>
        <v>JL. RAYA POYOWA BESAR</v>
      </c>
      <c r="M122" s="64" t="str">
        <f t="shared" si="50"/>
        <v>SULAWESI UTARA</v>
      </c>
      <c r="N122" s="65" t="s">
        <v>105</v>
      </c>
      <c r="O122" s="66" t="s">
        <v>118</v>
      </c>
      <c r="P122" s="65" t="s">
        <v>119</v>
      </c>
      <c r="Q122" s="66">
        <v>95717</v>
      </c>
      <c r="R122" s="67"/>
      <c r="S122" s="68"/>
      <c r="T122" s="68"/>
      <c r="U122" s="68"/>
      <c r="V122" s="68"/>
      <c r="W122" s="64" t="s">
        <v>105</v>
      </c>
      <c r="X122" s="64"/>
      <c r="Y122" s="64" t="s">
        <v>106</v>
      </c>
      <c r="Z122" s="64" t="str">
        <f t="shared" si="36"/>
        <v>KELURAHAN POYOWA BESAR SATU KOTAMOBAGU</v>
      </c>
      <c r="AA122" s="65"/>
      <c r="AB122" s="65"/>
      <c r="AC122" s="65" t="s">
        <v>70</v>
      </c>
      <c r="AD122" s="64" t="str">
        <f t="shared" si="55"/>
        <v>POYOWA BESAR</v>
      </c>
      <c r="AE122" s="67"/>
      <c r="AF122" s="67"/>
      <c r="AG122" s="67"/>
      <c r="AH122" s="67"/>
      <c r="AI122" s="69"/>
      <c r="AJ122" s="11" t="s">
        <v>727</v>
      </c>
      <c r="AK122" s="178" t="s">
        <v>96</v>
      </c>
      <c r="AL122" s="178"/>
      <c r="AM122" s="178"/>
      <c r="AN122" s="178"/>
      <c r="AO122" s="178"/>
      <c r="AP122" s="178"/>
      <c r="AQ122" s="179" t="s">
        <v>97</v>
      </c>
      <c r="AR122" s="70" t="str">
        <f t="shared" si="34"/>
        <v>KTG.100.0101</v>
      </c>
      <c r="AS122" s="71" t="str">
        <f t="shared" si="33"/>
        <v>KPBS-2.020</v>
      </c>
      <c r="AT122" s="71" t="str">
        <f t="shared" si="33"/>
        <v>A08</v>
      </c>
      <c r="AU122" s="72"/>
      <c r="AV122" s="202">
        <v>0.70957884090000001</v>
      </c>
      <c r="AW122" s="202">
        <v>124.32335157750001</v>
      </c>
      <c r="AX122" s="65" t="s">
        <v>98</v>
      </c>
      <c r="AY122" s="65" t="s">
        <v>94</v>
      </c>
      <c r="AZ122" s="65" t="s">
        <v>94</v>
      </c>
      <c r="BA122" s="73" t="s">
        <v>77</v>
      </c>
      <c r="BB122" s="65" t="s">
        <v>98</v>
      </c>
      <c r="BC122" s="65">
        <v>31</v>
      </c>
      <c r="BD122" s="65" t="s">
        <v>98</v>
      </c>
      <c r="BE122" s="211" t="str">
        <f t="shared" si="40"/>
        <v>580, POYOWA BESAR,</v>
      </c>
    </row>
    <row r="123" spans="1:57" s="211" customFormat="1" ht="15.75" customHeight="1">
      <c r="A123" s="224"/>
      <c r="B123" s="225"/>
      <c r="C123" s="225"/>
      <c r="D123" s="225"/>
      <c r="E123" s="225"/>
      <c r="F123" s="225"/>
      <c r="G123" s="226"/>
      <c r="H123" s="23">
        <v>15</v>
      </c>
      <c r="I123" s="64" t="str">
        <f t="shared" si="54"/>
        <v>MR.KPBS.P062</v>
      </c>
      <c r="J123" s="64">
        <f t="shared" si="54"/>
        <v>0.71005906510000005</v>
      </c>
      <c r="K123" s="64">
        <f t="shared" si="54"/>
        <v>124.3233560542</v>
      </c>
      <c r="L123" s="64" t="str">
        <f t="shared" si="54"/>
        <v>JL. RAYA POYOWA BESAR</v>
      </c>
      <c r="M123" s="64" t="str">
        <f t="shared" si="50"/>
        <v>SULAWESI UTARA</v>
      </c>
      <c r="N123" s="65" t="s">
        <v>105</v>
      </c>
      <c r="O123" s="66" t="s">
        <v>118</v>
      </c>
      <c r="P123" s="65" t="s">
        <v>119</v>
      </c>
      <c r="Q123" s="66">
        <v>95717</v>
      </c>
      <c r="R123" s="66"/>
      <c r="S123" s="66"/>
      <c r="T123" s="66"/>
      <c r="U123" s="66"/>
      <c r="V123" s="66"/>
      <c r="W123" s="64" t="s">
        <v>105</v>
      </c>
      <c r="X123" s="64"/>
      <c r="Y123" s="64" t="s">
        <v>106</v>
      </c>
      <c r="Z123" s="64" t="str">
        <f t="shared" si="36"/>
        <v>KELURAHAN POYOWA BESAR SATU KOTAMOBAGU</v>
      </c>
      <c r="AA123" s="65"/>
      <c r="AB123" s="65"/>
      <c r="AC123" s="65" t="s">
        <v>70</v>
      </c>
      <c r="AD123" s="64" t="str">
        <f t="shared" si="55"/>
        <v>POYOWA BESAR</v>
      </c>
      <c r="AE123" s="66"/>
      <c r="AF123" s="66"/>
      <c r="AG123" s="66"/>
      <c r="AH123" s="66"/>
      <c r="AI123" s="69"/>
      <c r="AJ123" s="11" t="s">
        <v>728</v>
      </c>
      <c r="AK123" s="178" t="s">
        <v>96</v>
      </c>
      <c r="AL123" s="178"/>
      <c r="AM123" s="178"/>
      <c r="AN123" s="178"/>
      <c r="AO123" s="178"/>
      <c r="AP123" s="178"/>
      <c r="AQ123" s="179" t="s">
        <v>97</v>
      </c>
      <c r="AR123" s="70" t="str">
        <f t="shared" si="34"/>
        <v>KTG.100.0101</v>
      </c>
      <c r="AS123" s="71" t="str">
        <f t="shared" si="33"/>
        <v>KPBS-2.020</v>
      </c>
      <c r="AT123" s="71" t="str">
        <f t="shared" si="33"/>
        <v>A08</v>
      </c>
      <c r="AU123" s="72"/>
      <c r="AV123" s="202">
        <v>0.70948816299999895</v>
      </c>
      <c r="AW123" s="202">
        <v>124.3233634442</v>
      </c>
      <c r="AX123" s="65" t="s">
        <v>98</v>
      </c>
      <c r="AY123" s="65" t="s">
        <v>94</v>
      </c>
      <c r="AZ123" s="65" t="s">
        <v>94</v>
      </c>
      <c r="BA123" s="73" t="s">
        <v>77</v>
      </c>
      <c r="BB123" s="65" t="s">
        <v>98</v>
      </c>
      <c r="BC123" s="65">
        <v>31</v>
      </c>
      <c r="BD123" s="65" t="s">
        <v>98</v>
      </c>
      <c r="BE123" s="211" t="str">
        <f t="shared" si="40"/>
        <v>581, POYOWA BESAR,</v>
      </c>
    </row>
    <row r="124" spans="1:57" s="211" customFormat="1" ht="15.75" customHeight="1">
      <c r="A124" s="224"/>
      <c r="B124" s="225"/>
      <c r="C124" s="225"/>
      <c r="D124" s="225"/>
      <c r="E124" s="225"/>
      <c r="F124" s="225"/>
      <c r="G124" s="226"/>
      <c r="H124" s="23">
        <v>16</v>
      </c>
      <c r="I124" s="64" t="str">
        <f t="shared" si="54"/>
        <v>MR.KPBS.P062</v>
      </c>
      <c r="J124" s="64">
        <f t="shared" si="54"/>
        <v>0.71005906510000005</v>
      </c>
      <c r="K124" s="64">
        <f t="shared" si="54"/>
        <v>124.3233560542</v>
      </c>
      <c r="L124" s="64" t="str">
        <f t="shared" si="54"/>
        <v>JL. RAYA POYOWA BESAR</v>
      </c>
      <c r="M124" s="64" t="str">
        <f t="shared" si="50"/>
        <v>SULAWESI UTARA</v>
      </c>
      <c r="N124" s="65" t="s">
        <v>105</v>
      </c>
      <c r="O124" s="66" t="s">
        <v>118</v>
      </c>
      <c r="P124" s="65" t="s">
        <v>119</v>
      </c>
      <c r="Q124" s="66">
        <v>95717</v>
      </c>
      <c r="R124" s="67"/>
      <c r="S124" s="68"/>
      <c r="T124" s="68"/>
      <c r="U124" s="68"/>
      <c r="V124" s="68"/>
      <c r="W124" s="64" t="s">
        <v>105</v>
      </c>
      <c r="X124" s="64"/>
      <c r="Y124" s="64" t="s">
        <v>106</v>
      </c>
      <c r="Z124" s="64" t="str">
        <f t="shared" si="36"/>
        <v>KELURAHAN POYOWA BESAR SATU KOTAMOBAGU</v>
      </c>
      <c r="AA124" s="65"/>
      <c r="AB124" s="65"/>
      <c r="AC124" s="65" t="s">
        <v>70</v>
      </c>
      <c r="AD124" s="64" t="str">
        <f t="shared" si="55"/>
        <v>POYOWA BESAR</v>
      </c>
      <c r="AE124" s="67"/>
      <c r="AF124" s="67"/>
      <c r="AG124" s="67"/>
      <c r="AH124" s="67"/>
      <c r="AI124" s="69"/>
      <c r="AJ124" s="11" t="s">
        <v>729</v>
      </c>
      <c r="AK124" s="178" t="s">
        <v>96</v>
      </c>
      <c r="AL124" s="178"/>
      <c r="AM124" s="178"/>
      <c r="AN124" s="178"/>
      <c r="AO124" s="178"/>
      <c r="AP124" s="178"/>
      <c r="AQ124" s="179" t="s">
        <v>97</v>
      </c>
      <c r="AR124" s="70" t="str">
        <f t="shared" si="34"/>
        <v>KTG.100.0101</v>
      </c>
      <c r="AS124" s="71" t="str">
        <f t="shared" si="33"/>
        <v>KPBS-2.020</v>
      </c>
      <c r="AT124" s="71" t="str">
        <f t="shared" si="33"/>
        <v>A08</v>
      </c>
      <c r="AU124" s="72"/>
      <c r="AV124" s="202">
        <v>0.70943316169999904</v>
      </c>
      <c r="AW124" s="202">
        <v>124.3233812444</v>
      </c>
      <c r="AX124" s="65" t="s">
        <v>98</v>
      </c>
      <c r="AY124" s="65" t="s">
        <v>94</v>
      </c>
      <c r="AZ124" s="65" t="s">
        <v>94</v>
      </c>
      <c r="BA124" s="73" t="s">
        <v>77</v>
      </c>
      <c r="BB124" s="65" t="s">
        <v>98</v>
      </c>
      <c r="BC124" s="65">
        <v>31</v>
      </c>
      <c r="BD124" s="65" t="s">
        <v>98</v>
      </c>
      <c r="BE124" s="211" t="str">
        <f t="shared" si="40"/>
        <v>582, POYOWA BESAR,</v>
      </c>
    </row>
    <row r="125" spans="1:57" s="211" customFormat="1" ht="15.75" customHeight="1">
      <c r="A125" s="36" t="s">
        <v>78</v>
      </c>
      <c r="B125" s="36">
        <f>B109+1</f>
        <v>9</v>
      </c>
      <c r="C125" s="33" t="s">
        <v>99</v>
      </c>
      <c r="D125" s="37" t="s">
        <v>351</v>
      </c>
      <c r="E125" s="38">
        <v>1</v>
      </c>
      <c r="F125" s="39">
        <v>1</v>
      </c>
      <c r="G125" s="213" t="s">
        <v>80</v>
      </c>
      <c r="H125" s="35">
        <v>1</v>
      </c>
      <c r="I125" s="48" t="s">
        <v>960</v>
      </c>
      <c r="J125" s="54">
        <v>0.71012900000000001</v>
      </c>
      <c r="K125" s="54">
        <v>124.325401</v>
      </c>
      <c r="L125" s="116" t="s">
        <v>116</v>
      </c>
      <c r="M125" s="56" t="str">
        <f t="shared" si="50"/>
        <v>SULAWESI UTARA</v>
      </c>
      <c r="N125" s="76" t="s">
        <v>105</v>
      </c>
      <c r="O125" s="49" t="s">
        <v>118</v>
      </c>
      <c r="P125" s="76" t="s">
        <v>119</v>
      </c>
      <c r="Q125" s="49">
        <v>95717</v>
      </c>
      <c r="R125" s="51"/>
      <c r="S125" s="52"/>
      <c r="T125" s="53"/>
      <c r="U125" s="52"/>
      <c r="V125" s="53"/>
      <c r="W125" s="50" t="s">
        <v>105</v>
      </c>
      <c r="X125" s="54"/>
      <c r="Y125" s="56" t="s">
        <v>106</v>
      </c>
      <c r="Z125" s="56" t="str">
        <f t="shared" si="36"/>
        <v>KELURAHAN POYOWA BESAR SATU KOTAMOBAGU</v>
      </c>
      <c r="AA125" s="55"/>
      <c r="AB125" s="55"/>
      <c r="AC125" s="55" t="s">
        <v>70</v>
      </c>
      <c r="AD125" s="116" t="s">
        <v>119</v>
      </c>
      <c r="AE125" s="57"/>
      <c r="AF125" s="57"/>
      <c r="AG125" s="57"/>
      <c r="AH125" s="57"/>
      <c r="AI125" s="58"/>
      <c r="AJ125" s="114" t="s">
        <v>730</v>
      </c>
      <c r="AK125" s="55" t="s">
        <v>96</v>
      </c>
      <c r="AL125" s="62"/>
      <c r="AM125" s="184"/>
      <c r="AN125" s="184"/>
      <c r="AO125" s="184"/>
      <c r="AP125" s="184"/>
      <c r="AQ125" s="185" t="s">
        <v>97</v>
      </c>
      <c r="AR125" s="59" t="str">
        <f t="shared" si="34"/>
        <v>KTG.100.0101</v>
      </c>
      <c r="AS125" s="60" t="str">
        <f>AS109</f>
        <v>KPBS-2.020</v>
      </c>
      <c r="AT125" s="60" t="str">
        <f>G125</f>
        <v>B01</v>
      </c>
      <c r="AU125" s="61"/>
      <c r="AV125" s="201">
        <v>0.71003527950000001</v>
      </c>
      <c r="AW125" s="201">
        <v>124.3255874476</v>
      </c>
      <c r="AX125" s="62" t="s">
        <v>98</v>
      </c>
      <c r="AY125" s="62" t="s">
        <v>94</v>
      </c>
      <c r="AZ125" s="62" t="s">
        <v>94</v>
      </c>
      <c r="BA125" s="63" t="s">
        <v>77</v>
      </c>
      <c r="BB125" s="62" t="s">
        <v>98</v>
      </c>
      <c r="BC125" s="62">
        <v>31</v>
      </c>
      <c r="BD125" s="62" t="s">
        <v>98</v>
      </c>
      <c r="BE125" s="211" t="str">
        <f t="shared" si="40"/>
        <v>539, POYOWA BESAR,</v>
      </c>
    </row>
    <row r="126" spans="1:57" s="211" customFormat="1" ht="15.75" customHeight="1">
      <c r="A126" s="46"/>
      <c r="B126" s="46"/>
      <c r="C126" s="22" t="s">
        <v>99</v>
      </c>
      <c r="D126" s="22" t="s">
        <v>351</v>
      </c>
      <c r="E126" s="33">
        <v>1</v>
      </c>
      <c r="F126" s="47">
        <f>F125+1</f>
        <v>2</v>
      </c>
      <c r="G126" s="214"/>
      <c r="H126" s="23">
        <v>2</v>
      </c>
      <c r="I126" s="64" t="str">
        <f t="shared" ref="I126:M147" si="56">I125</f>
        <v>MR.KPBS.P065</v>
      </c>
      <c r="J126" s="64">
        <f t="shared" si="56"/>
        <v>0.71012900000000001</v>
      </c>
      <c r="K126" s="64">
        <f t="shared" si="56"/>
        <v>124.325401</v>
      </c>
      <c r="L126" s="64" t="str">
        <f t="shared" si="56"/>
        <v>JL. RAYA POYOWA BESAR</v>
      </c>
      <c r="M126" s="64" t="str">
        <f t="shared" si="56"/>
        <v>SULAWESI UTARA</v>
      </c>
      <c r="N126" s="65" t="s">
        <v>105</v>
      </c>
      <c r="O126" s="66" t="s">
        <v>118</v>
      </c>
      <c r="P126" s="65" t="s">
        <v>119</v>
      </c>
      <c r="Q126" s="66">
        <v>95717</v>
      </c>
      <c r="R126" s="67"/>
      <c r="S126" s="68"/>
      <c r="T126" s="68"/>
      <c r="U126" s="68"/>
      <c r="V126" s="68"/>
      <c r="W126" s="65" t="s">
        <v>105</v>
      </c>
      <c r="X126" s="64"/>
      <c r="Y126" s="64" t="s">
        <v>106</v>
      </c>
      <c r="Z126" s="64" t="str">
        <f t="shared" si="36"/>
        <v>KELURAHAN POYOWA BESAR SATU KOTAMOBAGU</v>
      </c>
      <c r="AA126" s="65"/>
      <c r="AB126" s="65"/>
      <c r="AC126" s="65" t="s">
        <v>70</v>
      </c>
      <c r="AD126" s="64" t="str">
        <f t="shared" ref="AD126:AD140" si="57">AD125</f>
        <v>POYOWA BESAR</v>
      </c>
      <c r="AE126" s="67"/>
      <c r="AF126" s="67"/>
      <c r="AG126" s="67"/>
      <c r="AH126" s="67"/>
      <c r="AI126" s="69"/>
      <c r="AJ126" s="11" t="s">
        <v>731</v>
      </c>
      <c r="AK126" s="65" t="s">
        <v>96</v>
      </c>
      <c r="AL126" s="65"/>
      <c r="AM126" s="176"/>
      <c r="AN126" s="176"/>
      <c r="AO126" s="176"/>
      <c r="AP126" s="176"/>
      <c r="AQ126" s="177" t="s">
        <v>97</v>
      </c>
      <c r="AR126" s="70" t="str">
        <f t="shared" si="34"/>
        <v>KTG.100.0101</v>
      </c>
      <c r="AS126" s="71" t="str">
        <f t="shared" si="33"/>
        <v>KPBS-2.020</v>
      </c>
      <c r="AT126" s="71" t="str">
        <f t="shared" si="33"/>
        <v>B01</v>
      </c>
      <c r="AU126" s="72"/>
      <c r="AV126" s="202">
        <v>0.71012128569999999</v>
      </c>
      <c r="AW126" s="202">
        <v>124.3257354167</v>
      </c>
      <c r="AX126" s="65" t="s">
        <v>98</v>
      </c>
      <c r="AY126" s="65" t="s">
        <v>94</v>
      </c>
      <c r="AZ126" s="65" t="s">
        <v>94</v>
      </c>
      <c r="BA126" s="73" t="s">
        <v>77</v>
      </c>
      <c r="BB126" s="65" t="s">
        <v>98</v>
      </c>
      <c r="BC126" s="65">
        <v>31</v>
      </c>
      <c r="BD126" s="65" t="s">
        <v>98</v>
      </c>
      <c r="BE126" s="211" t="str">
        <f t="shared" si="40"/>
        <v>537, POYOWA BESAR,</v>
      </c>
    </row>
    <row r="127" spans="1:57" s="211" customFormat="1" ht="15.75" customHeight="1">
      <c r="A127" s="221"/>
      <c r="B127" s="222"/>
      <c r="C127" s="222"/>
      <c r="D127" s="222"/>
      <c r="E127" s="222"/>
      <c r="F127" s="222"/>
      <c r="G127" s="223"/>
      <c r="H127" s="23">
        <v>3</v>
      </c>
      <c r="I127" s="64" t="str">
        <f t="shared" si="56"/>
        <v>MR.KPBS.P065</v>
      </c>
      <c r="J127" s="64">
        <f t="shared" si="56"/>
        <v>0.71012900000000001</v>
      </c>
      <c r="K127" s="64">
        <f t="shared" si="56"/>
        <v>124.325401</v>
      </c>
      <c r="L127" s="64" t="str">
        <f t="shared" si="56"/>
        <v>JL. RAYA POYOWA BESAR</v>
      </c>
      <c r="M127" s="64" t="str">
        <f t="shared" si="56"/>
        <v>SULAWESI UTARA</v>
      </c>
      <c r="N127" s="65" t="s">
        <v>105</v>
      </c>
      <c r="O127" s="66" t="s">
        <v>118</v>
      </c>
      <c r="P127" s="65" t="s">
        <v>119</v>
      </c>
      <c r="Q127" s="66">
        <v>95717</v>
      </c>
      <c r="R127" s="67"/>
      <c r="S127" s="68"/>
      <c r="T127" s="68"/>
      <c r="U127" s="68"/>
      <c r="V127" s="68"/>
      <c r="W127" s="65" t="s">
        <v>105</v>
      </c>
      <c r="X127" s="64"/>
      <c r="Y127" s="64" t="s">
        <v>106</v>
      </c>
      <c r="Z127" s="64" t="str">
        <f t="shared" si="36"/>
        <v>KELURAHAN POYOWA BESAR SATU KOTAMOBAGU</v>
      </c>
      <c r="AA127" s="65"/>
      <c r="AB127" s="65"/>
      <c r="AC127" s="65" t="s">
        <v>70</v>
      </c>
      <c r="AD127" s="64" t="str">
        <f t="shared" si="57"/>
        <v>POYOWA BESAR</v>
      </c>
      <c r="AE127" s="67"/>
      <c r="AF127" s="67"/>
      <c r="AG127" s="67"/>
      <c r="AH127" s="67"/>
      <c r="AI127" s="69"/>
      <c r="AJ127" s="11" t="s">
        <v>732</v>
      </c>
      <c r="AK127" s="65" t="s">
        <v>96</v>
      </c>
      <c r="AL127" s="65"/>
      <c r="AM127" s="176"/>
      <c r="AN127" s="176"/>
      <c r="AO127" s="176"/>
      <c r="AP127" s="176"/>
      <c r="AQ127" s="177" t="s">
        <v>97</v>
      </c>
      <c r="AR127" s="70" t="str">
        <f t="shared" si="34"/>
        <v>KTG.100.0101</v>
      </c>
      <c r="AS127" s="71" t="str">
        <f t="shared" si="33"/>
        <v>KPBS-2.020</v>
      </c>
      <c r="AT127" s="71" t="str">
        <f t="shared" si="33"/>
        <v>B01</v>
      </c>
      <c r="AU127" s="72"/>
      <c r="AV127" s="202">
        <v>0.71039874799999903</v>
      </c>
      <c r="AW127" s="202">
        <v>124.3255236621</v>
      </c>
      <c r="AX127" s="65" t="s">
        <v>98</v>
      </c>
      <c r="AY127" s="65" t="s">
        <v>94</v>
      </c>
      <c r="AZ127" s="65" t="s">
        <v>94</v>
      </c>
      <c r="BA127" s="73" t="s">
        <v>77</v>
      </c>
      <c r="BB127" s="65" t="s">
        <v>98</v>
      </c>
      <c r="BC127" s="65">
        <v>31</v>
      </c>
      <c r="BD127" s="65" t="s">
        <v>98</v>
      </c>
      <c r="BE127" s="211" t="str">
        <f t="shared" si="40"/>
        <v>536, POYOWA BESAR,</v>
      </c>
    </row>
    <row r="128" spans="1:57" s="211" customFormat="1" ht="15.75" customHeight="1">
      <c r="A128" s="224"/>
      <c r="B128" s="225"/>
      <c r="C128" s="225"/>
      <c r="D128" s="225"/>
      <c r="E128" s="225"/>
      <c r="F128" s="225"/>
      <c r="G128" s="226"/>
      <c r="H128" s="23">
        <v>4</v>
      </c>
      <c r="I128" s="64" t="str">
        <f t="shared" ref="I128:M128" si="58">I127</f>
        <v>MR.KPBS.P065</v>
      </c>
      <c r="J128" s="64">
        <f t="shared" si="58"/>
        <v>0.71012900000000001</v>
      </c>
      <c r="K128" s="64">
        <f t="shared" si="58"/>
        <v>124.325401</v>
      </c>
      <c r="L128" s="64" t="str">
        <f t="shared" si="58"/>
        <v>JL. RAYA POYOWA BESAR</v>
      </c>
      <c r="M128" s="64" t="str">
        <f t="shared" si="58"/>
        <v>SULAWESI UTARA</v>
      </c>
      <c r="N128" s="65" t="s">
        <v>105</v>
      </c>
      <c r="O128" s="66" t="s">
        <v>118</v>
      </c>
      <c r="P128" s="65" t="s">
        <v>119</v>
      </c>
      <c r="Q128" s="66">
        <v>95717</v>
      </c>
      <c r="R128" s="67"/>
      <c r="S128" s="68"/>
      <c r="T128" s="68"/>
      <c r="U128" s="68"/>
      <c r="V128" s="68"/>
      <c r="W128" s="65" t="s">
        <v>105</v>
      </c>
      <c r="X128" s="64"/>
      <c r="Y128" s="64" t="s">
        <v>106</v>
      </c>
      <c r="Z128" s="64" t="str">
        <f t="shared" si="36"/>
        <v>KELURAHAN POYOWA BESAR SATU KOTAMOBAGU</v>
      </c>
      <c r="AA128" s="65"/>
      <c r="AB128" s="65"/>
      <c r="AC128" s="65" t="s">
        <v>70</v>
      </c>
      <c r="AD128" s="64" t="str">
        <f t="shared" si="57"/>
        <v>POYOWA BESAR</v>
      </c>
      <c r="AE128" s="67"/>
      <c r="AF128" s="67"/>
      <c r="AG128" s="67"/>
      <c r="AH128" s="67"/>
      <c r="AI128" s="69"/>
      <c r="AJ128" s="11" t="s">
        <v>733</v>
      </c>
      <c r="AK128" s="65" t="s">
        <v>96</v>
      </c>
      <c r="AL128" s="65"/>
      <c r="AM128" s="176"/>
      <c r="AN128" s="176"/>
      <c r="AO128" s="176"/>
      <c r="AP128" s="176"/>
      <c r="AQ128" s="177" t="s">
        <v>97</v>
      </c>
      <c r="AR128" s="70" t="str">
        <f t="shared" si="34"/>
        <v>KTG.100.0101</v>
      </c>
      <c r="AS128" s="71" t="str">
        <f t="shared" ref="AS128:AS133" si="59">AS127</f>
        <v>KPBS-2.020</v>
      </c>
      <c r="AT128" s="71" t="str">
        <f t="shared" ref="AT128:AT133" si="60">AT127</f>
        <v>B01</v>
      </c>
      <c r="AU128" s="72"/>
      <c r="AV128" s="202">
        <v>0.71007531680000002</v>
      </c>
      <c r="AW128" s="202">
        <v>124.3256732697</v>
      </c>
      <c r="AX128" s="65" t="s">
        <v>98</v>
      </c>
      <c r="AY128" s="65" t="s">
        <v>94</v>
      </c>
      <c r="AZ128" s="65" t="s">
        <v>94</v>
      </c>
      <c r="BA128" s="73" t="s">
        <v>77</v>
      </c>
      <c r="BB128" s="65" t="s">
        <v>98</v>
      </c>
      <c r="BC128" s="65">
        <v>31</v>
      </c>
      <c r="BD128" s="65" t="s">
        <v>98</v>
      </c>
      <c r="BE128" s="211" t="str">
        <f t="shared" ref="BE128:BE133" si="61">AJ128&amp;", "&amp;AD128&amp;","&amp;AI128</f>
        <v>538, POYOWA BESAR,</v>
      </c>
    </row>
    <row r="129" spans="1:57" s="211" customFormat="1" ht="15.75" customHeight="1">
      <c r="A129" s="224"/>
      <c r="B129" s="225"/>
      <c r="C129" s="225"/>
      <c r="D129" s="225"/>
      <c r="E129" s="225"/>
      <c r="F129" s="225"/>
      <c r="G129" s="226"/>
      <c r="H129" s="23">
        <v>5</v>
      </c>
      <c r="I129" s="64" t="str">
        <f t="shared" ref="I129:M129" si="62">I128</f>
        <v>MR.KPBS.P065</v>
      </c>
      <c r="J129" s="64">
        <f t="shared" si="62"/>
        <v>0.71012900000000001</v>
      </c>
      <c r="K129" s="64">
        <f t="shared" si="62"/>
        <v>124.325401</v>
      </c>
      <c r="L129" s="64" t="str">
        <f t="shared" si="62"/>
        <v>JL. RAYA POYOWA BESAR</v>
      </c>
      <c r="M129" s="64" t="str">
        <f t="shared" si="62"/>
        <v>SULAWESI UTARA</v>
      </c>
      <c r="N129" s="65" t="s">
        <v>105</v>
      </c>
      <c r="O129" s="66" t="s">
        <v>118</v>
      </c>
      <c r="P129" s="65" t="s">
        <v>119</v>
      </c>
      <c r="Q129" s="66">
        <v>95717</v>
      </c>
      <c r="R129" s="67"/>
      <c r="S129" s="68"/>
      <c r="T129" s="68"/>
      <c r="U129" s="68"/>
      <c r="V129" s="68"/>
      <c r="W129" s="65" t="s">
        <v>105</v>
      </c>
      <c r="X129" s="64"/>
      <c r="Y129" s="64" t="s">
        <v>106</v>
      </c>
      <c r="Z129" s="64" t="str">
        <f t="shared" si="36"/>
        <v>KELURAHAN POYOWA BESAR SATU KOTAMOBAGU</v>
      </c>
      <c r="AA129" s="65"/>
      <c r="AB129" s="65"/>
      <c r="AC129" s="65" t="s">
        <v>70</v>
      </c>
      <c r="AD129" s="64" t="str">
        <f t="shared" si="57"/>
        <v>POYOWA BESAR</v>
      </c>
      <c r="AE129" s="67"/>
      <c r="AF129" s="67"/>
      <c r="AG129" s="67"/>
      <c r="AH129" s="67"/>
      <c r="AI129" s="69"/>
      <c r="AJ129" s="11" t="s">
        <v>734</v>
      </c>
      <c r="AK129" s="65" t="s">
        <v>96</v>
      </c>
      <c r="AL129" s="65"/>
      <c r="AM129" s="176"/>
      <c r="AN129" s="176"/>
      <c r="AO129" s="176"/>
      <c r="AP129" s="176"/>
      <c r="AQ129" s="177" t="s">
        <v>97</v>
      </c>
      <c r="AR129" s="70" t="str">
        <f t="shared" si="34"/>
        <v>KTG.100.0101</v>
      </c>
      <c r="AS129" s="71" t="str">
        <f t="shared" si="59"/>
        <v>KPBS-2.020</v>
      </c>
      <c r="AT129" s="71" t="str">
        <f t="shared" si="60"/>
        <v>B01</v>
      </c>
      <c r="AU129" s="72"/>
      <c r="AV129" s="202">
        <v>0.71035574479999997</v>
      </c>
      <c r="AW129" s="202">
        <v>124.3254526369</v>
      </c>
      <c r="AX129" s="65" t="s">
        <v>98</v>
      </c>
      <c r="AY129" s="65" t="s">
        <v>94</v>
      </c>
      <c r="AZ129" s="65" t="s">
        <v>94</v>
      </c>
      <c r="BA129" s="73" t="s">
        <v>77</v>
      </c>
      <c r="BB129" s="65" t="s">
        <v>98</v>
      </c>
      <c r="BC129" s="65">
        <v>31</v>
      </c>
      <c r="BD129" s="65" t="s">
        <v>98</v>
      </c>
      <c r="BE129" s="211" t="str">
        <f t="shared" si="61"/>
        <v>535, POYOWA BESAR,</v>
      </c>
    </row>
    <row r="130" spans="1:57" s="211" customFormat="1" ht="15.75" customHeight="1">
      <c r="A130" s="224"/>
      <c r="B130" s="225"/>
      <c r="C130" s="225"/>
      <c r="D130" s="225"/>
      <c r="E130" s="225"/>
      <c r="F130" s="225"/>
      <c r="G130" s="226"/>
      <c r="H130" s="23">
        <v>6</v>
      </c>
      <c r="I130" s="64" t="str">
        <f t="shared" ref="I130:M130" si="63">I129</f>
        <v>MR.KPBS.P065</v>
      </c>
      <c r="J130" s="64">
        <f t="shared" si="63"/>
        <v>0.71012900000000001</v>
      </c>
      <c r="K130" s="64">
        <f t="shared" si="63"/>
        <v>124.325401</v>
      </c>
      <c r="L130" s="64" t="str">
        <f t="shared" si="63"/>
        <v>JL. RAYA POYOWA BESAR</v>
      </c>
      <c r="M130" s="64" t="str">
        <f t="shared" si="63"/>
        <v>SULAWESI UTARA</v>
      </c>
      <c r="N130" s="65" t="s">
        <v>105</v>
      </c>
      <c r="O130" s="66" t="s">
        <v>118</v>
      </c>
      <c r="P130" s="65" t="s">
        <v>119</v>
      </c>
      <c r="Q130" s="66">
        <v>95717</v>
      </c>
      <c r="R130" s="67"/>
      <c r="S130" s="68"/>
      <c r="T130" s="68"/>
      <c r="U130" s="68"/>
      <c r="V130" s="68"/>
      <c r="W130" s="65" t="s">
        <v>105</v>
      </c>
      <c r="X130" s="64"/>
      <c r="Y130" s="64" t="s">
        <v>106</v>
      </c>
      <c r="Z130" s="64" t="str">
        <f t="shared" si="36"/>
        <v>KELURAHAN POYOWA BESAR SATU KOTAMOBAGU</v>
      </c>
      <c r="AA130" s="65"/>
      <c r="AB130" s="65"/>
      <c r="AC130" s="65" t="s">
        <v>70</v>
      </c>
      <c r="AD130" s="64" t="str">
        <f t="shared" si="57"/>
        <v>POYOWA BESAR</v>
      </c>
      <c r="AE130" s="67"/>
      <c r="AF130" s="67"/>
      <c r="AG130" s="67"/>
      <c r="AH130" s="67"/>
      <c r="AI130" s="69"/>
      <c r="AJ130" s="11" t="s">
        <v>735</v>
      </c>
      <c r="AK130" s="65" t="s">
        <v>96</v>
      </c>
      <c r="AL130" s="65"/>
      <c r="AM130" s="176"/>
      <c r="AN130" s="176"/>
      <c r="AO130" s="176"/>
      <c r="AP130" s="176"/>
      <c r="AQ130" s="177" t="s">
        <v>97</v>
      </c>
      <c r="AR130" s="70" t="str">
        <f t="shared" si="34"/>
        <v>KTG.100.0101</v>
      </c>
      <c r="AS130" s="71" t="str">
        <f t="shared" si="59"/>
        <v>KPBS-2.020</v>
      </c>
      <c r="AT130" s="71" t="str">
        <f t="shared" si="60"/>
        <v>B01</v>
      </c>
      <c r="AU130" s="72"/>
      <c r="AV130" s="202">
        <v>0.71033350179999999</v>
      </c>
      <c r="AW130" s="202">
        <v>124.32537273360001</v>
      </c>
      <c r="AX130" s="65" t="s">
        <v>98</v>
      </c>
      <c r="AY130" s="65" t="s">
        <v>94</v>
      </c>
      <c r="AZ130" s="65" t="s">
        <v>94</v>
      </c>
      <c r="BA130" s="73" t="s">
        <v>77</v>
      </c>
      <c r="BB130" s="65" t="s">
        <v>98</v>
      </c>
      <c r="BC130" s="65">
        <v>31</v>
      </c>
      <c r="BD130" s="65" t="s">
        <v>98</v>
      </c>
      <c r="BE130" s="211" t="str">
        <f t="shared" si="61"/>
        <v>534, POYOWA BESAR,</v>
      </c>
    </row>
    <row r="131" spans="1:57" s="211" customFormat="1" ht="15.75" customHeight="1">
      <c r="A131" s="224"/>
      <c r="B131" s="225"/>
      <c r="C131" s="225"/>
      <c r="D131" s="225"/>
      <c r="E131" s="225"/>
      <c r="F131" s="225"/>
      <c r="G131" s="226"/>
      <c r="H131" s="23">
        <v>7</v>
      </c>
      <c r="I131" s="64" t="str">
        <f t="shared" ref="I131:M131" si="64">I130</f>
        <v>MR.KPBS.P065</v>
      </c>
      <c r="J131" s="64">
        <f t="shared" si="64"/>
        <v>0.71012900000000001</v>
      </c>
      <c r="K131" s="64">
        <f t="shared" si="64"/>
        <v>124.325401</v>
      </c>
      <c r="L131" s="64" t="str">
        <f t="shared" si="64"/>
        <v>JL. RAYA POYOWA BESAR</v>
      </c>
      <c r="M131" s="64" t="str">
        <f t="shared" si="64"/>
        <v>SULAWESI UTARA</v>
      </c>
      <c r="N131" s="65" t="s">
        <v>105</v>
      </c>
      <c r="O131" s="66" t="s">
        <v>118</v>
      </c>
      <c r="P131" s="65" t="s">
        <v>119</v>
      </c>
      <c r="Q131" s="66">
        <v>95717</v>
      </c>
      <c r="R131" s="67"/>
      <c r="S131" s="68"/>
      <c r="T131" s="68"/>
      <c r="U131" s="68"/>
      <c r="V131" s="68"/>
      <c r="W131" s="65" t="s">
        <v>105</v>
      </c>
      <c r="X131" s="64"/>
      <c r="Y131" s="64" t="s">
        <v>106</v>
      </c>
      <c r="Z131" s="64" t="str">
        <f t="shared" si="36"/>
        <v>KELURAHAN POYOWA BESAR SATU KOTAMOBAGU</v>
      </c>
      <c r="AA131" s="65"/>
      <c r="AB131" s="65"/>
      <c r="AC131" s="65" t="s">
        <v>70</v>
      </c>
      <c r="AD131" s="64" t="str">
        <f t="shared" si="57"/>
        <v>POYOWA BESAR</v>
      </c>
      <c r="AE131" s="67"/>
      <c r="AF131" s="67"/>
      <c r="AG131" s="67"/>
      <c r="AH131" s="67"/>
      <c r="AI131" s="69"/>
      <c r="AJ131" s="11" t="s">
        <v>736</v>
      </c>
      <c r="AK131" s="65" t="s">
        <v>96</v>
      </c>
      <c r="AL131" s="65"/>
      <c r="AM131" s="176"/>
      <c r="AN131" s="176"/>
      <c r="AO131" s="176"/>
      <c r="AP131" s="176"/>
      <c r="AQ131" s="177" t="s">
        <v>97</v>
      </c>
      <c r="AR131" s="70" t="str">
        <f t="shared" si="34"/>
        <v>KTG.100.0101</v>
      </c>
      <c r="AS131" s="71" t="str">
        <f t="shared" si="59"/>
        <v>KPBS-2.020</v>
      </c>
      <c r="AT131" s="71" t="str">
        <f t="shared" si="60"/>
        <v>B01</v>
      </c>
      <c r="AU131" s="72"/>
      <c r="AV131" s="202">
        <v>0.70998190250000004</v>
      </c>
      <c r="AW131" s="202">
        <v>124.3255105036</v>
      </c>
      <c r="AX131" s="65" t="s">
        <v>98</v>
      </c>
      <c r="AY131" s="65" t="s">
        <v>94</v>
      </c>
      <c r="AZ131" s="65" t="s">
        <v>94</v>
      </c>
      <c r="BA131" s="73" t="s">
        <v>77</v>
      </c>
      <c r="BB131" s="65" t="s">
        <v>98</v>
      </c>
      <c r="BC131" s="65">
        <v>31</v>
      </c>
      <c r="BD131" s="65" t="s">
        <v>98</v>
      </c>
      <c r="BE131" s="211" t="str">
        <f t="shared" si="61"/>
        <v>540, POYOWA BESAR,</v>
      </c>
    </row>
    <row r="132" spans="1:57" s="211" customFormat="1" ht="15.75" customHeight="1">
      <c r="A132" s="224"/>
      <c r="B132" s="225"/>
      <c r="C132" s="225"/>
      <c r="D132" s="225"/>
      <c r="E132" s="225"/>
      <c r="F132" s="225"/>
      <c r="G132" s="226"/>
      <c r="H132" s="23">
        <v>8</v>
      </c>
      <c r="I132" s="64" t="str">
        <f t="shared" ref="I132:M132" si="65">I131</f>
        <v>MR.KPBS.P065</v>
      </c>
      <c r="J132" s="64">
        <f t="shared" si="65"/>
        <v>0.71012900000000001</v>
      </c>
      <c r="K132" s="64">
        <f t="shared" si="65"/>
        <v>124.325401</v>
      </c>
      <c r="L132" s="64" t="str">
        <f t="shared" si="65"/>
        <v>JL. RAYA POYOWA BESAR</v>
      </c>
      <c r="M132" s="64" t="str">
        <f t="shared" si="65"/>
        <v>SULAWESI UTARA</v>
      </c>
      <c r="N132" s="65" t="s">
        <v>105</v>
      </c>
      <c r="O132" s="66" t="s">
        <v>118</v>
      </c>
      <c r="P132" s="65" t="s">
        <v>119</v>
      </c>
      <c r="Q132" s="66">
        <v>95717</v>
      </c>
      <c r="R132" s="67"/>
      <c r="S132" s="68"/>
      <c r="T132" s="68"/>
      <c r="U132" s="68"/>
      <c r="V132" s="68"/>
      <c r="W132" s="65" t="s">
        <v>105</v>
      </c>
      <c r="X132" s="64"/>
      <c r="Y132" s="64" t="s">
        <v>106</v>
      </c>
      <c r="Z132" s="64" t="str">
        <f t="shared" si="36"/>
        <v>KELURAHAN POYOWA BESAR SATU KOTAMOBAGU</v>
      </c>
      <c r="AA132" s="65"/>
      <c r="AB132" s="65"/>
      <c r="AC132" s="65" t="s">
        <v>70</v>
      </c>
      <c r="AD132" s="64" t="str">
        <f t="shared" si="57"/>
        <v>POYOWA BESAR</v>
      </c>
      <c r="AE132" s="67"/>
      <c r="AF132" s="67"/>
      <c r="AG132" s="67"/>
      <c r="AH132" s="67"/>
      <c r="AI132" s="69"/>
      <c r="AJ132" s="11" t="s">
        <v>737</v>
      </c>
      <c r="AK132" s="65" t="s">
        <v>96</v>
      </c>
      <c r="AL132" s="65"/>
      <c r="AM132" s="176"/>
      <c r="AN132" s="176"/>
      <c r="AO132" s="176"/>
      <c r="AP132" s="176"/>
      <c r="AQ132" s="177" t="s">
        <v>97</v>
      </c>
      <c r="AR132" s="70" t="str">
        <f t="shared" si="34"/>
        <v>KTG.100.0101</v>
      </c>
      <c r="AS132" s="71" t="str">
        <f t="shared" si="59"/>
        <v>KPBS-2.020</v>
      </c>
      <c r="AT132" s="71" t="str">
        <f t="shared" si="60"/>
        <v>B01</v>
      </c>
      <c r="AU132" s="72"/>
      <c r="AV132" s="202">
        <v>0.7099522452</v>
      </c>
      <c r="AW132" s="202">
        <v>124.3254158033</v>
      </c>
      <c r="AX132" s="65" t="s">
        <v>98</v>
      </c>
      <c r="AY132" s="65" t="s">
        <v>94</v>
      </c>
      <c r="AZ132" s="65" t="s">
        <v>94</v>
      </c>
      <c r="BA132" s="73" t="s">
        <v>77</v>
      </c>
      <c r="BB132" s="65" t="s">
        <v>98</v>
      </c>
      <c r="BC132" s="65">
        <v>31</v>
      </c>
      <c r="BD132" s="65" t="s">
        <v>98</v>
      </c>
      <c r="BE132" s="211" t="str">
        <f t="shared" si="61"/>
        <v>541, POYOWA BESAR,</v>
      </c>
    </row>
    <row r="133" spans="1:57" s="211" customFormat="1" ht="15.75" customHeight="1">
      <c r="A133" s="224"/>
      <c r="B133" s="225"/>
      <c r="C133" s="225"/>
      <c r="D133" s="225"/>
      <c r="E133" s="225"/>
      <c r="F133" s="225"/>
      <c r="G133" s="226"/>
      <c r="H133" s="23">
        <v>9</v>
      </c>
      <c r="I133" s="64" t="str">
        <f t="shared" ref="I133:M133" si="66">I132</f>
        <v>MR.KPBS.P065</v>
      </c>
      <c r="J133" s="64">
        <f t="shared" si="66"/>
        <v>0.71012900000000001</v>
      </c>
      <c r="K133" s="64">
        <f t="shared" si="66"/>
        <v>124.325401</v>
      </c>
      <c r="L133" s="64" t="str">
        <f t="shared" si="66"/>
        <v>JL. RAYA POYOWA BESAR</v>
      </c>
      <c r="M133" s="64" t="str">
        <f t="shared" si="66"/>
        <v>SULAWESI UTARA</v>
      </c>
      <c r="N133" s="65" t="s">
        <v>105</v>
      </c>
      <c r="O133" s="66" t="s">
        <v>118</v>
      </c>
      <c r="P133" s="65" t="s">
        <v>119</v>
      </c>
      <c r="Q133" s="66">
        <v>95717</v>
      </c>
      <c r="R133" s="67"/>
      <c r="S133" s="68"/>
      <c r="T133" s="68"/>
      <c r="U133" s="68"/>
      <c r="V133" s="68"/>
      <c r="W133" s="65" t="s">
        <v>105</v>
      </c>
      <c r="X133" s="64"/>
      <c r="Y133" s="64" t="s">
        <v>106</v>
      </c>
      <c r="Z133" s="64" t="str">
        <f t="shared" si="36"/>
        <v>KELURAHAN POYOWA BESAR SATU KOTAMOBAGU</v>
      </c>
      <c r="AA133" s="65"/>
      <c r="AB133" s="65"/>
      <c r="AC133" s="65" t="s">
        <v>70</v>
      </c>
      <c r="AD133" s="64" t="str">
        <f t="shared" si="57"/>
        <v>POYOWA BESAR</v>
      </c>
      <c r="AE133" s="67"/>
      <c r="AF133" s="67"/>
      <c r="AG133" s="67"/>
      <c r="AH133" s="67"/>
      <c r="AI133" s="69"/>
      <c r="AJ133" s="11" t="s">
        <v>738</v>
      </c>
      <c r="AK133" s="65" t="s">
        <v>96</v>
      </c>
      <c r="AL133" s="65"/>
      <c r="AM133" s="176"/>
      <c r="AN133" s="176"/>
      <c r="AO133" s="176"/>
      <c r="AP133" s="176"/>
      <c r="AQ133" s="177" t="s">
        <v>97</v>
      </c>
      <c r="AR133" s="70" t="str">
        <f t="shared" si="34"/>
        <v>KTG.100.0101</v>
      </c>
      <c r="AS133" s="71" t="str">
        <f t="shared" si="59"/>
        <v>KPBS-2.020</v>
      </c>
      <c r="AT133" s="71" t="str">
        <f t="shared" si="60"/>
        <v>B01</v>
      </c>
      <c r="AU133" s="72"/>
      <c r="AV133" s="202">
        <v>0.71032312180000001</v>
      </c>
      <c r="AW133" s="202">
        <v>124.32529431</v>
      </c>
      <c r="AX133" s="65" t="s">
        <v>98</v>
      </c>
      <c r="AY133" s="65" t="s">
        <v>94</v>
      </c>
      <c r="AZ133" s="65" t="s">
        <v>94</v>
      </c>
      <c r="BA133" s="73" t="s">
        <v>77</v>
      </c>
      <c r="BB133" s="65" t="s">
        <v>98</v>
      </c>
      <c r="BC133" s="65">
        <v>31</v>
      </c>
      <c r="BD133" s="65" t="s">
        <v>98</v>
      </c>
      <c r="BE133" s="211" t="str">
        <f t="shared" si="61"/>
        <v>533, POYOWA BESAR,</v>
      </c>
    </row>
    <row r="134" spans="1:57" s="211" customFormat="1" ht="15.75" customHeight="1">
      <c r="A134" s="224"/>
      <c r="B134" s="225"/>
      <c r="C134" s="225"/>
      <c r="D134" s="225"/>
      <c r="E134" s="225"/>
      <c r="F134" s="225"/>
      <c r="G134" s="226"/>
      <c r="H134" s="23">
        <v>10</v>
      </c>
      <c r="I134" s="64" t="str">
        <f>I127</f>
        <v>MR.KPBS.P065</v>
      </c>
      <c r="J134" s="64">
        <f>J127</f>
        <v>0.71012900000000001</v>
      </c>
      <c r="K134" s="64">
        <f>K127</f>
        <v>124.325401</v>
      </c>
      <c r="L134" s="64" t="str">
        <f>L127</f>
        <v>JL. RAYA POYOWA BESAR</v>
      </c>
      <c r="M134" s="64" t="str">
        <f>M127</f>
        <v>SULAWESI UTARA</v>
      </c>
      <c r="N134" s="65" t="s">
        <v>105</v>
      </c>
      <c r="O134" s="66" t="s">
        <v>118</v>
      </c>
      <c r="P134" s="65" t="s">
        <v>119</v>
      </c>
      <c r="Q134" s="66">
        <v>95717</v>
      </c>
      <c r="R134" s="67"/>
      <c r="S134" s="68"/>
      <c r="T134" s="68"/>
      <c r="U134" s="68"/>
      <c r="V134" s="68"/>
      <c r="W134" s="65" t="s">
        <v>105</v>
      </c>
      <c r="X134" s="64"/>
      <c r="Y134" s="64" t="s">
        <v>106</v>
      </c>
      <c r="Z134" s="64" t="str">
        <f t="shared" si="36"/>
        <v>KELURAHAN POYOWA BESAR SATU KOTAMOBAGU</v>
      </c>
      <c r="AA134" s="65"/>
      <c r="AB134" s="65"/>
      <c r="AC134" s="65" t="s">
        <v>70</v>
      </c>
      <c r="AD134" s="64" t="str">
        <f>AD127</f>
        <v>POYOWA BESAR</v>
      </c>
      <c r="AE134" s="67"/>
      <c r="AF134" s="67"/>
      <c r="AG134" s="67"/>
      <c r="AH134" s="67"/>
      <c r="AI134" s="69"/>
      <c r="AJ134" s="11" t="s">
        <v>739</v>
      </c>
      <c r="AK134" s="65" t="s">
        <v>96</v>
      </c>
      <c r="AL134" s="65"/>
      <c r="AM134" s="176"/>
      <c r="AN134" s="176"/>
      <c r="AO134" s="176"/>
      <c r="AP134" s="176"/>
      <c r="AQ134" s="177" t="s">
        <v>97</v>
      </c>
      <c r="AR134" s="70" t="str">
        <f t="shared" si="34"/>
        <v>KTG.100.0101</v>
      </c>
      <c r="AS134" s="71" t="str">
        <f>AS127</f>
        <v>KPBS-2.020</v>
      </c>
      <c r="AT134" s="71" t="str">
        <f>AT127</f>
        <v>B01</v>
      </c>
      <c r="AU134" s="72"/>
      <c r="AV134" s="202">
        <v>0.71029494739999999</v>
      </c>
      <c r="AW134" s="202">
        <v>124.32519369089999</v>
      </c>
      <c r="AX134" s="65" t="s">
        <v>98</v>
      </c>
      <c r="AY134" s="65" t="s">
        <v>94</v>
      </c>
      <c r="AZ134" s="65" t="s">
        <v>94</v>
      </c>
      <c r="BA134" s="73" t="s">
        <v>77</v>
      </c>
      <c r="BB134" s="65" t="s">
        <v>98</v>
      </c>
      <c r="BC134" s="65">
        <v>31</v>
      </c>
      <c r="BD134" s="65" t="s">
        <v>98</v>
      </c>
      <c r="BE134" s="211" t="str">
        <f t="shared" si="40"/>
        <v>532, POYOWA BESAR,</v>
      </c>
    </row>
    <row r="135" spans="1:57" s="211" customFormat="1" ht="15.75" customHeight="1">
      <c r="A135" s="224"/>
      <c r="B135" s="225"/>
      <c r="C135" s="225"/>
      <c r="D135" s="225"/>
      <c r="E135" s="225"/>
      <c r="F135" s="225"/>
      <c r="G135" s="226"/>
      <c r="H135" s="23">
        <v>11</v>
      </c>
      <c r="I135" s="64" t="str">
        <f t="shared" si="56"/>
        <v>MR.KPBS.P065</v>
      </c>
      <c r="J135" s="64">
        <f t="shared" si="56"/>
        <v>0.71012900000000001</v>
      </c>
      <c r="K135" s="64">
        <f t="shared" si="56"/>
        <v>124.325401</v>
      </c>
      <c r="L135" s="64" t="str">
        <f t="shared" si="56"/>
        <v>JL. RAYA POYOWA BESAR</v>
      </c>
      <c r="M135" s="64" t="str">
        <f t="shared" si="56"/>
        <v>SULAWESI UTARA</v>
      </c>
      <c r="N135" s="65" t="s">
        <v>105</v>
      </c>
      <c r="O135" s="66" t="s">
        <v>118</v>
      </c>
      <c r="P135" s="65" t="s">
        <v>119</v>
      </c>
      <c r="Q135" s="66">
        <v>95717</v>
      </c>
      <c r="R135" s="67"/>
      <c r="S135" s="68"/>
      <c r="T135" s="68"/>
      <c r="U135" s="68"/>
      <c r="V135" s="68"/>
      <c r="W135" s="65" t="s">
        <v>105</v>
      </c>
      <c r="X135" s="64"/>
      <c r="Y135" s="64" t="s">
        <v>106</v>
      </c>
      <c r="Z135" s="64" t="str">
        <f t="shared" si="36"/>
        <v>KELURAHAN POYOWA BESAR SATU KOTAMOBAGU</v>
      </c>
      <c r="AA135" s="65"/>
      <c r="AB135" s="65"/>
      <c r="AC135" s="65" t="s">
        <v>70</v>
      </c>
      <c r="AD135" s="64" t="str">
        <f t="shared" si="57"/>
        <v>POYOWA BESAR</v>
      </c>
      <c r="AE135" s="67"/>
      <c r="AF135" s="67"/>
      <c r="AG135" s="67"/>
      <c r="AH135" s="67"/>
      <c r="AI135" s="69"/>
      <c r="AJ135" s="11" t="s">
        <v>740</v>
      </c>
      <c r="AK135" s="65" t="s">
        <v>96</v>
      </c>
      <c r="AL135" s="65"/>
      <c r="AM135" s="176"/>
      <c r="AN135" s="176"/>
      <c r="AO135" s="176"/>
      <c r="AP135" s="176"/>
      <c r="AQ135" s="177" t="s">
        <v>97</v>
      </c>
      <c r="AR135" s="70" t="str">
        <f t="shared" si="34"/>
        <v>KTG.100.0101</v>
      </c>
      <c r="AS135" s="71" t="str">
        <f t="shared" si="33"/>
        <v>KPBS-2.020</v>
      </c>
      <c r="AT135" s="71" t="str">
        <f t="shared" si="33"/>
        <v>B01</v>
      </c>
      <c r="AU135" s="72"/>
      <c r="AV135" s="202">
        <v>0.70993000220000002</v>
      </c>
      <c r="AW135" s="202">
        <v>124.3253373798</v>
      </c>
      <c r="AX135" s="65" t="s">
        <v>98</v>
      </c>
      <c r="AY135" s="65" t="s">
        <v>94</v>
      </c>
      <c r="AZ135" s="65" t="s">
        <v>94</v>
      </c>
      <c r="BA135" s="73" t="s">
        <v>77</v>
      </c>
      <c r="BB135" s="65" t="s">
        <v>98</v>
      </c>
      <c r="BC135" s="65">
        <v>31</v>
      </c>
      <c r="BD135" s="65" t="s">
        <v>98</v>
      </c>
      <c r="BE135" s="211" t="str">
        <f t="shared" si="40"/>
        <v>542, POYOWA BESAR,</v>
      </c>
    </row>
    <row r="136" spans="1:57" s="211" customFormat="1" ht="15.75" customHeight="1">
      <c r="A136" s="224"/>
      <c r="B136" s="225"/>
      <c r="C136" s="225"/>
      <c r="D136" s="225"/>
      <c r="E136" s="225"/>
      <c r="F136" s="225"/>
      <c r="G136" s="226"/>
      <c r="H136" s="23">
        <v>12</v>
      </c>
      <c r="I136" s="64" t="str">
        <f t="shared" si="56"/>
        <v>MR.KPBS.P065</v>
      </c>
      <c r="J136" s="64">
        <f t="shared" si="56"/>
        <v>0.71012900000000001</v>
      </c>
      <c r="K136" s="64">
        <f t="shared" si="56"/>
        <v>124.325401</v>
      </c>
      <c r="L136" s="64" t="str">
        <f t="shared" si="56"/>
        <v>JL. RAYA POYOWA BESAR</v>
      </c>
      <c r="M136" s="64" t="str">
        <f t="shared" si="56"/>
        <v>SULAWESI UTARA</v>
      </c>
      <c r="N136" s="65" t="s">
        <v>105</v>
      </c>
      <c r="O136" s="66" t="s">
        <v>118</v>
      </c>
      <c r="P136" s="65" t="s">
        <v>119</v>
      </c>
      <c r="Q136" s="66">
        <v>95717</v>
      </c>
      <c r="R136" s="67"/>
      <c r="S136" s="68"/>
      <c r="T136" s="74"/>
      <c r="U136" s="74"/>
      <c r="V136" s="74"/>
      <c r="W136" s="65" t="s">
        <v>105</v>
      </c>
      <c r="X136" s="64"/>
      <c r="Y136" s="64" t="s">
        <v>106</v>
      </c>
      <c r="Z136" s="64" t="str">
        <f t="shared" si="36"/>
        <v>KELURAHAN POYOWA BESAR SATU KOTAMOBAGU</v>
      </c>
      <c r="AA136" s="65"/>
      <c r="AB136" s="65"/>
      <c r="AC136" s="65" t="s">
        <v>70</v>
      </c>
      <c r="AD136" s="64" t="str">
        <f t="shared" si="57"/>
        <v>POYOWA BESAR</v>
      </c>
      <c r="AE136" s="75"/>
      <c r="AF136" s="75"/>
      <c r="AG136" s="75"/>
      <c r="AH136" s="75"/>
      <c r="AI136" s="69"/>
      <c r="AJ136" s="11" t="s">
        <v>741</v>
      </c>
      <c r="AK136" s="65" t="s">
        <v>96</v>
      </c>
      <c r="AL136" s="65"/>
      <c r="AM136" s="176"/>
      <c r="AN136" s="176"/>
      <c r="AO136" s="176"/>
      <c r="AP136" s="176"/>
      <c r="AQ136" s="186" t="s">
        <v>97</v>
      </c>
      <c r="AR136" s="70" t="str">
        <f t="shared" ref="AR136:AR198" si="67">AR135</f>
        <v>KTG.100.0101</v>
      </c>
      <c r="AS136" s="71" t="str">
        <f t="shared" si="33"/>
        <v>KPBS-2.020</v>
      </c>
      <c r="AT136" s="71" t="str">
        <f t="shared" si="33"/>
        <v>B01</v>
      </c>
      <c r="AU136" s="72"/>
      <c r="AV136" s="202">
        <v>0.70986623279999905</v>
      </c>
      <c r="AW136" s="202">
        <v>124.32524119990001</v>
      </c>
      <c r="AX136" s="65" t="s">
        <v>98</v>
      </c>
      <c r="AY136" s="65" t="s">
        <v>94</v>
      </c>
      <c r="AZ136" s="65" t="s">
        <v>94</v>
      </c>
      <c r="BA136" s="73" t="s">
        <v>77</v>
      </c>
      <c r="BB136" s="65" t="s">
        <v>98</v>
      </c>
      <c r="BC136" s="65">
        <v>31</v>
      </c>
      <c r="BD136" s="65" t="s">
        <v>98</v>
      </c>
      <c r="BE136" s="211" t="str">
        <f t="shared" si="40"/>
        <v>543, POYOWA BESAR,</v>
      </c>
    </row>
    <row r="137" spans="1:57" s="211" customFormat="1" ht="15.75" customHeight="1">
      <c r="A137" s="224"/>
      <c r="B137" s="225"/>
      <c r="C137" s="225"/>
      <c r="D137" s="225"/>
      <c r="E137" s="225"/>
      <c r="F137" s="225"/>
      <c r="G137" s="226"/>
      <c r="H137" s="23">
        <v>13</v>
      </c>
      <c r="I137" s="64" t="str">
        <f t="shared" si="56"/>
        <v>MR.KPBS.P065</v>
      </c>
      <c r="J137" s="64">
        <f t="shared" si="56"/>
        <v>0.71012900000000001</v>
      </c>
      <c r="K137" s="64">
        <f t="shared" si="56"/>
        <v>124.325401</v>
      </c>
      <c r="L137" s="64" t="str">
        <f t="shared" si="56"/>
        <v>JL. RAYA POYOWA BESAR</v>
      </c>
      <c r="M137" s="64" t="str">
        <f t="shared" si="56"/>
        <v>SULAWESI UTARA</v>
      </c>
      <c r="N137" s="65" t="s">
        <v>105</v>
      </c>
      <c r="O137" s="66" t="s">
        <v>118</v>
      </c>
      <c r="P137" s="65" t="s">
        <v>119</v>
      </c>
      <c r="Q137" s="66">
        <v>95717</v>
      </c>
      <c r="R137" s="67"/>
      <c r="S137" s="68"/>
      <c r="T137" s="68"/>
      <c r="U137" s="68"/>
      <c r="V137" s="68"/>
      <c r="W137" s="65" t="s">
        <v>105</v>
      </c>
      <c r="X137" s="64"/>
      <c r="Y137" s="64" t="s">
        <v>106</v>
      </c>
      <c r="Z137" s="64" t="str">
        <f t="shared" ref="Z137:Z199" si="68">Z136</f>
        <v>KELURAHAN POYOWA BESAR SATU KOTAMOBAGU</v>
      </c>
      <c r="AA137" s="65"/>
      <c r="AB137" s="65"/>
      <c r="AC137" s="65" t="s">
        <v>70</v>
      </c>
      <c r="AD137" s="64" t="str">
        <f t="shared" si="57"/>
        <v>POYOWA BESAR</v>
      </c>
      <c r="AE137" s="67"/>
      <c r="AF137" s="67"/>
      <c r="AG137" s="67"/>
      <c r="AH137" s="67"/>
      <c r="AI137" s="69"/>
      <c r="AJ137" s="11" t="s">
        <v>742</v>
      </c>
      <c r="AK137" s="65" t="s">
        <v>96</v>
      </c>
      <c r="AL137" s="65"/>
      <c r="AM137" s="65"/>
      <c r="AN137" s="65"/>
      <c r="AO137" s="65"/>
      <c r="AP137" s="65"/>
      <c r="AQ137" s="177" t="s">
        <v>97</v>
      </c>
      <c r="AR137" s="70" t="str">
        <f t="shared" si="67"/>
        <v>KTG.100.0101</v>
      </c>
      <c r="AS137" s="71" t="str">
        <f t="shared" ref="AS137:AT197" si="69">AS136</f>
        <v>KPBS-2.020</v>
      </c>
      <c r="AT137" s="71" t="str">
        <f t="shared" si="69"/>
        <v>B01</v>
      </c>
      <c r="AU137" s="72"/>
      <c r="AV137" s="202">
        <v>0.71023859850000004</v>
      </c>
      <c r="AW137" s="202">
        <v>124.32511526739999</v>
      </c>
      <c r="AX137" s="65" t="s">
        <v>98</v>
      </c>
      <c r="AY137" s="65" t="s">
        <v>94</v>
      </c>
      <c r="AZ137" s="65" t="s">
        <v>94</v>
      </c>
      <c r="BA137" s="73" t="s">
        <v>77</v>
      </c>
      <c r="BB137" s="65" t="s">
        <v>98</v>
      </c>
      <c r="BC137" s="65">
        <v>31</v>
      </c>
      <c r="BD137" s="65" t="s">
        <v>98</v>
      </c>
      <c r="BE137" s="211" t="str">
        <f t="shared" si="40"/>
        <v>531, POYOWA BESAR,</v>
      </c>
    </row>
    <row r="138" spans="1:57" s="211" customFormat="1" ht="15.75" customHeight="1">
      <c r="A138" s="224"/>
      <c r="B138" s="225"/>
      <c r="C138" s="225"/>
      <c r="D138" s="225"/>
      <c r="E138" s="225"/>
      <c r="F138" s="225"/>
      <c r="G138" s="226"/>
      <c r="H138" s="23">
        <v>14</v>
      </c>
      <c r="I138" s="64" t="str">
        <f t="shared" si="56"/>
        <v>MR.KPBS.P065</v>
      </c>
      <c r="J138" s="64">
        <f t="shared" si="56"/>
        <v>0.71012900000000001</v>
      </c>
      <c r="K138" s="64">
        <f t="shared" si="56"/>
        <v>124.325401</v>
      </c>
      <c r="L138" s="64" t="str">
        <f t="shared" si="56"/>
        <v>JL. RAYA POYOWA BESAR</v>
      </c>
      <c r="M138" s="64" t="str">
        <f t="shared" si="56"/>
        <v>SULAWESI UTARA</v>
      </c>
      <c r="N138" s="65" t="s">
        <v>105</v>
      </c>
      <c r="O138" s="66" t="s">
        <v>118</v>
      </c>
      <c r="P138" s="65" t="s">
        <v>119</v>
      </c>
      <c r="Q138" s="66">
        <v>95717</v>
      </c>
      <c r="R138" s="67"/>
      <c r="S138" s="68"/>
      <c r="T138" s="68"/>
      <c r="U138" s="68"/>
      <c r="V138" s="68"/>
      <c r="W138" s="64" t="s">
        <v>105</v>
      </c>
      <c r="X138" s="64"/>
      <c r="Y138" s="64" t="s">
        <v>106</v>
      </c>
      <c r="Z138" s="64" t="str">
        <f t="shared" si="68"/>
        <v>KELURAHAN POYOWA BESAR SATU KOTAMOBAGU</v>
      </c>
      <c r="AA138" s="65"/>
      <c r="AB138" s="65"/>
      <c r="AC138" s="65" t="s">
        <v>70</v>
      </c>
      <c r="AD138" s="64" t="str">
        <f t="shared" si="57"/>
        <v>POYOWA BESAR</v>
      </c>
      <c r="AE138" s="67"/>
      <c r="AF138" s="67"/>
      <c r="AG138" s="67"/>
      <c r="AH138" s="67"/>
      <c r="AI138" s="69"/>
      <c r="AJ138" s="11" t="s">
        <v>743</v>
      </c>
      <c r="AK138" s="65" t="s">
        <v>96</v>
      </c>
      <c r="AL138" s="65"/>
      <c r="AM138" s="65"/>
      <c r="AN138" s="65"/>
      <c r="AO138" s="65"/>
      <c r="AP138" s="65"/>
      <c r="AQ138" s="177" t="s">
        <v>97</v>
      </c>
      <c r="AR138" s="70" t="str">
        <f t="shared" si="67"/>
        <v>KTG.100.0101</v>
      </c>
      <c r="AS138" s="71" t="str">
        <f t="shared" si="69"/>
        <v>KPBS-2.020</v>
      </c>
      <c r="AT138" s="71" t="str">
        <f t="shared" si="69"/>
        <v>B01</v>
      </c>
      <c r="AU138" s="72"/>
      <c r="AV138" s="202">
        <v>0.71019411249999997</v>
      </c>
      <c r="AW138" s="202">
        <v>124.3250235265</v>
      </c>
      <c r="AX138" s="65" t="s">
        <v>98</v>
      </c>
      <c r="AY138" s="65" t="s">
        <v>94</v>
      </c>
      <c r="AZ138" s="65" t="s">
        <v>94</v>
      </c>
      <c r="BA138" s="73" t="s">
        <v>77</v>
      </c>
      <c r="BB138" s="65" t="s">
        <v>98</v>
      </c>
      <c r="BC138" s="65">
        <v>31</v>
      </c>
      <c r="BD138" s="65" t="s">
        <v>98</v>
      </c>
      <c r="BE138" s="211" t="str">
        <f t="shared" si="40"/>
        <v>530, POYOWA BESAR,</v>
      </c>
    </row>
    <row r="139" spans="1:57" s="211" customFormat="1" ht="15.75" customHeight="1">
      <c r="A139" s="224"/>
      <c r="B139" s="225"/>
      <c r="C139" s="225"/>
      <c r="D139" s="225"/>
      <c r="E139" s="225"/>
      <c r="F139" s="225"/>
      <c r="G139" s="226"/>
      <c r="H139" s="23">
        <v>15</v>
      </c>
      <c r="I139" s="64" t="str">
        <f t="shared" si="56"/>
        <v>MR.KPBS.P065</v>
      </c>
      <c r="J139" s="64">
        <f t="shared" si="56"/>
        <v>0.71012900000000001</v>
      </c>
      <c r="K139" s="64">
        <f t="shared" si="56"/>
        <v>124.325401</v>
      </c>
      <c r="L139" s="64" t="str">
        <f t="shared" si="56"/>
        <v>JL. RAYA POYOWA BESAR</v>
      </c>
      <c r="M139" s="64" t="str">
        <f t="shared" si="56"/>
        <v>SULAWESI UTARA</v>
      </c>
      <c r="N139" s="65" t="s">
        <v>105</v>
      </c>
      <c r="O139" s="66" t="s">
        <v>118</v>
      </c>
      <c r="P139" s="65" t="s">
        <v>119</v>
      </c>
      <c r="Q139" s="66">
        <v>95717</v>
      </c>
      <c r="R139" s="67"/>
      <c r="S139" s="68"/>
      <c r="T139" s="68"/>
      <c r="U139" s="68"/>
      <c r="V139" s="68"/>
      <c r="W139" s="64" t="s">
        <v>105</v>
      </c>
      <c r="X139" s="64"/>
      <c r="Y139" s="64" t="s">
        <v>106</v>
      </c>
      <c r="Z139" s="64" t="str">
        <f t="shared" si="68"/>
        <v>KELURAHAN POYOWA BESAR SATU KOTAMOBAGU</v>
      </c>
      <c r="AA139" s="65"/>
      <c r="AB139" s="65"/>
      <c r="AC139" s="65" t="s">
        <v>70</v>
      </c>
      <c r="AD139" s="64" t="str">
        <f t="shared" si="57"/>
        <v>POYOWA BESAR</v>
      </c>
      <c r="AE139" s="67"/>
      <c r="AF139" s="67"/>
      <c r="AG139" s="67"/>
      <c r="AH139" s="67"/>
      <c r="AI139" s="69"/>
      <c r="AJ139" s="11" t="s">
        <v>744</v>
      </c>
      <c r="AK139" s="65" t="s">
        <v>96</v>
      </c>
      <c r="AL139" s="65"/>
      <c r="AM139" s="65"/>
      <c r="AN139" s="65"/>
      <c r="AO139" s="65"/>
      <c r="AP139" s="65"/>
      <c r="AQ139" s="177" t="s">
        <v>97</v>
      </c>
      <c r="AR139" s="70" t="str">
        <f t="shared" si="67"/>
        <v>KTG.100.0101</v>
      </c>
      <c r="AS139" s="71" t="str">
        <f t="shared" si="69"/>
        <v>KPBS-2.020</v>
      </c>
      <c r="AT139" s="71" t="str">
        <f t="shared" si="69"/>
        <v>B01</v>
      </c>
      <c r="AU139" s="72"/>
      <c r="AV139" s="202">
        <v>0.70982913039999995</v>
      </c>
      <c r="AW139" s="202">
        <v>124.32515833710001</v>
      </c>
      <c r="AX139" s="65" t="s">
        <v>98</v>
      </c>
      <c r="AY139" s="65" t="s">
        <v>94</v>
      </c>
      <c r="AZ139" s="65" t="s">
        <v>94</v>
      </c>
      <c r="BA139" s="73" t="s">
        <v>77</v>
      </c>
      <c r="BB139" s="65" t="s">
        <v>98</v>
      </c>
      <c r="BC139" s="65">
        <v>31</v>
      </c>
      <c r="BD139" s="65" t="s">
        <v>98</v>
      </c>
      <c r="BE139" s="211" t="str">
        <f t="shared" si="40"/>
        <v>544, POYOWA BESAR,</v>
      </c>
    </row>
    <row r="140" spans="1:57" s="211" customFormat="1" ht="15.75" customHeight="1">
      <c r="A140" s="224"/>
      <c r="B140" s="225"/>
      <c r="C140" s="225"/>
      <c r="D140" s="225"/>
      <c r="E140" s="225"/>
      <c r="F140" s="225"/>
      <c r="G140" s="226"/>
      <c r="H140" s="23">
        <v>16</v>
      </c>
      <c r="I140" s="64" t="str">
        <f t="shared" si="56"/>
        <v>MR.KPBS.P065</v>
      </c>
      <c r="J140" s="64">
        <f t="shared" si="56"/>
        <v>0.71012900000000001</v>
      </c>
      <c r="K140" s="64">
        <f t="shared" si="56"/>
        <v>124.325401</v>
      </c>
      <c r="L140" s="64" t="str">
        <f t="shared" si="56"/>
        <v>JL. RAYA POYOWA BESAR</v>
      </c>
      <c r="M140" s="64" t="str">
        <f t="shared" si="56"/>
        <v>SULAWESI UTARA</v>
      </c>
      <c r="N140" s="65" t="s">
        <v>105</v>
      </c>
      <c r="O140" s="66" t="s">
        <v>118</v>
      </c>
      <c r="P140" s="65" t="s">
        <v>119</v>
      </c>
      <c r="Q140" s="66">
        <v>95717</v>
      </c>
      <c r="R140" s="67"/>
      <c r="S140" s="68"/>
      <c r="T140" s="68"/>
      <c r="U140" s="68"/>
      <c r="V140" s="68"/>
      <c r="W140" s="64" t="s">
        <v>105</v>
      </c>
      <c r="X140" s="64"/>
      <c r="Y140" s="64" t="s">
        <v>106</v>
      </c>
      <c r="Z140" s="64" t="str">
        <f t="shared" si="68"/>
        <v>KELURAHAN POYOWA BESAR SATU KOTAMOBAGU</v>
      </c>
      <c r="AA140" s="65"/>
      <c r="AB140" s="65"/>
      <c r="AC140" s="65" t="s">
        <v>70</v>
      </c>
      <c r="AD140" s="64" t="str">
        <f t="shared" si="57"/>
        <v>POYOWA BESAR</v>
      </c>
      <c r="AE140" s="67"/>
      <c r="AF140" s="67"/>
      <c r="AG140" s="67"/>
      <c r="AH140" s="67"/>
      <c r="AI140" s="69"/>
      <c r="AJ140" s="11" t="s">
        <v>745</v>
      </c>
      <c r="AK140" s="65" t="s">
        <v>96</v>
      </c>
      <c r="AL140" s="65"/>
      <c r="AM140" s="65"/>
      <c r="AN140" s="65"/>
      <c r="AO140" s="65"/>
      <c r="AP140" s="65"/>
      <c r="AQ140" s="177" t="s">
        <v>97</v>
      </c>
      <c r="AR140" s="70" t="str">
        <f t="shared" si="67"/>
        <v>KTG.100.0101</v>
      </c>
      <c r="AS140" s="71" t="str">
        <f t="shared" si="69"/>
        <v>KPBS-2.020</v>
      </c>
      <c r="AT140" s="71" t="str">
        <f t="shared" si="69"/>
        <v>B01</v>
      </c>
      <c r="AU140" s="72"/>
      <c r="AV140" s="202">
        <v>0.71013183829999904</v>
      </c>
      <c r="AW140" s="202">
        <v>124.3249791357</v>
      </c>
      <c r="AX140" s="65" t="s">
        <v>98</v>
      </c>
      <c r="AY140" s="65" t="s">
        <v>94</v>
      </c>
      <c r="AZ140" s="65" t="s">
        <v>94</v>
      </c>
      <c r="BA140" s="73" t="s">
        <v>77</v>
      </c>
      <c r="BB140" s="65" t="s">
        <v>98</v>
      </c>
      <c r="BC140" s="65">
        <v>31</v>
      </c>
      <c r="BD140" s="65" t="s">
        <v>98</v>
      </c>
      <c r="BE140" s="211" t="str">
        <f t="shared" si="40"/>
        <v>529, POYOWA BESAR,</v>
      </c>
    </row>
    <row r="141" spans="1:57" s="211" customFormat="1" ht="15.75" customHeight="1">
      <c r="A141" s="36" t="s">
        <v>78</v>
      </c>
      <c r="B141" s="36">
        <f>B125+1</f>
        <v>10</v>
      </c>
      <c r="C141" s="33" t="s">
        <v>99</v>
      </c>
      <c r="D141" s="37" t="s">
        <v>351</v>
      </c>
      <c r="E141" s="38">
        <v>1</v>
      </c>
      <c r="F141" s="39">
        <f>F126+1</f>
        <v>3</v>
      </c>
      <c r="G141" s="213" t="s">
        <v>81</v>
      </c>
      <c r="H141" s="35">
        <v>1</v>
      </c>
      <c r="I141" s="48" t="s">
        <v>961</v>
      </c>
      <c r="J141" s="54">
        <v>0.709901</v>
      </c>
      <c r="K141" s="54">
        <v>124.32489700000001</v>
      </c>
      <c r="L141" s="116" t="s">
        <v>116</v>
      </c>
      <c r="M141" s="56" t="str">
        <f t="shared" si="56"/>
        <v>SULAWESI UTARA</v>
      </c>
      <c r="N141" s="76" t="s">
        <v>105</v>
      </c>
      <c r="O141" s="49" t="s">
        <v>118</v>
      </c>
      <c r="P141" s="76" t="s">
        <v>119</v>
      </c>
      <c r="Q141" s="49">
        <v>95717</v>
      </c>
      <c r="R141" s="51"/>
      <c r="S141" s="52"/>
      <c r="T141" s="53"/>
      <c r="U141" s="52"/>
      <c r="V141" s="53"/>
      <c r="W141" s="50" t="s">
        <v>105</v>
      </c>
      <c r="X141" s="54"/>
      <c r="Y141" s="56" t="s">
        <v>106</v>
      </c>
      <c r="Z141" s="56" t="str">
        <f t="shared" si="68"/>
        <v>KELURAHAN POYOWA BESAR SATU KOTAMOBAGU</v>
      </c>
      <c r="AA141" s="55"/>
      <c r="AB141" s="55"/>
      <c r="AC141" s="55" t="s">
        <v>70</v>
      </c>
      <c r="AD141" s="116" t="s">
        <v>119</v>
      </c>
      <c r="AE141" s="57"/>
      <c r="AF141" s="57"/>
      <c r="AG141" s="57"/>
      <c r="AH141" s="57"/>
      <c r="AI141" s="58"/>
      <c r="AJ141" s="114" t="s">
        <v>746</v>
      </c>
      <c r="AK141" s="55" t="s">
        <v>96</v>
      </c>
      <c r="AL141" s="62"/>
      <c r="AM141" s="184"/>
      <c r="AN141" s="184"/>
      <c r="AO141" s="184"/>
      <c r="AP141" s="184"/>
      <c r="AQ141" s="185" t="s">
        <v>97</v>
      </c>
      <c r="AR141" s="59" t="str">
        <f t="shared" si="67"/>
        <v>KTG.100.0101</v>
      </c>
      <c r="AS141" s="60" t="str">
        <f>AS109</f>
        <v>KPBS-2.020</v>
      </c>
      <c r="AT141" s="60" t="str">
        <f>G141</f>
        <v>B02</v>
      </c>
      <c r="AU141" s="61"/>
      <c r="AV141" s="201">
        <v>0.71010069809999998</v>
      </c>
      <c r="AW141" s="201">
        <v>124.3249199481</v>
      </c>
      <c r="AX141" s="62" t="s">
        <v>98</v>
      </c>
      <c r="AY141" s="62" t="s">
        <v>94</v>
      </c>
      <c r="AZ141" s="62" t="s">
        <v>94</v>
      </c>
      <c r="BA141" s="63" t="s">
        <v>77</v>
      </c>
      <c r="BB141" s="62" t="s">
        <v>98</v>
      </c>
      <c r="BC141" s="62">
        <v>31</v>
      </c>
      <c r="BD141" s="62" t="s">
        <v>98</v>
      </c>
      <c r="BE141" s="211" t="str">
        <f t="shared" si="40"/>
        <v>528, POYOWA BESAR,</v>
      </c>
    </row>
    <row r="142" spans="1:57" s="211" customFormat="1" ht="15.75" customHeight="1">
      <c r="A142" s="46"/>
      <c r="B142" s="46"/>
      <c r="C142" s="22" t="s">
        <v>99</v>
      </c>
      <c r="D142" s="22" t="s">
        <v>351</v>
      </c>
      <c r="E142" s="33">
        <v>1</v>
      </c>
      <c r="F142" s="47">
        <f>F141+1</f>
        <v>4</v>
      </c>
      <c r="G142" s="214"/>
      <c r="H142" s="23">
        <v>2</v>
      </c>
      <c r="I142" s="64" t="str">
        <f t="shared" ref="I142:M154" si="70">I141</f>
        <v>MR.KPBS.P067</v>
      </c>
      <c r="J142" s="64">
        <f t="shared" si="70"/>
        <v>0.709901</v>
      </c>
      <c r="K142" s="64">
        <f t="shared" si="70"/>
        <v>124.32489700000001</v>
      </c>
      <c r="L142" s="64" t="str">
        <f t="shared" si="70"/>
        <v>JL. RAYA POYOWA BESAR</v>
      </c>
      <c r="M142" s="64" t="str">
        <f t="shared" si="56"/>
        <v>SULAWESI UTARA</v>
      </c>
      <c r="N142" s="65" t="s">
        <v>105</v>
      </c>
      <c r="O142" s="66" t="s">
        <v>118</v>
      </c>
      <c r="P142" s="65" t="s">
        <v>119</v>
      </c>
      <c r="Q142" s="66">
        <v>95717</v>
      </c>
      <c r="R142" s="67"/>
      <c r="S142" s="68"/>
      <c r="T142" s="68"/>
      <c r="U142" s="68"/>
      <c r="V142" s="68"/>
      <c r="W142" s="65" t="s">
        <v>105</v>
      </c>
      <c r="X142" s="64"/>
      <c r="Y142" s="64" t="s">
        <v>106</v>
      </c>
      <c r="Z142" s="64" t="str">
        <f t="shared" si="68"/>
        <v>KELURAHAN POYOWA BESAR SATU KOTAMOBAGU</v>
      </c>
      <c r="AA142" s="65"/>
      <c r="AB142" s="65"/>
      <c r="AC142" s="65" t="s">
        <v>70</v>
      </c>
      <c r="AD142" s="64" t="str">
        <f t="shared" ref="AD142:AD154" si="71">AD141</f>
        <v>POYOWA BESAR</v>
      </c>
      <c r="AE142" s="67"/>
      <c r="AF142" s="67"/>
      <c r="AG142" s="67"/>
      <c r="AH142" s="67"/>
      <c r="AI142" s="69"/>
      <c r="AJ142" s="11" t="s">
        <v>747</v>
      </c>
      <c r="AK142" s="65" t="s">
        <v>96</v>
      </c>
      <c r="AL142" s="65"/>
      <c r="AM142" s="176"/>
      <c r="AN142" s="176"/>
      <c r="AO142" s="176"/>
      <c r="AP142" s="176"/>
      <c r="AQ142" s="177" t="s">
        <v>97</v>
      </c>
      <c r="AR142" s="70" t="str">
        <f t="shared" si="67"/>
        <v>KTG.100.0101</v>
      </c>
      <c r="AS142" s="71" t="str">
        <f t="shared" si="69"/>
        <v>KPBS-2.020</v>
      </c>
      <c r="AT142" s="71" t="str">
        <f t="shared" si="69"/>
        <v>B02</v>
      </c>
      <c r="AU142" s="72"/>
      <c r="AV142" s="202">
        <v>0.70980540459999897</v>
      </c>
      <c r="AW142" s="202">
        <v>124.3250769541</v>
      </c>
      <c r="AX142" s="65" t="s">
        <v>98</v>
      </c>
      <c r="AY142" s="65" t="s">
        <v>94</v>
      </c>
      <c r="AZ142" s="65" t="s">
        <v>94</v>
      </c>
      <c r="BA142" s="73" t="s">
        <v>77</v>
      </c>
      <c r="BB142" s="65" t="s">
        <v>98</v>
      </c>
      <c r="BC142" s="65">
        <v>31</v>
      </c>
      <c r="BD142" s="65" t="s">
        <v>98</v>
      </c>
      <c r="BE142" s="211" t="str">
        <f t="shared" si="40"/>
        <v>545, POYOWA BESAR,</v>
      </c>
    </row>
    <row r="143" spans="1:57" s="211" customFormat="1" ht="15.75" customHeight="1">
      <c r="A143" s="221"/>
      <c r="B143" s="222"/>
      <c r="C143" s="222"/>
      <c r="D143" s="222"/>
      <c r="E143" s="222"/>
      <c r="F143" s="222"/>
      <c r="G143" s="223"/>
      <c r="H143" s="23">
        <v>3</v>
      </c>
      <c r="I143" s="64" t="str">
        <f t="shared" si="70"/>
        <v>MR.KPBS.P067</v>
      </c>
      <c r="J143" s="64">
        <f t="shared" si="70"/>
        <v>0.709901</v>
      </c>
      <c r="K143" s="64">
        <f t="shared" si="70"/>
        <v>124.32489700000001</v>
      </c>
      <c r="L143" s="64" t="str">
        <f t="shared" si="70"/>
        <v>JL. RAYA POYOWA BESAR</v>
      </c>
      <c r="M143" s="64" t="str">
        <f t="shared" si="56"/>
        <v>SULAWESI UTARA</v>
      </c>
      <c r="N143" s="65" t="s">
        <v>105</v>
      </c>
      <c r="O143" s="66" t="s">
        <v>118</v>
      </c>
      <c r="P143" s="65" t="s">
        <v>119</v>
      </c>
      <c r="Q143" s="66">
        <v>95717</v>
      </c>
      <c r="R143" s="67"/>
      <c r="S143" s="68"/>
      <c r="T143" s="68"/>
      <c r="U143" s="68"/>
      <c r="V143" s="68"/>
      <c r="W143" s="65" t="s">
        <v>105</v>
      </c>
      <c r="X143" s="64"/>
      <c r="Y143" s="64" t="s">
        <v>106</v>
      </c>
      <c r="Z143" s="64" t="str">
        <f t="shared" si="68"/>
        <v>KELURAHAN POYOWA BESAR SATU KOTAMOBAGU</v>
      </c>
      <c r="AA143" s="65"/>
      <c r="AB143" s="65"/>
      <c r="AC143" s="65" t="s">
        <v>70</v>
      </c>
      <c r="AD143" s="64" t="str">
        <f t="shared" si="71"/>
        <v>POYOWA BESAR</v>
      </c>
      <c r="AE143" s="67"/>
      <c r="AF143" s="67"/>
      <c r="AG143" s="67"/>
      <c r="AH143" s="67"/>
      <c r="AI143" s="69"/>
      <c r="AJ143" s="11" t="s">
        <v>748</v>
      </c>
      <c r="AK143" s="65" t="s">
        <v>96</v>
      </c>
      <c r="AL143" s="65"/>
      <c r="AM143" s="176"/>
      <c r="AN143" s="176"/>
      <c r="AO143" s="176"/>
      <c r="AP143" s="176"/>
      <c r="AQ143" s="177" t="s">
        <v>97</v>
      </c>
      <c r="AR143" s="70" t="str">
        <f t="shared" si="67"/>
        <v>KTG.100.0101</v>
      </c>
      <c r="AS143" s="71" t="str">
        <f t="shared" si="69"/>
        <v>KPBS-2.020</v>
      </c>
      <c r="AT143" s="71" t="str">
        <f t="shared" si="69"/>
        <v>B02</v>
      </c>
      <c r="AU143" s="72"/>
      <c r="AV143" s="202">
        <v>0.70975650690000003</v>
      </c>
      <c r="AW143" s="202">
        <v>124.3250014899</v>
      </c>
      <c r="AX143" s="65" t="s">
        <v>98</v>
      </c>
      <c r="AY143" s="65" t="s">
        <v>94</v>
      </c>
      <c r="AZ143" s="65" t="s">
        <v>94</v>
      </c>
      <c r="BA143" s="73" t="s">
        <v>77</v>
      </c>
      <c r="BB143" s="65" t="s">
        <v>98</v>
      </c>
      <c r="BC143" s="65">
        <v>31</v>
      </c>
      <c r="BD143" s="65" t="s">
        <v>98</v>
      </c>
      <c r="BE143" s="211" t="str">
        <f t="shared" si="40"/>
        <v>546, POYOWA BESAR,</v>
      </c>
    </row>
    <row r="144" spans="1:57" s="211" customFormat="1" ht="15.75" customHeight="1">
      <c r="A144" s="224"/>
      <c r="B144" s="225"/>
      <c r="C144" s="225"/>
      <c r="D144" s="225"/>
      <c r="E144" s="225"/>
      <c r="F144" s="225"/>
      <c r="G144" s="226"/>
      <c r="H144" s="23">
        <v>4</v>
      </c>
      <c r="I144" s="64" t="str">
        <f t="shared" si="70"/>
        <v>MR.KPBS.P067</v>
      </c>
      <c r="J144" s="64">
        <f t="shared" si="70"/>
        <v>0.709901</v>
      </c>
      <c r="K144" s="64">
        <f t="shared" si="70"/>
        <v>124.32489700000001</v>
      </c>
      <c r="L144" s="64" t="str">
        <f t="shared" si="70"/>
        <v>JL. RAYA POYOWA BESAR</v>
      </c>
      <c r="M144" s="64" t="str">
        <f t="shared" si="56"/>
        <v>SULAWESI UTARA</v>
      </c>
      <c r="N144" s="65" t="s">
        <v>105</v>
      </c>
      <c r="O144" s="66" t="s">
        <v>118</v>
      </c>
      <c r="P144" s="65" t="s">
        <v>119</v>
      </c>
      <c r="Q144" s="66">
        <v>95717</v>
      </c>
      <c r="R144" s="67"/>
      <c r="S144" s="68"/>
      <c r="T144" s="68"/>
      <c r="U144" s="68"/>
      <c r="V144" s="68"/>
      <c r="W144" s="65" t="s">
        <v>105</v>
      </c>
      <c r="X144" s="64"/>
      <c r="Y144" s="64" t="s">
        <v>106</v>
      </c>
      <c r="Z144" s="64" t="str">
        <f t="shared" si="68"/>
        <v>KELURAHAN POYOWA BESAR SATU KOTAMOBAGU</v>
      </c>
      <c r="AA144" s="65"/>
      <c r="AB144" s="65"/>
      <c r="AC144" s="65" t="s">
        <v>70</v>
      </c>
      <c r="AD144" s="64" t="str">
        <f t="shared" si="71"/>
        <v>POYOWA BESAR</v>
      </c>
      <c r="AE144" s="67"/>
      <c r="AF144" s="67"/>
      <c r="AG144" s="67"/>
      <c r="AH144" s="67"/>
      <c r="AI144" s="69"/>
      <c r="AJ144" s="11" t="s">
        <v>749</v>
      </c>
      <c r="AK144" s="65" t="s">
        <v>96</v>
      </c>
      <c r="AL144" s="65"/>
      <c r="AM144" s="176"/>
      <c r="AN144" s="176"/>
      <c r="AO144" s="176"/>
      <c r="AP144" s="176"/>
      <c r="AQ144" s="177" t="s">
        <v>97</v>
      </c>
      <c r="AR144" s="70" t="str">
        <f t="shared" si="67"/>
        <v>KTG.100.0101</v>
      </c>
      <c r="AS144" s="71" t="str">
        <f t="shared" si="69"/>
        <v>KPBS-2.020</v>
      </c>
      <c r="AT144" s="71" t="str">
        <f t="shared" si="69"/>
        <v>B02</v>
      </c>
      <c r="AU144" s="72"/>
      <c r="AV144" s="202">
        <v>0.7100665921</v>
      </c>
      <c r="AW144" s="202">
        <v>124.324834126</v>
      </c>
      <c r="AX144" s="65" t="s">
        <v>98</v>
      </c>
      <c r="AY144" s="65" t="s">
        <v>94</v>
      </c>
      <c r="AZ144" s="65" t="s">
        <v>94</v>
      </c>
      <c r="BA144" s="73" t="s">
        <v>77</v>
      </c>
      <c r="BB144" s="65" t="s">
        <v>98</v>
      </c>
      <c r="BC144" s="65">
        <v>31</v>
      </c>
      <c r="BD144" s="65" t="s">
        <v>98</v>
      </c>
      <c r="BE144" s="211" t="str">
        <f t="shared" si="40"/>
        <v>527, POYOWA BESAR,</v>
      </c>
    </row>
    <row r="145" spans="1:57" s="211" customFormat="1" ht="15.75" customHeight="1">
      <c r="A145" s="224"/>
      <c r="B145" s="225"/>
      <c r="C145" s="225"/>
      <c r="D145" s="225"/>
      <c r="E145" s="225"/>
      <c r="F145" s="225"/>
      <c r="G145" s="226"/>
      <c r="H145" s="23">
        <v>5</v>
      </c>
      <c r="I145" s="64" t="str">
        <f t="shared" si="70"/>
        <v>MR.KPBS.P067</v>
      </c>
      <c r="J145" s="64">
        <f t="shared" si="70"/>
        <v>0.709901</v>
      </c>
      <c r="K145" s="64">
        <f t="shared" si="70"/>
        <v>124.32489700000001</v>
      </c>
      <c r="L145" s="64" t="str">
        <f t="shared" si="70"/>
        <v>JL. RAYA POYOWA BESAR</v>
      </c>
      <c r="M145" s="64" t="str">
        <f t="shared" si="56"/>
        <v>SULAWESI UTARA</v>
      </c>
      <c r="N145" s="65" t="s">
        <v>105</v>
      </c>
      <c r="O145" s="66" t="s">
        <v>118</v>
      </c>
      <c r="P145" s="65" t="s">
        <v>119</v>
      </c>
      <c r="Q145" s="66">
        <v>95717</v>
      </c>
      <c r="R145" s="67"/>
      <c r="S145" s="68"/>
      <c r="T145" s="68"/>
      <c r="U145" s="68"/>
      <c r="V145" s="68"/>
      <c r="W145" s="65" t="s">
        <v>105</v>
      </c>
      <c r="X145" s="64"/>
      <c r="Y145" s="64" t="s">
        <v>106</v>
      </c>
      <c r="Z145" s="64" t="str">
        <f t="shared" si="68"/>
        <v>KELURAHAN POYOWA BESAR SATU KOTAMOBAGU</v>
      </c>
      <c r="AA145" s="65"/>
      <c r="AB145" s="65"/>
      <c r="AC145" s="65" t="s">
        <v>70</v>
      </c>
      <c r="AD145" s="64" t="str">
        <f t="shared" si="71"/>
        <v>POYOWA BESAR</v>
      </c>
      <c r="AE145" s="67"/>
      <c r="AF145" s="67"/>
      <c r="AG145" s="67"/>
      <c r="AH145" s="67"/>
      <c r="AI145" s="69"/>
      <c r="AJ145" s="11" t="s">
        <v>750</v>
      </c>
      <c r="AK145" s="65" t="s">
        <v>96</v>
      </c>
      <c r="AL145" s="65"/>
      <c r="AM145" s="176"/>
      <c r="AN145" s="176"/>
      <c r="AO145" s="176"/>
      <c r="AP145" s="176"/>
      <c r="AQ145" s="177" t="s">
        <v>97</v>
      </c>
      <c r="AR145" s="70" t="str">
        <f t="shared" si="67"/>
        <v>KTG.100.0101</v>
      </c>
      <c r="AS145" s="71" t="str">
        <f t="shared" si="69"/>
        <v>KPBS-2.020</v>
      </c>
      <c r="AT145" s="71" t="str">
        <f t="shared" si="69"/>
        <v>B02</v>
      </c>
      <c r="AU145" s="72"/>
      <c r="AV145" s="202">
        <v>0.70972532979999903</v>
      </c>
      <c r="AW145" s="202">
        <v>124.32490678969999</v>
      </c>
      <c r="AX145" s="65" t="s">
        <v>98</v>
      </c>
      <c r="AY145" s="65" t="s">
        <v>94</v>
      </c>
      <c r="AZ145" s="65" t="s">
        <v>94</v>
      </c>
      <c r="BA145" s="73" t="s">
        <v>77</v>
      </c>
      <c r="BB145" s="65" t="s">
        <v>98</v>
      </c>
      <c r="BC145" s="65">
        <v>31</v>
      </c>
      <c r="BD145" s="65" t="s">
        <v>98</v>
      </c>
      <c r="BE145" s="211" t="str">
        <f t="shared" si="40"/>
        <v>547, POYOWA BESAR,</v>
      </c>
    </row>
    <row r="146" spans="1:57" s="211" customFormat="1" ht="15.75" customHeight="1">
      <c r="A146" s="224"/>
      <c r="B146" s="225"/>
      <c r="C146" s="225"/>
      <c r="D146" s="225"/>
      <c r="E146" s="225"/>
      <c r="F146" s="225"/>
      <c r="G146" s="226"/>
      <c r="H146" s="23">
        <v>6</v>
      </c>
      <c r="I146" s="64" t="str">
        <f t="shared" si="70"/>
        <v>MR.KPBS.P067</v>
      </c>
      <c r="J146" s="64">
        <f t="shared" si="70"/>
        <v>0.709901</v>
      </c>
      <c r="K146" s="64">
        <f t="shared" si="70"/>
        <v>124.32489700000001</v>
      </c>
      <c r="L146" s="64" t="str">
        <f t="shared" si="70"/>
        <v>JL. RAYA POYOWA BESAR</v>
      </c>
      <c r="M146" s="64" t="str">
        <f t="shared" si="56"/>
        <v>SULAWESI UTARA</v>
      </c>
      <c r="N146" s="65" t="s">
        <v>105</v>
      </c>
      <c r="O146" s="66" t="s">
        <v>118</v>
      </c>
      <c r="P146" s="65" t="s">
        <v>119</v>
      </c>
      <c r="Q146" s="66">
        <v>95717</v>
      </c>
      <c r="R146" s="67"/>
      <c r="S146" s="68"/>
      <c r="T146" s="74"/>
      <c r="U146" s="74"/>
      <c r="V146" s="74"/>
      <c r="W146" s="65" t="s">
        <v>105</v>
      </c>
      <c r="X146" s="64"/>
      <c r="Y146" s="64" t="s">
        <v>106</v>
      </c>
      <c r="Z146" s="64" t="str">
        <f t="shared" si="68"/>
        <v>KELURAHAN POYOWA BESAR SATU KOTAMOBAGU</v>
      </c>
      <c r="AA146" s="65"/>
      <c r="AB146" s="65"/>
      <c r="AC146" s="65" t="s">
        <v>70</v>
      </c>
      <c r="AD146" s="64" t="str">
        <f t="shared" si="71"/>
        <v>POYOWA BESAR</v>
      </c>
      <c r="AE146" s="75"/>
      <c r="AF146" s="75"/>
      <c r="AG146" s="75"/>
      <c r="AH146" s="75"/>
      <c r="AI146" s="69"/>
      <c r="AJ146" s="11" t="s">
        <v>751</v>
      </c>
      <c r="AK146" s="65" t="s">
        <v>96</v>
      </c>
      <c r="AL146" s="65"/>
      <c r="AM146" s="176"/>
      <c r="AN146" s="176"/>
      <c r="AO146" s="176"/>
      <c r="AP146" s="176"/>
      <c r="AQ146" s="186" t="s">
        <v>97</v>
      </c>
      <c r="AR146" s="70" t="str">
        <f t="shared" si="67"/>
        <v>KTG.100.0101</v>
      </c>
      <c r="AS146" s="71" t="str">
        <f t="shared" si="69"/>
        <v>KPBS-2.020</v>
      </c>
      <c r="AT146" s="71" t="str">
        <f t="shared" si="69"/>
        <v>B02</v>
      </c>
      <c r="AU146" s="72"/>
      <c r="AV146" s="202">
        <v>0.71003545199999996</v>
      </c>
      <c r="AW146" s="202">
        <v>124.324737946</v>
      </c>
      <c r="AX146" s="65" t="s">
        <v>98</v>
      </c>
      <c r="AY146" s="65" t="s">
        <v>94</v>
      </c>
      <c r="AZ146" s="65" t="s">
        <v>94</v>
      </c>
      <c r="BA146" s="73" t="s">
        <v>77</v>
      </c>
      <c r="BB146" s="65" t="s">
        <v>98</v>
      </c>
      <c r="BC146" s="65">
        <v>31</v>
      </c>
      <c r="BD146" s="65" t="s">
        <v>98</v>
      </c>
      <c r="BE146" s="211" t="str">
        <f t="shared" si="40"/>
        <v>526, POYOWA BESAR,</v>
      </c>
    </row>
    <row r="147" spans="1:57" s="211" customFormat="1" ht="15.75" customHeight="1">
      <c r="A147" s="224"/>
      <c r="B147" s="225"/>
      <c r="C147" s="225"/>
      <c r="D147" s="225"/>
      <c r="E147" s="225"/>
      <c r="F147" s="225"/>
      <c r="G147" s="226"/>
      <c r="H147" s="23">
        <v>7</v>
      </c>
      <c r="I147" s="64" t="str">
        <f t="shared" si="70"/>
        <v>MR.KPBS.P067</v>
      </c>
      <c r="J147" s="64">
        <f t="shared" si="70"/>
        <v>0.709901</v>
      </c>
      <c r="K147" s="64">
        <f t="shared" si="70"/>
        <v>124.32489700000001</v>
      </c>
      <c r="L147" s="64" t="str">
        <f t="shared" si="70"/>
        <v>JL. RAYA POYOWA BESAR</v>
      </c>
      <c r="M147" s="64" t="str">
        <f t="shared" si="56"/>
        <v>SULAWESI UTARA</v>
      </c>
      <c r="N147" s="65" t="s">
        <v>105</v>
      </c>
      <c r="O147" s="66" t="s">
        <v>118</v>
      </c>
      <c r="P147" s="65" t="s">
        <v>119</v>
      </c>
      <c r="Q147" s="66">
        <v>95717</v>
      </c>
      <c r="R147" s="67"/>
      <c r="S147" s="68"/>
      <c r="T147" s="68"/>
      <c r="U147" s="68"/>
      <c r="V147" s="68"/>
      <c r="W147" s="65" t="s">
        <v>105</v>
      </c>
      <c r="X147" s="64"/>
      <c r="Y147" s="64" t="s">
        <v>106</v>
      </c>
      <c r="Z147" s="64" t="str">
        <f t="shared" si="68"/>
        <v>KELURAHAN POYOWA BESAR SATU KOTAMOBAGU</v>
      </c>
      <c r="AA147" s="65"/>
      <c r="AB147" s="65"/>
      <c r="AC147" s="65" t="s">
        <v>70</v>
      </c>
      <c r="AD147" s="64" t="str">
        <f t="shared" si="71"/>
        <v>POYOWA BESAR</v>
      </c>
      <c r="AE147" s="67"/>
      <c r="AF147" s="67"/>
      <c r="AG147" s="67"/>
      <c r="AH147" s="67"/>
      <c r="AI147" s="69"/>
      <c r="AJ147" s="11" t="s">
        <v>752</v>
      </c>
      <c r="AK147" s="65" t="s">
        <v>96</v>
      </c>
      <c r="AL147" s="65"/>
      <c r="AM147" s="65"/>
      <c r="AN147" s="65"/>
      <c r="AO147" s="65"/>
      <c r="AP147" s="65"/>
      <c r="AQ147" s="177" t="s">
        <v>97</v>
      </c>
      <c r="AR147" s="70" t="str">
        <f t="shared" si="67"/>
        <v>KTG.100.0101</v>
      </c>
      <c r="AS147" s="71" t="str">
        <f t="shared" si="69"/>
        <v>KPBS-2.020</v>
      </c>
      <c r="AT147" s="71" t="str">
        <f t="shared" si="69"/>
        <v>B02</v>
      </c>
      <c r="AU147" s="72"/>
      <c r="AV147" s="202">
        <v>0.70969570940000004</v>
      </c>
      <c r="AW147" s="202">
        <v>124.3248372441</v>
      </c>
      <c r="AX147" s="65" t="s">
        <v>98</v>
      </c>
      <c r="AY147" s="65" t="s">
        <v>94</v>
      </c>
      <c r="AZ147" s="65" t="s">
        <v>94</v>
      </c>
      <c r="BA147" s="73" t="s">
        <v>77</v>
      </c>
      <c r="BB147" s="65" t="s">
        <v>98</v>
      </c>
      <c r="BC147" s="65">
        <v>31</v>
      </c>
      <c r="BD147" s="65" t="s">
        <v>98</v>
      </c>
      <c r="BE147" s="211" t="str">
        <f t="shared" si="40"/>
        <v>548, POYOWA BESAR,</v>
      </c>
    </row>
    <row r="148" spans="1:57" s="211" customFormat="1" ht="15.75" customHeight="1">
      <c r="A148" s="224"/>
      <c r="B148" s="225"/>
      <c r="C148" s="225"/>
      <c r="D148" s="225"/>
      <c r="E148" s="225"/>
      <c r="F148" s="225"/>
      <c r="G148" s="226"/>
      <c r="H148" s="23">
        <v>8</v>
      </c>
      <c r="I148" s="64" t="str">
        <f t="shared" si="70"/>
        <v>MR.KPBS.P067</v>
      </c>
      <c r="J148" s="64">
        <f t="shared" si="70"/>
        <v>0.709901</v>
      </c>
      <c r="K148" s="64">
        <f t="shared" si="70"/>
        <v>124.32489700000001</v>
      </c>
      <c r="L148" s="64" t="str">
        <f t="shared" si="70"/>
        <v>JL. RAYA POYOWA BESAR</v>
      </c>
      <c r="M148" s="64" t="str">
        <f t="shared" si="70"/>
        <v>SULAWESI UTARA</v>
      </c>
      <c r="N148" s="65" t="s">
        <v>105</v>
      </c>
      <c r="O148" s="66" t="s">
        <v>118</v>
      </c>
      <c r="P148" s="65" t="s">
        <v>119</v>
      </c>
      <c r="Q148" s="66">
        <v>95717</v>
      </c>
      <c r="R148" s="67"/>
      <c r="S148" s="68"/>
      <c r="T148" s="68"/>
      <c r="U148" s="68"/>
      <c r="V148" s="68"/>
      <c r="W148" s="64" t="s">
        <v>105</v>
      </c>
      <c r="X148" s="64"/>
      <c r="Y148" s="64" t="s">
        <v>106</v>
      </c>
      <c r="Z148" s="64" t="str">
        <f t="shared" si="68"/>
        <v>KELURAHAN POYOWA BESAR SATU KOTAMOBAGU</v>
      </c>
      <c r="AA148" s="65"/>
      <c r="AB148" s="65"/>
      <c r="AC148" s="65" t="s">
        <v>70</v>
      </c>
      <c r="AD148" s="64" t="str">
        <f t="shared" si="71"/>
        <v>POYOWA BESAR</v>
      </c>
      <c r="AE148" s="67"/>
      <c r="AF148" s="67"/>
      <c r="AG148" s="67"/>
      <c r="AH148" s="67"/>
      <c r="AI148" s="69"/>
      <c r="AJ148" s="11" t="s">
        <v>753</v>
      </c>
      <c r="AK148" s="65" t="s">
        <v>96</v>
      </c>
      <c r="AL148" s="65"/>
      <c r="AM148" s="65"/>
      <c r="AN148" s="65"/>
      <c r="AO148" s="65"/>
      <c r="AP148" s="65"/>
      <c r="AQ148" s="177" t="s">
        <v>97</v>
      </c>
      <c r="AR148" s="70" t="str">
        <f t="shared" si="67"/>
        <v>KTG.100.0101</v>
      </c>
      <c r="AS148" s="71" t="str">
        <f t="shared" si="69"/>
        <v>KPBS-2.020</v>
      </c>
      <c r="AT148" s="71" t="str">
        <f t="shared" si="69"/>
        <v>B02</v>
      </c>
      <c r="AU148" s="72"/>
      <c r="AV148" s="202">
        <v>0.70999838029999995</v>
      </c>
      <c r="AW148" s="202">
        <v>124.3246624817</v>
      </c>
      <c r="AX148" s="65" t="s">
        <v>98</v>
      </c>
      <c r="AY148" s="65" t="s">
        <v>94</v>
      </c>
      <c r="AZ148" s="65" t="s">
        <v>94</v>
      </c>
      <c r="BA148" s="73" t="s">
        <v>77</v>
      </c>
      <c r="BB148" s="65" t="s">
        <v>98</v>
      </c>
      <c r="BC148" s="65">
        <v>31</v>
      </c>
      <c r="BD148" s="65" t="s">
        <v>98</v>
      </c>
      <c r="BE148" s="211" t="str">
        <f t="shared" si="40"/>
        <v>525, POYOWA BESAR,</v>
      </c>
    </row>
    <row r="149" spans="1:57" s="211" customFormat="1" ht="15.75" customHeight="1">
      <c r="A149" s="224"/>
      <c r="B149" s="225"/>
      <c r="C149" s="225"/>
      <c r="D149" s="225"/>
      <c r="E149" s="225"/>
      <c r="F149" s="225"/>
      <c r="G149" s="226"/>
      <c r="H149" s="23">
        <v>9</v>
      </c>
      <c r="I149" s="64" t="str">
        <f t="shared" si="70"/>
        <v>MR.KPBS.P067</v>
      </c>
      <c r="J149" s="64">
        <f t="shared" si="70"/>
        <v>0.709901</v>
      </c>
      <c r="K149" s="64">
        <f t="shared" si="70"/>
        <v>124.32489700000001</v>
      </c>
      <c r="L149" s="64" t="str">
        <f t="shared" si="70"/>
        <v>JL. RAYA POYOWA BESAR</v>
      </c>
      <c r="M149" s="64" t="str">
        <f t="shared" si="70"/>
        <v>SULAWESI UTARA</v>
      </c>
      <c r="N149" s="65" t="s">
        <v>105</v>
      </c>
      <c r="O149" s="66" t="s">
        <v>118</v>
      </c>
      <c r="P149" s="65" t="s">
        <v>119</v>
      </c>
      <c r="Q149" s="66">
        <v>95717</v>
      </c>
      <c r="R149" s="67"/>
      <c r="S149" s="68"/>
      <c r="T149" s="68"/>
      <c r="U149" s="68"/>
      <c r="V149" s="68"/>
      <c r="W149" s="64" t="s">
        <v>105</v>
      </c>
      <c r="X149" s="64"/>
      <c r="Y149" s="64" t="s">
        <v>106</v>
      </c>
      <c r="Z149" s="64" t="str">
        <f t="shared" si="68"/>
        <v>KELURAHAN POYOWA BESAR SATU KOTAMOBAGU</v>
      </c>
      <c r="AA149" s="65"/>
      <c r="AB149" s="65"/>
      <c r="AC149" s="65" t="s">
        <v>70</v>
      </c>
      <c r="AD149" s="64" t="str">
        <f t="shared" si="71"/>
        <v>POYOWA BESAR</v>
      </c>
      <c r="AE149" s="67"/>
      <c r="AF149" s="67"/>
      <c r="AG149" s="67"/>
      <c r="AH149" s="67"/>
      <c r="AI149" s="69"/>
      <c r="AJ149" s="11" t="s">
        <v>754</v>
      </c>
      <c r="AK149" s="65" t="s">
        <v>96</v>
      </c>
      <c r="AL149" s="65"/>
      <c r="AM149" s="65"/>
      <c r="AN149" s="65"/>
      <c r="AO149" s="65"/>
      <c r="AP149" s="65"/>
      <c r="AQ149" s="177" t="s">
        <v>97</v>
      </c>
      <c r="AR149" s="70" t="str">
        <f t="shared" si="67"/>
        <v>KTG.100.0101</v>
      </c>
      <c r="AS149" s="71" t="str">
        <f t="shared" si="69"/>
        <v>KPBS-2.020</v>
      </c>
      <c r="AT149" s="71" t="str">
        <f t="shared" si="69"/>
        <v>B02</v>
      </c>
      <c r="AU149" s="72"/>
      <c r="AV149" s="202">
        <v>0.70965982189999999</v>
      </c>
      <c r="AW149" s="202">
        <v>124.3247645989</v>
      </c>
      <c r="AX149" s="65" t="s">
        <v>98</v>
      </c>
      <c r="AY149" s="65" t="s">
        <v>94</v>
      </c>
      <c r="AZ149" s="65" t="s">
        <v>94</v>
      </c>
      <c r="BA149" s="73" t="s">
        <v>77</v>
      </c>
      <c r="BB149" s="65" t="s">
        <v>98</v>
      </c>
      <c r="BC149" s="65">
        <v>31</v>
      </c>
      <c r="BD149" s="65" t="s">
        <v>98</v>
      </c>
      <c r="BE149" s="211" t="str">
        <f t="shared" si="40"/>
        <v>549, POYOWA BESAR,</v>
      </c>
    </row>
    <row r="150" spans="1:57" s="211" customFormat="1" ht="15.75" customHeight="1">
      <c r="A150" s="224"/>
      <c r="B150" s="225"/>
      <c r="C150" s="225"/>
      <c r="D150" s="225"/>
      <c r="E150" s="225"/>
      <c r="F150" s="225"/>
      <c r="G150" s="226"/>
      <c r="H150" s="23">
        <v>10</v>
      </c>
      <c r="I150" s="64" t="str">
        <f t="shared" si="70"/>
        <v>MR.KPBS.P067</v>
      </c>
      <c r="J150" s="64">
        <f t="shared" si="70"/>
        <v>0.709901</v>
      </c>
      <c r="K150" s="64">
        <f t="shared" si="70"/>
        <v>124.32489700000001</v>
      </c>
      <c r="L150" s="64" t="str">
        <f t="shared" si="70"/>
        <v>JL. RAYA POYOWA BESAR</v>
      </c>
      <c r="M150" s="64" t="str">
        <f t="shared" si="70"/>
        <v>SULAWESI UTARA</v>
      </c>
      <c r="N150" s="65" t="s">
        <v>105</v>
      </c>
      <c r="O150" s="66" t="s">
        <v>118</v>
      </c>
      <c r="P150" s="65" t="s">
        <v>119</v>
      </c>
      <c r="Q150" s="66">
        <v>95717</v>
      </c>
      <c r="R150" s="67"/>
      <c r="S150" s="68"/>
      <c r="T150" s="68"/>
      <c r="U150" s="68"/>
      <c r="V150" s="68"/>
      <c r="W150" s="64" t="s">
        <v>105</v>
      </c>
      <c r="X150" s="64"/>
      <c r="Y150" s="64" t="s">
        <v>106</v>
      </c>
      <c r="Z150" s="64" t="str">
        <f t="shared" si="68"/>
        <v>KELURAHAN POYOWA BESAR SATU KOTAMOBAGU</v>
      </c>
      <c r="AA150" s="65"/>
      <c r="AB150" s="65"/>
      <c r="AC150" s="65" t="s">
        <v>70</v>
      </c>
      <c r="AD150" s="64" t="str">
        <f t="shared" si="71"/>
        <v>POYOWA BESAR</v>
      </c>
      <c r="AE150" s="67"/>
      <c r="AF150" s="67"/>
      <c r="AG150" s="67"/>
      <c r="AH150" s="67"/>
      <c r="AI150" s="69"/>
      <c r="AJ150" s="11" t="s">
        <v>755</v>
      </c>
      <c r="AK150" s="65" t="s">
        <v>96</v>
      </c>
      <c r="AL150" s="65"/>
      <c r="AM150" s="65"/>
      <c r="AN150" s="65"/>
      <c r="AO150" s="65"/>
      <c r="AP150" s="65"/>
      <c r="AQ150" s="177" t="s">
        <v>97</v>
      </c>
      <c r="AR150" s="70" t="str">
        <f t="shared" si="67"/>
        <v>KTG.100.0101</v>
      </c>
      <c r="AS150" s="71" t="str">
        <f t="shared" si="69"/>
        <v>KPBS-2.020</v>
      </c>
      <c r="AT150" s="71" t="str">
        <f t="shared" si="69"/>
        <v>B02</v>
      </c>
      <c r="AU150" s="72"/>
      <c r="AV150" s="202">
        <v>0.70997611230000002</v>
      </c>
      <c r="AW150" s="202">
        <v>124.3245765895</v>
      </c>
      <c r="AX150" s="65" t="s">
        <v>98</v>
      </c>
      <c r="AY150" s="65" t="s">
        <v>94</v>
      </c>
      <c r="AZ150" s="65" t="s">
        <v>94</v>
      </c>
      <c r="BA150" s="73" t="s">
        <v>77</v>
      </c>
      <c r="BB150" s="65" t="s">
        <v>98</v>
      </c>
      <c r="BC150" s="65">
        <v>31</v>
      </c>
      <c r="BD150" s="65" t="s">
        <v>98</v>
      </c>
      <c r="BE150" s="211" t="str">
        <f t="shared" si="40"/>
        <v>524, POYOWA BESAR,</v>
      </c>
    </row>
    <row r="151" spans="1:57" s="211" customFormat="1" ht="15.75" customHeight="1">
      <c r="A151" s="224"/>
      <c r="B151" s="225"/>
      <c r="C151" s="225"/>
      <c r="D151" s="225"/>
      <c r="E151" s="225"/>
      <c r="F151" s="225"/>
      <c r="G151" s="226"/>
      <c r="H151" s="23">
        <v>11</v>
      </c>
      <c r="I151" s="64" t="str">
        <f t="shared" si="70"/>
        <v>MR.KPBS.P067</v>
      </c>
      <c r="J151" s="64">
        <f t="shared" si="70"/>
        <v>0.709901</v>
      </c>
      <c r="K151" s="64">
        <f t="shared" si="70"/>
        <v>124.32489700000001</v>
      </c>
      <c r="L151" s="64" t="str">
        <f t="shared" si="70"/>
        <v>JL. RAYA POYOWA BESAR</v>
      </c>
      <c r="M151" s="64" t="str">
        <f t="shared" si="70"/>
        <v>SULAWESI UTARA</v>
      </c>
      <c r="N151" s="65" t="s">
        <v>105</v>
      </c>
      <c r="O151" s="66" t="s">
        <v>118</v>
      </c>
      <c r="P151" s="65" t="s">
        <v>119</v>
      </c>
      <c r="Q151" s="66">
        <v>95717</v>
      </c>
      <c r="R151" s="66"/>
      <c r="S151" s="66"/>
      <c r="T151" s="66"/>
      <c r="U151" s="66"/>
      <c r="V151" s="66"/>
      <c r="W151" s="64" t="s">
        <v>105</v>
      </c>
      <c r="X151" s="64"/>
      <c r="Y151" s="64" t="s">
        <v>106</v>
      </c>
      <c r="Z151" s="64" t="str">
        <f t="shared" si="68"/>
        <v>KELURAHAN POYOWA BESAR SATU KOTAMOBAGU</v>
      </c>
      <c r="AA151" s="65"/>
      <c r="AB151" s="65"/>
      <c r="AC151" s="65" t="s">
        <v>70</v>
      </c>
      <c r="AD151" s="64" t="str">
        <f t="shared" si="71"/>
        <v>POYOWA BESAR</v>
      </c>
      <c r="AE151" s="66"/>
      <c r="AF151" s="66"/>
      <c r="AG151" s="66"/>
      <c r="AH151" s="66"/>
      <c r="AI151" s="69"/>
      <c r="AJ151" s="11" t="s">
        <v>756</v>
      </c>
      <c r="AK151" s="65" t="s">
        <v>96</v>
      </c>
      <c r="AL151" s="65"/>
      <c r="AM151" s="65"/>
      <c r="AN151" s="65"/>
      <c r="AO151" s="65"/>
      <c r="AP151" s="65"/>
      <c r="AQ151" s="177" t="s">
        <v>97</v>
      </c>
      <c r="AR151" s="70" t="str">
        <f t="shared" si="67"/>
        <v>KTG.100.0101</v>
      </c>
      <c r="AS151" s="71" t="str">
        <f t="shared" si="69"/>
        <v>KPBS-2.020</v>
      </c>
      <c r="AT151" s="71" t="str">
        <f t="shared" si="69"/>
        <v>B02</v>
      </c>
      <c r="AU151" s="72"/>
      <c r="AV151" s="202">
        <v>0.70963016450000005</v>
      </c>
      <c r="AW151" s="202">
        <v>124.3246802566</v>
      </c>
      <c r="AX151" s="65" t="s">
        <v>98</v>
      </c>
      <c r="AY151" s="65" t="s">
        <v>94</v>
      </c>
      <c r="AZ151" s="65" t="s">
        <v>94</v>
      </c>
      <c r="BA151" s="73" t="s">
        <v>77</v>
      </c>
      <c r="BB151" s="65" t="s">
        <v>98</v>
      </c>
      <c r="BC151" s="65">
        <v>31</v>
      </c>
      <c r="BD151" s="65" t="s">
        <v>98</v>
      </c>
      <c r="BE151" s="211" t="str">
        <f t="shared" si="40"/>
        <v>550, POYOWA BESAR,</v>
      </c>
    </row>
    <row r="152" spans="1:57" s="211" customFormat="1" ht="15.75" customHeight="1">
      <c r="A152" s="224"/>
      <c r="B152" s="225"/>
      <c r="C152" s="225"/>
      <c r="D152" s="225"/>
      <c r="E152" s="225"/>
      <c r="F152" s="225"/>
      <c r="G152" s="226"/>
      <c r="H152" s="23">
        <v>12</v>
      </c>
      <c r="I152" s="64" t="str">
        <f t="shared" si="70"/>
        <v>MR.KPBS.P067</v>
      </c>
      <c r="J152" s="64">
        <f t="shared" si="70"/>
        <v>0.709901</v>
      </c>
      <c r="K152" s="64">
        <f t="shared" si="70"/>
        <v>124.32489700000001</v>
      </c>
      <c r="L152" s="64" t="str">
        <f t="shared" si="70"/>
        <v>JL. RAYA POYOWA BESAR</v>
      </c>
      <c r="M152" s="64" t="str">
        <f t="shared" si="70"/>
        <v>SULAWESI UTARA</v>
      </c>
      <c r="N152" s="65" t="s">
        <v>105</v>
      </c>
      <c r="O152" s="66" t="s">
        <v>118</v>
      </c>
      <c r="P152" s="65" t="s">
        <v>119</v>
      </c>
      <c r="Q152" s="66">
        <v>95717</v>
      </c>
      <c r="R152" s="67"/>
      <c r="S152" s="68"/>
      <c r="T152" s="68"/>
      <c r="U152" s="68"/>
      <c r="V152" s="68"/>
      <c r="W152" s="64" t="s">
        <v>105</v>
      </c>
      <c r="X152" s="64"/>
      <c r="Y152" s="64" t="s">
        <v>106</v>
      </c>
      <c r="Z152" s="64" t="str">
        <f t="shared" si="68"/>
        <v>KELURAHAN POYOWA BESAR SATU KOTAMOBAGU</v>
      </c>
      <c r="AA152" s="65"/>
      <c r="AB152" s="65"/>
      <c r="AC152" s="65" t="s">
        <v>70</v>
      </c>
      <c r="AD152" s="64" t="str">
        <f t="shared" si="71"/>
        <v>POYOWA BESAR</v>
      </c>
      <c r="AE152" s="67"/>
      <c r="AF152" s="67"/>
      <c r="AG152" s="67"/>
      <c r="AH152" s="67"/>
      <c r="AI152" s="69"/>
      <c r="AJ152" s="11" t="s">
        <v>757</v>
      </c>
      <c r="AK152" s="65" t="s">
        <v>96</v>
      </c>
      <c r="AL152" s="65"/>
      <c r="AM152" s="65"/>
      <c r="AN152" s="65"/>
      <c r="AO152" s="65"/>
      <c r="AP152" s="65"/>
      <c r="AQ152" s="177" t="s">
        <v>97</v>
      </c>
      <c r="AR152" s="70" t="str">
        <f t="shared" si="67"/>
        <v>KTG.100.0101</v>
      </c>
      <c r="AS152" s="71" t="str">
        <f t="shared" si="69"/>
        <v>KPBS-2.020</v>
      </c>
      <c r="AT152" s="71" t="str">
        <f t="shared" si="69"/>
        <v>B02</v>
      </c>
      <c r="AU152" s="72"/>
      <c r="AV152" s="202">
        <v>0.70992272300000003</v>
      </c>
      <c r="AW152" s="202">
        <v>124.3244952065</v>
      </c>
      <c r="AX152" s="65" t="s">
        <v>98</v>
      </c>
      <c r="AY152" s="65" t="s">
        <v>94</v>
      </c>
      <c r="AZ152" s="65" t="s">
        <v>94</v>
      </c>
      <c r="BA152" s="73" t="s">
        <v>77</v>
      </c>
      <c r="BB152" s="65" t="s">
        <v>98</v>
      </c>
      <c r="BC152" s="65">
        <v>31</v>
      </c>
      <c r="BD152" s="65" t="s">
        <v>98</v>
      </c>
      <c r="BE152" s="211" t="str">
        <f t="shared" si="40"/>
        <v>523, POYOWA BESAR,</v>
      </c>
    </row>
    <row r="153" spans="1:57" s="211" customFormat="1" ht="15.75" customHeight="1">
      <c r="A153" s="224"/>
      <c r="B153" s="225"/>
      <c r="C153" s="225"/>
      <c r="D153" s="225"/>
      <c r="E153" s="225"/>
      <c r="F153" s="225"/>
      <c r="G153" s="226"/>
      <c r="H153" s="23">
        <v>13</v>
      </c>
      <c r="I153" s="64" t="str">
        <f t="shared" si="70"/>
        <v>MR.KPBS.P067</v>
      </c>
      <c r="J153" s="64">
        <f t="shared" si="70"/>
        <v>0.709901</v>
      </c>
      <c r="K153" s="64">
        <f t="shared" si="70"/>
        <v>124.32489700000001</v>
      </c>
      <c r="L153" s="64" t="str">
        <f t="shared" si="70"/>
        <v>JL. RAYA POYOWA BESAR</v>
      </c>
      <c r="M153" s="64" t="str">
        <f t="shared" si="70"/>
        <v>SULAWESI UTARA</v>
      </c>
      <c r="N153" s="65" t="s">
        <v>105</v>
      </c>
      <c r="O153" s="66" t="s">
        <v>118</v>
      </c>
      <c r="P153" s="65" t="s">
        <v>119</v>
      </c>
      <c r="Q153" s="66">
        <v>95717</v>
      </c>
      <c r="R153" s="66"/>
      <c r="S153" s="66"/>
      <c r="T153" s="66"/>
      <c r="U153" s="66"/>
      <c r="V153" s="66"/>
      <c r="W153" s="64" t="s">
        <v>105</v>
      </c>
      <c r="X153" s="64"/>
      <c r="Y153" s="64" t="s">
        <v>106</v>
      </c>
      <c r="Z153" s="64" t="str">
        <f t="shared" si="68"/>
        <v>KELURAHAN POYOWA BESAR SATU KOTAMOBAGU</v>
      </c>
      <c r="AA153" s="65"/>
      <c r="AB153" s="65"/>
      <c r="AC153" s="65" t="s">
        <v>70</v>
      </c>
      <c r="AD153" s="64" t="str">
        <f t="shared" si="71"/>
        <v>POYOWA BESAR</v>
      </c>
      <c r="AE153" s="66"/>
      <c r="AF153" s="66"/>
      <c r="AG153" s="66"/>
      <c r="AH153" s="66"/>
      <c r="AI153" s="69"/>
      <c r="AJ153" s="11" t="s">
        <v>758</v>
      </c>
      <c r="AK153" s="65" t="s">
        <v>96</v>
      </c>
      <c r="AL153" s="65"/>
      <c r="AM153" s="65"/>
      <c r="AN153" s="65"/>
      <c r="AO153" s="65"/>
      <c r="AP153" s="65"/>
      <c r="AQ153" s="177" t="s">
        <v>97</v>
      </c>
      <c r="AR153" s="70" t="str">
        <f t="shared" si="67"/>
        <v>KTG.100.0101</v>
      </c>
      <c r="AS153" s="71" t="str">
        <f t="shared" si="69"/>
        <v>KPBS-2.020</v>
      </c>
      <c r="AT153" s="71" t="str">
        <f t="shared" si="69"/>
        <v>B02</v>
      </c>
      <c r="AU153" s="72"/>
      <c r="AV153" s="202">
        <v>0.70958567859999999</v>
      </c>
      <c r="AW153" s="202">
        <v>124.324587036</v>
      </c>
      <c r="AX153" s="65" t="s">
        <v>98</v>
      </c>
      <c r="AY153" s="65" t="s">
        <v>94</v>
      </c>
      <c r="AZ153" s="65" t="s">
        <v>94</v>
      </c>
      <c r="BA153" s="73" t="s">
        <v>77</v>
      </c>
      <c r="BB153" s="65" t="s">
        <v>98</v>
      </c>
      <c r="BC153" s="65">
        <v>31</v>
      </c>
      <c r="BD153" s="65" t="s">
        <v>98</v>
      </c>
      <c r="BE153" s="211" t="str">
        <f t="shared" si="40"/>
        <v>551, POYOWA BESAR,</v>
      </c>
    </row>
    <row r="154" spans="1:57" s="211" customFormat="1" ht="15.75" customHeight="1">
      <c r="A154" s="224"/>
      <c r="B154" s="225"/>
      <c r="C154" s="225"/>
      <c r="D154" s="225"/>
      <c r="E154" s="225"/>
      <c r="F154" s="225"/>
      <c r="G154" s="226"/>
      <c r="H154" s="23">
        <v>14</v>
      </c>
      <c r="I154" s="64" t="str">
        <f t="shared" si="70"/>
        <v>MR.KPBS.P067</v>
      </c>
      <c r="J154" s="64">
        <f t="shared" si="70"/>
        <v>0.709901</v>
      </c>
      <c r="K154" s="64">
        <f t="shared" si="70"/>
        <v>124.32489700000001</v>
      </c>
      <c r="L154" s="64" t="str">
        <f t="shared" si="70"/>
        <v>JL. RAYA POYOWA BESAR</v>
      </c>
      <c r="M154" s="64" t="str">
        <f t="shared" si="70"/>
        <v>SULAWESI UTARA</v>
      </c>
      <c r="N154" s="65" t="s">
        <v>105</v>
      </c>
      <c r="O154" s="66" t="s">
        <v>118</v>
      </c>
      <c r="P154" s="65" t="s">
        <v>119</v>
      </c>
      <c r="Q154" s="66">
        <v>95717</v>
      </c>
      <c r="R154" s="67"/>
      <c r="S154" s="68"/>
      <c r="T154" s="68"/>
      <c r="U154" s="68"/>
      <c r="V154" s="68"/>
      <c r="W154" s="64" t="s">
        <v>105</v>
      </c>
      <c r="X154" s="64"/>
      <c r="Y154" s="64" t="s">
        <v>106</v>
      </c>
      <c r="Z154" s="64" t="str">
        <f t="shared" si="68"/>
        <v>KELURAHAN POYOWA BESAR SATU KOTAMOBAGU</v>
      </c>
      <c r="AA154" s="65"/>
      <c r="AB154" s="65"/>
      <c r="AC154" s="65" t="s">
        <v>70</v>
      </c>
      <c r="AD154" s="64" t="str">
        <f t="shared" si="71"/>
        <v>POYOWA BESAR</v>
      </c>
      <c r="AE154" s="67"/>
      <c r="AF154" s="67"/>
      <c r="AG154" s="67"/>
      <c r="AH154" s="67"/>
      <c r="AI154" s="69"/>
      <c r="AJ154" s="11" t="s">
        <v>759</v>
      </c>
      <c r="AK154" s="65" t="s">
        <v>96</v>
      </c>
      <c r="AL154" s="65"/>
      <c r="AM154" s="65"/>
      <c r="AN154" s="65"/>
      <c r="AO154" s="65"/>
      <c r="AP154" s="65"/>
      <c r="AQ154" s="177" t="s">
        <v>97</v>
      </c>
      <c r="AR154" s="70" t="str">
        <f t="shared" si="67"/>
        <v>KTG.100.0101</v>
      </c>
      <c r="AS154" s="71" t="str">
        <f t="shared" si="69"/>
        <v>KPBS-2.020</v>
      </c>
      <c r="AT154" s="71" t="str">
        <f t="shared" si="69"/>
        <v>B02</v>
      </c>
      <c r="AU154" s="72"/>
      <c r="AV154" s="202">
        <v>0.70955157260000001</v>
      </c>
      <c r="AW154" s="202">
        <v>124.3244893764</v>
      </c>
      <c r="AX154" s="65" t="s">
        <v>98</v>
      </c>
      <c r="AY154" s="65" t="s">
        <v>94</v>
      </c>
      <c r="AZ154" s="65" t="s">
        <v>94</v>
      </c>
      <c r="BA154" s="73" t="s">
        <v>77</v>
      </c>
      <c r="BB154" s="65" t="s">
        <v>98</v>
      </c>
      <c r="BC154" s="65">
        <v>31</v>
      </c>
      <c r="BD154" s="65" t="s">
        <v>98</v>
      </c>
      <c r="BE154" s="211" t="str">
        <f t="shared" si="40"/>
        <v>552, POYOWA BESAR,</v>
      </c>
    </row>
    <row r="155" spans="1:57" s="211" customFormat="1" ht="15.75" customHeight="1">
      <c r="A155" s="36" t="s">
        <v>78</v>
      </c>
      <c r="B155" s="36">
        <f>B141+1</f>
        <v>11</v>
      </c>
      <c r="C155" s="33" t="s">
        <v>99</v>
      </c>
      <c r="D155" s="37" t="s">
        <v>351</v>
      </c>
      <c r="E155" s="38">
        <v>1</v>
      </c>
      <c r="F155" s="39">
        <f>F142+1</f>
        <v>5</v>
      </c>
      <c r="G155" s="213" t="s">
        <v>82</v>
      </c>
      <c r="H155" s="35">
        <v>1</v>
      </c>
      <c r="I155" s="48" t="s">
        <v>962</v>
      </c>
      <c r="J155" s="54">
        <v>0.70972500000000005</v>
      </c>
      <c r="K155" s="54">
        <v>124.324322</v>
      </c>
      <c r="L155" s="116" t="s">
        <v>116</v>
      </c>
      <c r="M155" s="56" t="s">
        <v>117</v>
      </c>
      <c r="N155" s="76" t="s">
        <v>105</v>
      </c>
      <c r="O155" s="49" t="s">
        <v>118</v>
      </c>
      <c r="P155" s="76" t="s">
        <v>119</v>
      </c>
      <c r="Q155" s="49">
        <v>95717</v>
      </c>
      <c r="R155" s="51"/>
      <c r="S155" s="52"/>
      <c r="T155" s="53"/>
      <c r="U155" s="52"/>
      <c r="V155" s="53"/>
      <c r="W155" s="50" t="s">
        <v>105</v>
      </c>
      <c r="X155" s="54"/>
      <c r="Y155" s="56" t="s">
        <v>106</v>
      </c>
      <c r="Z155" s="56" t="str">
        <f t="shared" si="68"/>
        <v>KELURAHAN POYOWA BESAR SATU KOTAMOBAGU</v>
      </c>
      <c r="AA155" s="55"/>
      <c r="AB155" s="55"/>
      <c r="AC155" s="55" t="s">
        <v>70</v>
      </c>
      <c r="AD155" s="116" t="s">
        <v>119</v>
      </c>
      <c r="AE155" s="57"/>
      <c r="AF155" s="57"/>
      <c r="AG155" s="57"/>
      <c r="AH155" s="57"/>
      <c r="AI155" s="58"/>
      <c r="AJ155" s="114" t="s">
        <v>760</v>
      </c>
      <c r="AK155" s="55" t="s">
        <v>96</v>
      </c>
      <c r="AL155" s="62"/>
      <c r="AM155" s="184"/>
      <c r="AN155" s="184"/>
      <c r="AO155" s="184"/>
      <c r="AP155" s="184"/>
      <c r="AQ155" s="185" t="s">
        <v>97</v>
      </c>
      <c r="AR155" s="59" t="str">
        <f t="shared" si="67"/>
        <v>KTG.100.0101</v>
      </c>
      <c r="AS155" s="60" t="str">
        <f>AS109</f>
        <v>KPBS-2.020</v>
      </c>
      <c r="AT155" s="60" t="str">
        <f>G155</f>
        <v>B03</v>
      </c>
      <c r="AU155" s="61"/>
      <c r="AV155" s="201">
        <v>0.70950389119999901</v>
      </c>
      <c r="AW155" s="201">
        <v>124.3244182409</v>
      </c>
      <c r="AX155" s="62" t="s">
        <v>98</v>
      </c>
      <c r="AY155" s="62" t="s">
        <v>94</v>
      </c>
      <c r="AZ155" s="62" t="s">
        <v>94</v>
      </c>
      <c r="BA155" s="63" t="s">
        <v>77</v>
      </c>
      <c r="BB155" s="62" t="s">
        <v>98</v>
      </c>
      <c r="BC155" s="62">
        <v>31</v>
      </c>
      <c r="BD155" s="62" t="s">
        <v>98</v>
      </c>
      <c r="BE155" s="211" t="str">
        <f t="shared" ref="BE155:BE213" si="72">AJ155&amp;", "&amp;AD155&amp;","&amp;AI155</f>
        <v>553, POYOWA BESAR,</v>
      </c>
    </row>
    <row r="156" spans="1:57" s="211" customFormat="1" ht="15.75" customHeight="1">
      <c r="A156" s="46"/>
      <c r="B156" s="46"/>
      <c r="C156" s="22" t="s">
        <v>99</v>
      </c>
      <c r="D156" s="22" t="s">
        <v>351</v>
      </c>
      <c r="E156" s="33">
        <v>1</v>
      </c>
      <c r="F156" s="47">
        <f>F155+1</f>
        <v>6</v>
      </c>
      <c r="G156" s="214"/>
      <c r="H156" s="23">
        <v>2</v>
      </c>
      <c r="I156" s="64" t="str">
        <f t="shared" ref="I156:M170" si="73">I155</f>
        <v>MR.KPBS.P069</v>
      </c>
      <c r="J156" s="64">
        <f t="shared" si="73"/>
        <v>0.70972500000000005</v>
      </c>
      <c r="K156" s="64">
        <f t="shared" si="73"/>
        <v>124.324322</v>
      </c>
      <c r="L156" s="64" t="str">
        <f t="shared" si="73"/>
        <v>JL. RAYA POYOWA BESAR</v>
      </c>
      <c r="M156" s="64" t="str">
        <f t="shared" si="73"/>
        <v>SULAWESI UTARA</v>
      </c>
      <c r="N156" s="65" t="s">
        <v>105</v>
      </c>
      <c r="O156" s="66" t="s">
        <v>118</v>
      </c>
      <c r="P156" s="65" t="s">
        <v>119</v>
      </c>
      <c r="Q156" s="66">
        <v>95717</v>
      </c>
      <c r="R156" s="67"/>
      <c r="S156" s="68"/>
      <c r="T156" s="68"/>
      <c r="U156" s="68"/>
      <c r="V156" s="68"/>
      <c r="W156" s="65" t="s">
        <v>105</v>
      </c>
      <c r="X156" s="64"/>
      <c r="Y156" s="64" t="s">
        <v>106</v>
      </c>
      <c r="Z156" s="64" t="str">
        <f t="shared" si="68"/>
        <v>KELURAHAN POYOWA BESAR SATU KOTAMOBAGU</v>
      </c>
      <c r="AA156" s="65"/>
      <c r="AB156" s="65"/>
      <c r="AC156" s="65" t="s">
        <v>70</v>
      </c>
      <c r="AD156" s="64" t="str">
        <f t="shared" ref="AD156:AD164" si="74">AD155</f>
        <v>POYOWA BESAR</v>
      </c>
      <c r="AE156" s="67"/>
      <c r="AF156" s="67"/>
      <c r="AG156" s="67"/>
      <c r="AH156" s="67"/>
      <c r="AI156" s="69"/>
      <c r="AJ156" s="11" t="s">
        <v>761</v>
      </c>
      <c r="AK156" s="65" t="s">
        <v>96</v>
      </c>
      <c r="AL156" s="65"/>
      <c r="AM156" s="176"/>
      <c r="AN156" s="176"/>
      <c r="AO156" s="176"/>
      <c r="AP156" s="176"/>
      <c r="AQ156" s="177" t="s">
        <v>97</v>
      </c>
      <c r="AR156" s="70" t="str">
        <f t="shared" si="67"/>
        <v>KTG.100.0101</v>
      </c>
      <c r="AS156" s="71" t="str">
        <f t="shared" si="69"/>
        <v>KPBS-2.020</v>
      </c>
      <c r="AT156" s="71" t="str">
        <f t="shared" si="69"/>
        <v>B03</v>
      </c>
      <c r="AU156" s="72"/>
      <c r="AV156" s="202">
        <v>0.71035737349999895</v>
      </c>
      <c r="AW156" s="202">
        <v>124.3242790229</v>
      </c>
      <c r="AX156" s="65" t="s">
        <v>98</v>
      </c>
      <c r="AY156" s="65" t="s">
        <v>94</v>
      </c>
      <c r="AZ156" s="65" t="s">
        <v>94</v>
      </c>
      <c r="BA156" s="73" t="s">
        <v>77</v>
      </c>
      <c r="BB156" s="65" t="s">
        <v>98</v>
      </c>
      <c r="BC156" s="65">
        <v>31</v>
      </c>
      <c r="BD156" s="65" t="s">
        <v>98</v>
      </c>
      <c r="BE156" s="211" t="str">
        <f t="shared" si="72"/>
        <v>516, POYOWA BESAR,</v>
      </c>
    </row>
    <row r="157" spans="1:57" s="211" customFormat="1" ht="15.75" customHeight="1">
      <c r="A157" s="221"/>
      <c r="B157" s="222"/>
      <c r="C157" s="222"/>
      <c r="D157" s="222"/>
      <c r="E157" s="222"/>
      <c r="F157" s="222"/>
      <c r="G157" s="223"/>
      <c r="H157" s="23">
        <v>3</v>
      </c>
      <c r="I157" s="64" t="str">
        <f t="shared" si="73"/>
        <v>MR.KPBS.P069</v>
      </c>
      <c r="J157" s="64">
        <f t="shared" si="73"/>
        <v>0.70972500000000005</v>
      </c>
      <c r="K157" s="64">
        <f t="shared" si="73"/>
        <v>124.324322</v>
      </c>
      <c r="L157" s="64" t="str">
        <f t="shared" si="73"/>
        <v>JL. RAYA POYOWA BESAR</v>
      </c>
      <c r="M157" s="64" t="str">
        <f t="shared" si="73"/>
        <v>SULAWESI UTARA</v>
      </c>
      <c r="N157" s="65" t="s">
        <v>105</v>
      </c>
      <c r="O157" s="66" t="s">
        <v>118</v>
      </c>
      <c r="P157" s="65" t="s">
        <v>119</v>
      </c>
      <c r="Q157" s="66">
        <v>95717</v>
      </c>
      <c r="R157" s="67"/>
      <c r="S157" s="68"/>
      <c r="T157" s="68"/>
      <c r="U157" s="68"/>
      <c r="V157" s="68"/>
      <c r="W157" s="65" t="s">
        <v>105</v>
      </c>
      <c r="X157" s="64"/>
      <c r="Y157" s="64" t="s">
        <v>106</v>
      </c>
      <c r="Z157" s="64" t="str">
        <f t="shared" si="68"/>
        <v>KELURAHAN POYOWA BESAR SATU KOTAMOBAGU</v>
      </c>
      <c r="AA157" s="65"/>
      <c r="AB157" s="65"/>
      <c r="AC157" s="65" t="s">
        <v>70</v>
      </c>
      <c r="AD157" s="64" t="str">
        <f t="shared" si="74"/>
        <v>POYOWA BESAR</v>
      </c>
      <c r="AE157" s="67"/>
      <c r="AF157" s="67"/>
      <c r="AG157" s="67"/>
      <c r="AH157" s="67"/>
      <c r="AI157" s="69"/>
      <c r="AJ157" s="11" t="s">
        <v>762</v>
      </c>
      <c r="AK157" s="65" t="s">
        <v>96</v>
      </c>
      <c r="AL157" s="65"/>
      <c r="AM157" s="176"/>
      <c r="AN157" s="176"/>
      <c r="AO157" s="176"/>
      <c r="AP157" s="176"/>
      <c r="AQ157" s="177" t="s">
        <v>97</v>
      </c>
      <c r="AR157" s="70" t="str">
        <f t="shared" si="67"/>
        <v>KTG.100.0101</v>
      </c>
      <c r="AS157" s="71" t="str">
        <f t="shared" si="69"/>
        <v>KPBS-2.020</v>
      </c>
      <c r="AT157" s="71" t="str">
        <f t="shared" si="69"/>
        <v>B03</v>
      </c>
      <c r="AU157" s="72"/>
      <c r="AV157" s="202">
        <v>0.7102758159</v>
      </c>
      <c r="AW157" s="202">
        <v>124.3242701448</v>
      </c>
      <c r="AX157" s="65" t="s">
        <v>98</v>
      </c>
      <c r="AY157" s="65" t="s">
        <v>94</v>
      </c>
      <c r="AZ157" s="65" t="s">
        <v>94</v>
      </c>
      <c r="BA157" s="73" t="s">
        <v>77</v>
      </c>
      <c r="BB157" s="65" t="s">
        <v>98</v>
      </c>
      <c r="BC157" s="65">
        <v>31</v>
      </c>
      <c r="BD157" s="65" t="s">
        <v>98</v>
      </c>
      <c r="BE157" s="211" t="str">
        <f t="shared" si="72"/>
        <v>517, POYOWA BESAR,</v>
      </c>
    </row>
    <row r="158" spans="1:57" s="211" customFormat="1" ht="15.75" customHeight="1">
      <c r="A158" s="224"/>
      <c r="B158" s="225"/>
      <c r="C158" s="225"/>
      <c r="D158" s="225"/>
      <c r="E158" s="225"/>
      <c r="F158" s="225"/>
      <c r="G158" s="226"/>
      <c r="H158" s="23">
        <v>4</v>
      </c>
      <c r="I158" s="64" t="str">
        <f t="shared" si="73"/>
        <v>MR.KPBS.P069</v>
      </c>
      <c r="J158" s="64">
        <f t="shared" si="73"/>
        <v>0.70972500000000005</v>
      </c>
      <c r="K158" s="64">
        <f t="shared" si="73"/>
        <v>124.324322</v>
      </c>
      <c r="L158" s="64" t="str">
        <f t="shared" si="73"/>
        <v>JL. RAYA POYOWA BESAR</v>
      </c>
      <c r="M158" s="64" t="str">
        <f t="shared" si="73"/>
        <v>SULAWESI UTARA</v>
      </c>
      <c r="N158" s="65" t="s">
        <v>105</v>
      </c>
      <c r="O158" s="66" t="s">
        <v>118</v>
      </c>
      <c r="P158" s="65" t="s">
        <v>119</v>
      </c>
      <c r="Q158" s="66">
        <v>95717</v>
      </c>
      <c r="R158" s="67"/>
      <c r="S158" s="68"/>
      <c r="T158" s="68"/>
      <c r="U158" s="68"/>
      <c r="V158" s="68"/>
      <c r="W158" s="65" t="s">
        <v>105</v>
      </c>
      <c r="X158" s="64"/>
      <c r="Y158" s="64" t="s">
        <v>106</v>
      </c>
      <c r="Z158" s="64" t="str">
        <f t="shared" si="68"/>
        <v>KELURAHAN POYOWA BESAR SATU KOTAMOBAGU</v>
      </c>
      <c r="AA158" s="65"/>
      <c r="AB158" s="65"/>
      <c r="AC158" s="65" t="s">
        <v>70</v>
      </c>
      <c r="AD158" s="64" t="str">
        <f t="shared" si="74"/>
        <v>POYOWA BESAR</v>
      </c>
      <c r="AE158" s="67"/>
      <c r="AF158" s="67"/>
      <c r="AG158" s="67"/>
      <c r="AH158" s="67"/>
      <c r="AI158" s="69"/>
      <c r="AJ158" s="11" t="s">
        <v>763</v>
      </c>
      <c r="AK158" s="65" t="s">
        <v>96</v>
      </c>
      <c r="AL158" s="65"/>
      <c r="AM158" s="176"/>
      <c r="AN158" s="176"/>
      <c r="AO158" s="176"/>
      <c r="AP158" s="176"/>
      <c r="AQ158" s="177" t="s">
        <v>97</v>
      </c>
      <c r="AR158" s="70" t="str">
        <f t="shared" si="67"/>
        <v>KTG.100.0101</v>
      </c>
      <c r="AS158" s="71" t="str">
        <f t="shared" si="69"/>
        <v>KPBS-2.020</v>
      </c>
      <c r="AT158" s="71" t="str">
        <f t="shared" si="69"/>
        <v>B03</v>
      </c>
      <c r="AU158" s="72"/>
      <c r="AV158" s="202">
        <v>0.71021798409999903</v>
      </c>
      <c r="AW158" s="202">
        <v>124.3242790229</v>
      </c>
      <c r="AX158" s="65" t="s">
        <v>98</v>
      </c>
      <c r="AY158" s="65" t="s">
        <v>94</v>
      </c>
      <c r="AZ158" s="65" t="s">
        <v>94</v>
      </c>
      <c r="BA158" s="73" t="s">
        <v>77</v>
      </c>
      <c r="BB158" s="65" t="s">
        <v>98</v>
      </c>
      <c r="BC158" s="65">
        <v>31</v>
      </c>
      <c r="BD158" s="65" t="s">
        <v>98</v>
      </c>
      <c r="BE158" s="211" t="str">
        <f t="shared" si="72"/>
        <v>518, POYOWA BESAR,</v>
      </c>
    </row>
    <row r="159" spans="1:57" s="211" customFormat="1" ht="15.75" customHeight="1">
      <c r="A159" s="224"/>
      <c r="B159" s="225"/>
      <c r="C159" s="225"/>
      <c r="D159" s="225"/>
      <c r="E159" s="225"/>
      <c r="F159" s="225"/>
      <c r="G159" s="226"/>
      <c r="H159" s="23">
        <v>5</v>
      </c>
      <c r="I159" s="64" t="str">
        <f t="shared" si="73"/>
        <v>MR.KPBS.P069</v>
      </c>
      <c r="J159" s="64">
        <f t="shared" si="73"/>
        <v>0.70972500000000005</v>
      </c>
      <c r="K159" s="64">
        <f t="shared" si="73"/>
        <v>124.324322</v>
      </c>
      <c r="L159" s="64" t="str">
        <f t="shared" si="73"/>
        <v>JL. RAYA POYOWA BESAR</v>
      </c>
      <c r="M159" s="64" t="str">
        <f t="shared" si="73"/>
        <v>SULAWESI UTARA</v>
      </c>
      <c r="N159" s="65" t="s">
        <v>105</v>
      </c>
      <c r="O159" s="66" t="s">
        <v>118</v>
      </c>
      <c r="P159" s="65" t="s">
        <v>119</v>
      </c>
      <c r="Q159" s="66">
        <v>95717</v>
      </c>
      <c r="R159" s="67"/>
      <c r="S159" s="68"/>
      <c r="T159" s="68"/>
      <c r="U159" s="68"/>
      <c r="V159" s="68"/>
      <c r="W159" s="65" t="s">
        <v>105</v>
      </c>
      <c r="X159" s="64"/>
      <c r="Y159" s="64" t="s">
        <v>106</v>
      </c>
      <c r="Z159" s="64" t="str">
        <f t="shared" si="68"/>
        <v>KELURAHAN POYOWA BESAR SATU KOTAMOBAGU</v>
      </c>
      <c r="AA159" s="65"/>
      <c r="AB159" s="65"/>
      <c r="AC159" s="65" t="s">
        <v>70</v>
      </c>
      <c r="AD159" s="64" t="str">
        <f t="shared" si="74"/>
        <v>POYOWA BESAR</v>
      </c>
      <c r="AE159" s="67"/>
      <c r="AF159" s="67"/>
      <c r="AG159" s="67"/>
      <c r="AH159" s="67"/>
      <c r="AI159" s="69"/>
      <c r="AJ159" s="11" t="s">
        <v>764</v>
      </c>
      <c r="AK159" s="65" t="s">
        <v>96</v>
      </c>
      <c r="AL159" s="65"/>
      <c r="AM159" s="176"/>
      <c r="AN159" s="176"/>
      <c r="AO159" s="176"/>
      <c r="AP159" s="176"/>
      <c r="AQ159" s="177" t="s">
        <v>97</v>
      </c>
      <c r="AR159" s="70" t="str">
        <f t="shared" si="67"/>
        <v>KTG.100.0101</v>
      </c>
      <c r="AS159" s="71" t="str">
        <f t="shared" si="69"/>
        <v>KPBS-2.020</v>
      </c>
      <c r="AT159" s="71" t="str">
        <f t="shared" si="69"/>
        <v>B03</v>
      </c>
      <c r="AU159" s="72"/>
      <c r="AV159" s="202">
        <v>0.710134768299999</v>
      </c>
      <c r="AW159" s="202">
        <v>124.3244759005</v>
      </c>
      <c r="AX159" s="65" t="s">
        <v>98</v>
      </c>
      <c r="AY159" s="65" t="s">
        <v>94</v>
      </c>
      <c r="AZ159" s="65" t="s">
        <v>94</v>
      </c>
      <c r="BA159" s="73" t="s">
        <v>77</v>
      </c>
      <c r="BB159" s="65" t="s">
        <v>98</v>
      </c>
      <c r="BC159" s="65">
        <v>31</v>
      </c>
      <c r="BD159" s="65" t="s">
        <v>98</v>
      </c>
      <c r="BE159" s="211" t="str">
        <f t="shared" si="72"/>
        <v>519, POYOWA BESAR,</v>
      </c>
    </row>
    <row r="160" spans="1:57" s="211" customFormat="1" ht="15.75" customHeight="1">
      <c r="A160" s="224"/>
      <c r="B160" s="225"/>
      <c r="C160" s="225"/>
      <c r="D160" s="225"/>
      <c r="E160" s="225"/>
      <c r="F160" s="225"/>
      <c r="G160" s="226"/>
      <c r="H160" s="23">
        <v>6</v>
      </c>
      <c r="I160" s="64" t="str">
        <f t="shared" si="73"/>
        <v>MR.KPBS.P069</v>
      </c>
      <c r="J160" s="64">
        <f t="shared" si="73"/>
        <v>0.70972500000000005</v>
      </c>
      <c r="K160" s="64">
        <f t="shared" si="73"/>
        <v>124.324322</v>
      </c>
      <c r="L160" s="64" t="str">
        <f t="shared" si="73"/>
        <v>JL. RAYA POYOWA BESAR</v>
      </c>
      <c r="M160" s="64" t="str">
        <f t="shared" si="73"/>
        <v>SULAWESI UTARA</v>
      </c>
      <c r="N160" s="65" t="s">
        <v>105</v>
      </c>
      <c r="O160" s="66" t="s">
        <v>118</v>
      </c>
      <c r="P160" s="65" t="s">
        <v>119</v>
      </c>
      <c r="Q160" s="66">
        <v>95717</v>
      </c>
      <c r="R160" s="67"/>
      <c r="S160" s="68"/>
      <c r="T160" s="74"/>
      <c r="U160" s="74"/>
      <c r="V160" s="74"/>
      <c r="W160" s="65" t="s">
        <v>105</v>
      </c>
      <c r="X160" s="64"/>
      <c r="Y160" s="64" t="s">
        <v>106</v>
      </c>
      <c r="Z160" s="64" t="str">
        <f t="shared" si="68"/>
        <v>KELURAHAN POYOWA BESAR SATU KOTAMOBAGU</v>
      </c>
      <c r="AA160" s="65"/>
      <c r="AB160" s="65"/>
      <c r="AC160" s="65" t="s">
        <v>70</v>
      </c>
      <c r="AD160" s="64" t="str">
        <f t="shared" si="74"/>
        <v>POYOWA BESAR</v>
      </c>
      <c r="AE160" s="75"/>
      <c r="AF160" s="75"/>
      <c r="AG160" s="75"/>
      <c r="AH160" s="75"/>
      <c r="AI160" s="69"/>
      <c r="AJ160" s="11" t="s">
        <v>765</v>
      </c>
      <c r="AK160" s="65" t="s">
        <v>96</v>
      </c>
      <c r="AL160" s="65"/>
      <c r="AM160" s="176"/>
      <c r="AN160" s="176"/>
      <c r="AO160" s="176"/>
      <c r="AP160" s="176"/>
      <c r="AQ160" s="186" t="s">
        <v>97</v>
      </c>
      <c r="AR160" s="70" t="str">
        <f t="shared" si="67"/>
        <v>KTG.100.0101</v>
      </c>
      <c r="AS160" s="71" t="str">
        <f t="shared" si="69"/>
        <v>KPBS-2.020</v>
      </c>
      <c r="AT160" s="71" t="str">
        <f t="shared" si="69"/>
        <v>B03</v>
      </c>
      <c r="AU160" s="72"/>
      <c r="AV160" s="202">
        <v>0.710060625</v>
      </c>
      <c r="AW160" s="202">
        <v>124.3243175735</v>
      </c>
      <c r="AX160" s="65" t="s">
        <v>98</v>
      </c>
      <c r="AY160" s="65" t="s">
        <v>94</v>
      </c>
      <c r="AZ160" s="65" t="s">
        <v>94</v>
      </c>
      <c r="BA160" s="73" t="s">
        <v>77</v>
      </c>
      <c r="BB160" s="65" t="s">
        <v>98</v>
      </c>
      <c r="BC160" s="65">
        <v>31</v>
      </c>
      <c r="BD160" s="65" t="s">
        <v>98</v>
      </c>
      <c r="BE160" s="211" t="str">
        <f t="shared" si="72"/>
        <v>520, POYOWA BESAR,</v>
      </c>
    </row>
    <row r="161" spans="1:57" s="211" customFormat="1" ht="15.75" customHeight="1">
      <c r="A161" s="224"/>
      <c r="B161" s="225"/>
      <c r="C161" s="225"/>
      <c r="D161" s="225"/>
      <c r="E161" s="225"/>
      <c r="F161" s="225"/>
      <c r="G161" s="226"/>
      <c r="H161" s="23">
        <v>7</v>
      </c>
      <c r="I161" s="64" t="str">
        <f t="shared" si="73"/>
        <v>MR.KPBS.P069</v>
      </c>
      <c r="J161" s="64">
        <f t="shared" si="73"/>
        <v>0.70972500000000005</v>
      </c>
      <c r="K161" s="64">
        <f t="shared" si="73"/>
        <v>124.324322</v>
      </c>
      <c r="L161" s="64" t="str">
        <f t="shared" si="73"/>
        <v>JL. RAYA POYOWA BESAR</v>
      </c>
      <c r="M161" s="64" t="str">
        <f t="shared" si="73"/>
        <v>SULAWESI UTARA</v>
      </c>
      <c r="N161" s="65" t="s">
        <v>105</v>
      </c>
      <c r="O161" s="66" t="s">
        <v>118</v>
      </c>
      <c r="P161" s="65" t="s">
        <v>119</v>
      </c>
      <c r="Q161" s="66">
        <v>95717</v>
      </c>
      <c r="R161" s="67"/>
      <c r="S161" s="68"/>
      <c r="T161" s="68"/>
      <c r="U161" s="68"/>
      <c r="V161" s="68"/>
      <c r="W161" s="65" t="s">
        <v>105</v>
      </c>
      <c r="X161" s="64"/>
      <c r="Y161" s="64" t="s">
        <v>106</v>
      </c>
      <c r="Z161" s="64" t="str">
        <f t="shared" si="68"/>
        <v>KELURAHAN POYOWA BESAR SATU KOTAMOBAGU</v>
      </c>
      <c r="AA161" s="65"/>
      <c r="AB161" s="65"/>
      <c r="AC161" s="65" t="s">
        <v>70</v>
      </c>
      <c r="AD161" s="64" t="str">
        <f t="shared" si="74"/>
        <v>POYOWA BESAR</v>
      </c>
      <c r="AE161" s="67"/>
      <c r="AF161" s="67"/>
      <c r="AG161" s="67"/>
      <c r="AH161" s="67"/>
      <c r="AI161" s="69"/>
      <c r="AJ161" s="11" t="s">
        <v>766</v>
      </c>
      <c r="AK161" s="65" t="s">
        <v>96</v>
      </c>
      <c r="AL161" s="65"/>
      <c r="AM161" s="176"/>
      <c r="AN161" s="176"/>
      <c r="AO161" s="176"/>
      <c r="AP161" s="176"/>
      <c r="AQ161" s="186" t="s">
        <v>97</v>
      </c>
      <c r="AR161" s="70" t="str">
        <f t="shared" si="67"/>
        <v>KTG.100.0101</v>
      </c>
      <c r="AS161" s="71" t="str">
        <f t="shared" si="69"/>
        <v>KPBS-2.020</v>
      </c>
      <c r="AT161" s="71" t="str">
        <f t="shared" si="69"/>
        <v>B03</v>
      </c>
      <c r="AU161" s="72"/>
      <c r="AV161" s="202">
        <v>0.70994941</v>
      </c>
      <c r="AW161" s="202">
        <v>124.3243234923</v>
      </c>
      <c r="AX161" s="65" t="s">
        <v>98</v>
      </c>
      <c r="AY161" s="65" t="s">
        <v>94</v>
      </c>
      <c r="AZ161" s="65" t="s">
        <v>94</v>
      </c>
      <c r="BA161" s="73" t="s">
        <v>77</v>
      </c>
      <c r="BB161" s="65" t="s">
        <v>98</v>
      </c>
      <c r="BC161" s="65">
        <v>31</v>
      </c>
      <c r="BD161" s="65" t="s">
        <v>98</v>
      </c>
      <c r="BE161" s="211" t="str">
        <f t="shared" si="72"/>
        <v>521, POYOWA BESAR,</v>
      </c>
    </row>
    <row r="162" spans="1:57" s="211" customFormat="1" ht="15.75" customHeight="1">
      <c r="A162" s="224"/>
      <c r="B162" s="225"/>
      <c r="C162" s="225"/>
      <c r="D162" s="225"/>
      <c r="E162" s="225"/>
      <c r="F162" s="225"/>
      <c r="G162" s="226"/>
      <c r="H162" s="23">
        <v>8</v>
      </c>
      <c r="I162" s="64" t="str">
        <f t="shared" si="73"/>
        <v>MR.KPBS.P069</v>
      </c>
      <c r="J162" s="64">
        <f t="shared" si="73"/>
        <v>0.70972500000000005</v>
      </c>
      <c r="K162" s="64">
        <f t="shared" si="73"/>
        <v>124.324322</v>
      </c>
      <c r="L162" s="64" t="str">
        <f t="shared" si="73"/>
        <v>JL. RAYA POYOWA BESAR</v>
      </c>
      <c r="M162" s="64" t="str">
        <f t="shared" si="73"/>
        <v>SULAWESI UTARA</v>
      </c>
      <c r="N162" s="65" t="s">
        <v>105</v>
      </c>
      <c r="O162" s="66" t="s">
        <v>118</v>
      </c>
      <c r="P162" s="65" t="s">
        <v>119</v>
      </c>
      <c r="Q162" s="66">
        <v>95717</v>
      </c>
      <c r="R162" s="67"/>
      <c r="S162" s="68"/>
      <c r="T162" s="68"/>
      <c r="U162" s="68"/>
      <c r="V162" s="68"/>
      <c r="W162" s="65" t="s">
        <v>105</v>
      </c>
      <c r="X162" s="64"/>
      <c r="Y162" s="64" t="s">
        <v>106</v>
      </c>
      <c r="Z162" s="64" t="str">
        <f t="shared" si="68"/>
        <v>KELURAHAN POYOWA BESAR SATU KOTAMOBAGU</v>
      </c>
      <c r="AA162" s="65"/>
      <c r="AB162" s="65"/>
      <c r="AC162" s="65" t="s">
        <v>70</v>
      </c>
      <c r="AD162" s="64" t="str">
        <f t="shared" si="74"/>
        <v>POYOWA BESAR</v>
      </c>
      <c r="AE162" s="67"/>
      <c r="AF162" s="67"/>
      <c r="AG162" s="67"/>
      <c r="AH162" s="67"/>
      <c r="AI162" s="69"/>
      <c r="AJ162" s="11" t="s">
        <v>767</v>
      </c>
      <c r="AK162" s="65" t="s">
        <v>96</v>
      </c>
      <c r="AL162" s="65"/>
      <c r="AM162" s="176"/>
      <c r="AN162" s="176"/>
      <c r="AO162" s="176"/>
      <c r="AP162" s="176"/>
      <c r="AQ162" s="186" t="s">
        <v>97</v>
      </c>
      <c r="AR162" s="70" t="str">
        <f t="shared" si="67"/>
        <v>KTG.100.0101</v>
      </c>
      <c r="AS162" s="71" t="str">
        <f t="shared" si="69"/>
        <v>KPBS-2.020</v>
      </c>
      <c r="AT162" s="71" t="str">
        <f t="shared" si="69"/>
        <v>B03</v>
      </c>
      <c r="AU162" s="72"/>
      <c r="AV162" s="202">
        <v>0.70981743499999905</v>
      </c>
      <c r="AW162" s="202">
        <v>124.3243782409</v>
      </c>
      <c r="AX162" s="65" t="s">
        <v>98</v>
      </c>
      <c r="AY162" s="65" t="s">
        <v>94</v>
      </c>
      <c r="AZ162" s="65" t="s">
        <v>94</v>
      </c>
      <c r="BA162" s="73" t="s">
        <v>77</v>
      </c>
      <c r="BB162" s="65" t="s">
        <v>98</v>
      </c>
      <c r="BC162" s="65">
        <v>31</v>
      </c>
      <c r="BD162" s="65" t="s">
        <v>98</v>
      </c>
      <c r="BE162" s="211" t="str">
        <f t="shared" si="72"/>
        <v>522, POYOWA BESAR,</v>
      </c>
    </row>
    <row r="163" spans="1:57" s="211" customFormat="1" ht="15.75" customHeight="1">
      <c r="A163" s="224"/>
      <c r="B163" s="225"/>
      <c r="C163" s="225"/>
      <c r="D163" s="225"/>
      <c r="E163" s="225"/>
      <c r="F163" s="225"/>
      <c r="G163" s="226"/>
      <c r="H163" s="23">
        <v>9</v>
      </c>
      <c r="I163" s="64" t="str">
        <f t="shared" si="73"/>
        <v>MR.KPBS.P069</v>
      </c>
      <c r="J163" s="64">
        <f t="shared" si="73"/>
        <v>0.70972500000000005</v>
      </c>
      <c r="K163" s="64">
        <f t="shared" si="73"/>
        <v>124.324322</v>
      </c>
      <c r="L163" s="64" t="str">
        <f t="shared" si="73"/>
        <v>JL. RAYA POYOWA BESAR</v>
      </c>
      <c r="M163" s="64" t="str">
        <f t="shared" si="73"/>
        <v>SULAWESI UTARA</v>
      </c>
      <c r="N163" s="65" t="s">
        <v>105</v>
      </c>
      <c r="O163" s="66" t="s">
        <v>118</v>
      </c>
      <c r="P163" s="65" t="s">
        <v>119</v>
      </c>
      <c r="Q163" s="66">
        <v>95717</v>
      </c>
      <c r="R163" s="67"/>
      <c r="S163" s="68"/>
      <c r="T163" s="68"/>
      <c r="U163" s="68"/>
      <c r="V163" s="68"/>
      <c r="W163" s="65" t="s">
        <v>105</v>
      </c>
      <c r="X163" s="64"/>
      <c r="Y163" s="64" t="s">
        <v>106</v>
      </c>
      <c r="Z163" s="64" t="str">
        <f t="shared" si="68"/>
        <v>KELURAHAN POYOWA BESAR SATU KOTAMOBAGU</v>
      </c>
      <c r="AA163" s="65"/>
      <c r="AB163" s="65"/>
      <c r="AC163" s="65" t="s">
        <v>70</v>
      </c>
      <c r="AD163" s="64" t="str">
        <f t="shared" si="74"/>
        <v>POYOWA BESAR</v>
      </c>
      <c r="AE163" s="67"/>
      <c r="AF163" s="67"/>
      <c r="AG163" s="67"/>
      <c r="AH163" s="67"/>
      <c r="AI163" s="69"/>
      <c r="AJ163" s="11" t="s">
        <v>768</v>
      </c>
      <c r="AK163" s="65" t="s">
        <v>96</v>
      </c>
      <c r="AL163" s="65"/>
      <c r="AM163" s="176"/>
      <c r="AN163" s="176"/>
      <c r="AO163" s="176"/>
      <c r="AP163" s="176"/>
      <c r="AQ163" s="186" t="s">
        <v>97</v>
      </c>
      <c r="AR163" s="70" t="str">
        <f t="shared" si="67"/>
        <v>KTG.100.0101</v>
      </c>
      <c r="AS163" s="71" t="str">
        <f t="shared" si="69"/>
        <v>KPBS-2.020</v>
      </c>
      <c r="AT163" s="71" t="str">
        <f t="shared" si="69"/>
        <v>B03</v>
      </c>
      <c r="AU163" s="72"/>
      <c r="AV163" s="202">
        <v>0.70947568599999999</v>
      </c>
      <c r="AW163" s="202">
        <v>124.3243442564</v>
      </c>
      <c r="AX163" s="65" t="s">
        <v>98</v>
      </c>
      <c r="AY163" s="65" t="s">
        <v>94</v>
      </c>
      <c r="AZ163" s="65" t="s">
        <v>94</v>
      </c>
      <c r="BA163" s="73" t="s">
        <v>77</v>
      </c>
      <c r="BB163" s="65" t="s">
        <v>98</v>
      </c>
      <c r="BC163" s="65">
        <v>31</v>
      </c>
      <c r="BD163" s="65" t="s">
        <v>98</v>
      </c>
      <c r="BE163" s="211" t="str">
        <f t="shared" si="72"/>
        <v>554, POYOWA BESAR,</v>
      </c>
    </row>
    <row r="164" spans="1:57" s="211" customFormat="1" ht="15.75" customHeight="1">
      <c r="A164" s="224"/>
      <c r="B164" s="225"/>
      <c r="C164" s="225"/>
      <c r="D164" s="225"/>
      <c r="E164" s="225"/>
      <c r="F164" s="225"/>
      <c r="G164" s="226"/>
      <c r="H164" s="23">
        <v>10</v>
      </c>
      <c r="I164" s="64" t="str">
        <f t="shared" si="73"/>
        <v>MR.KPBS.P069</v>
      </c>
      <c r="J164" s="64">
        <f t="shared" si="73"/>
        <v>0.70972500000000005</v>
      </c>
      <c r="K164" s="64">
        <f t="shared" si="73"/>
        <v>124.324322</v>
      </c>
      <c r="L164" s="64" t="str">
        <f t="shared" si="73"/>
        <v>JL. RAYA POYOWA BESAR</v>
      </c>
      <c r="M164" s="64" t="str">
        <f t="shared" si="73"/>
        <v>SULAWESI UTARA</v>
      </c>
      <c r="N164" s="65" t="s">
        <v>105</v>
      </c>
      <c r="O164" s="66" t="s">
        <v>118</v>
      </c>
      <c r="P164" s="65" t="s">
        <v>119</v>
      </c>
      <c r="Q164" s="66">
        <v>95717</v>
      </c>
      <c r="R164" s="67"/>
      <c r="S164" s="68"/>
      <c r="T164" s="68"/>
      <c r="U164" s="68"/>
      <c r="V164" s="68"/>
      <c r="W164" s="64" t="s">
        <v>105</v>
      </c>
      <c r="X164" s="64"/>
      <c r="Y164" s="64" t="s">
        <v>106</v>
      </c>
      <c r="Z164" s="64" t="str">
        <f t="shared" si="68"/>
        <v>KELURAHAN POYOWA BESAR SATU KOTAMOBAGU</v>
      </c>
      <c r="AA164" s="65"/>
      <c r="AB164" s="65"/>
      <c r="AC164" s="65" t="s">
        <v>70</v>
      </c>
      <c r="AD164" s="64" t="str">
        <f t="shared" si="74"/>
        <v>POYOWA BESAR</v>
      </c>
      <c r="AE164" s="67"/>
      <c r="AF164" s="67"/>
      <c r="AG164" s="67"/>
      <c r="AH164" s="67"/>
      <c r="AI164" s="69"/>
      <c r="AJ164" s="11" t="s">
        <v>769</v>
      </c>
      <c r="AK164" s="65" t="s">
        <v>96</v>
      </c>
      <c r="AL164" s="65"/>
      <c r="AM164" s="65"/>
      <c r="AN164" s="65"/>
      <c r="AO164" s="65"/>
      <c r="AP164" s="65"/>
      <c r="AQ164" s="177" t="s">
        <v>97</v>
      </c>
      <c r="AR164" s="70" t="str">
        <f t="shared" si="67"/>
        <v>KTG.100.0101</v>
      </c>
      <c r="AS164" s="71" t="str">
        <f t="shared" si="69"/>
        <v>KPBS-2.020</v>
      </c>
      <c r="AT164" s="71" t="str">
        <f t="shared" si="69"/>
        <v>B03</v>
      </c>
      <c r="AU164" s="72"/>
      <c r="AV164" s="202">
        <v>0.70935834340000004</v>
      </c>
      <c r="AW164" s="202">
        <v>124.32428945460001</v>
      </c>
      <c r="AX164" s="65" t="s">
        <v>98</v>
      </c>
      <c r="AY164" s="65" t="s">
        <v>94</v>
      </c>
      <c r="AZ164" s="65" t="s">
        <v>94</v>
      </c>
      <c r="BA164" s="73" t="s">
        <v>77</v>
      </c>
      <c r="BB164" s="65" t="s">
        <v>98</v>
      </c>
      <c r="BC164" s="65">
        <v>31</v>
      </c>
      <c r="BD164" s="65" t="s">
        <v>98</v>
      </c>
      <c r="BE164" s="211" t="str">
        <f t="shared" si="72"/>
        <v>555, POYOWA BESAR,</v>
      </c>
    </row>
    <row r="165" spans="1:57" s="211" customFormat="1" ht="15.75" customHeight="1">
      <c r="A165" s="36" t="s">
        <v>78</v>
      </c>
      <c r="B165" s="36">
        <f>B155+1</f>
        <v>12</v>
      </c>
      <c r="C165" s="33" t="s">
        <v>99</v>
      </c>
      <c r="D165" s="37" t="s">
        <v>351</v>
      </c>
      <c r="E165" s="38">
        <v>1</v>
      </c>
      <c r="F165" s="39">
        <f>F156+1</f>
        <v>7</v>
      </c>
      <c r="G165" s="213" t="s">
        <v>86</v>
      </c>
      <c r="H165" s="35">
        <v>1</v>
      </c>
      <c r="I165" s="48" t="s">
        <v>963</v>
      </c>
      <c r="J165" s="54">
        <v>0.70939700000000006</v>
      </c>
      <c r="K165" s="54">
        <v>124.323767</v>
      </c>
      <c r="L165" s="116" t="s">
        <v>116</v>
      </c>
      <c r="M165" s="56" t="str">
        <f>M164</f>
        <v>SULAWESI UTARA</v>
      </c>
      <c r="N165" s="76" t="s">
        <v>105</v>
      </c>
      <c r="O165" s="49" t="s">
        <v>118</v>
      </c>
      <c r="P165" s="76" t="s">
        <v>119</v>
      </c>
      <c r="Q165" s="49">
        <v>95717</v>
      </c>
      <c r="R165" s="51"/>
      <c r="S165" s="52"/>
      <c r="T165" s="53"/>
      <c r="U165" s="52"/>
      <c r="V165" s="53"/>
      <c r="W165" s="50" t="s">
        <v>105</v>
      </c>
      <c r="X165" s="54"/>
      <c r="Y165" s="56" t="s">
        <v>106</v>
      </c>
      <c r="Z165" s="56" t="str">
        <f>Z164</f>
        <v>KELURAHAN POYOWA BESAR SATU KOTAMOBAGU</v>
      </c>
      <c r="AA165" s="55"/>
      <c r="AB165" s="55"/>
      <c r="AC165" s="55" t="s">
        <v>70</v>
      </c>
      <c r="AD165" s="116" t="s">
        <v>119</v>
      </c>
      <c r="AE165" s="57"/>
      <c r="AF165" s="57"/>
      <c r="AG165" s="57"/>
      <c r="AH165" s="57"/>
      <c r="AI165" s="58"/>
      <c r="AJ165" s="114" t="s">
        <v>770</v>
      </c>
      <c r="AK165" s="55" t="s">
        <v>96</v>
      </c>
      <c r="AL165" s="62"/>
      <c r="AM165" s="184"/>
      <c r="AN165" s="184"/>
      <c r="AO165" s="184"/>
      <c r="AP165" s="184"/>
      <c r="AQ165" s="185" t="s">
        <v>97</v>
      </c>
      <c r="AR165" s="59" t="str">
        <f>AR164</f>
        <v>KTG.100.0101</v>
      </c>
      <c r="AS165" s="60" t="str">
        <f>AS109</f>
        <v>KPBS-2.020</v>
      </c>
      <c r="AT165" s="60" t="str">
        <f>AT164</f>
        <v>B03</v>
      </c>
      <c r="AU165" s="61"/>
      <c r="AV165" s="201">
        <v>0.70941485209999999</v>
      </c>
      <c r="AW165" s="201">
        <v>124.32416811980001</v>
      </c>
      <c r="AX165" s="62" t="s">
        <v>98</v>
      </c>
      <c r="AY165" s="62" t="s">
        <v>94</v>
      </c>
      <c r="AZ165" s="62" t="s">
        <v>94</v>
      </c>
      <c r="BA165" s="63" t="s">
        <v>77</v>
      </c>
      <c r="BB165" s="62" t="s">
        <v>98</v>
      </c>
      <c r="BC165" s="62">
        <v>31</v>
      </c>
      <c r="BD165" s="62" t="s">
        <v>98</v>
      </c>
      <c r="BE165" s="211" t="str">
        <f t="shared" si="72"/>
        <v>556, POYOWA BESAR,</v>
      </c>
    </row>
    <row r="166" spans="1:57" s="211" customFormat="1" ht="15.75" customHeight="1">
      <c r="A166" s="46"/>
      <c r="B166" s="46"/>
      <c r="C166" s="22" t="s">
        <v>99</v>
      </c>
      <c r="D166" s="22" t="s">
        <v>351</v>
      </c>
      <c r="E166" s="33">
        <v>1</v>
      </c>
      <c r="F166" s="47">
        <f>F165+1</f>
        <v>8</v>
      </c>
      <c r="G166" s="214"/>
      <c r="H166" s="23">
        <v>2</v>
      </c>
      <c r="I166" s="64" t="str">
        <f t="shared" ref="I166:M176" si="75">I165</f>
        <v>MR.KPBS.P073</v>
      </c>
      <c r="J166" s="64">
        <f t="shared" si="75"/>
        <v>0.70939700000000006</v>
      </c>
      <c r="K166" s="64">
        <f t="shared" si="75"/>
        <v>124.323767</v>
      </c>
      <c r="L166" s="64" t="str">
        <f t="shared" si="75"/>
        <v>JL. RAYA POYOWA BESAR</v>
      </c>
      <c r="M166" s="64" t="str">
        <f t="shared" si="73"/>
        <v>SULAWESI UTARA</v>
      </c>
      <c r="N166" s="65" t="s">
        <v>105</v>
      </c>
      <c r="O166" s="66" t="s">
        <v>118</v>
      </c>
      <c r="P166" s="65" t="s">
        <v>119</v>
      </c>
      <c r="Q166" s="66">
        <v>95717</v>
      </c>
      <c r="R166" s="67"/>
      <c r="S166" s="68"/>
      <c r="T166" s="68"/>
      <c r="U166" s="68"/>
      <c r="V166" s="68"/>
      <c r="W166" s="65" t="s">
        <v>105</v>
      </c>
      <c r="X166" s="64"/>
      <c r="Y166" s="64" t="s">
        <v>106</v>
      </c>
      <c r="Z166" s="64" t="str">
        <f t="shared" si="68"/>
        <v>KELURAHAN POYOWA BESAR SATU KOTAMOBAGU</v>
      </c>
      <c r="AA166" s="65"/>
      <c r="AB166" s="65"/>
      <c r="AC166" s="65" t="s">
        <v>70</v>
      </c>
      <c r="AD166" s="64" t="str">
        <f t="shared" ref="AD166:AD175" si="76">AD165</f>
        <v>POYOWA BESAR</v>
      </c>
      <c r="AE166" s="67"/>
      <c r="AF166" s="67"/>
      <c r="AG166" s="67"/>
      <c r="AH166" s="67"/>
      <c r="AI166" s="69"/>
      <c r="AJ166" s="11" t="s">
        <v>771</v>
      </c>
      <c r="AK166" s="65" t="s">
        <v>96</v>
      </c>
      <c r="AL166" s="65"/>
      <c r="AM166" s="176"/>
      <c r="AN166" s="176"/>
      <c r="AO166" s="176"/>
      <c r="AP166" s="176"/>
      <c r="AQ166" s="177" t="s">
        <v>97</v>
      </c>
      <c r="AR166" s="70" t="str">
        <f t="shared" si="67"/>
        <v>KTG.100.0101</v>
      </c>
      <c r="AS166" s="71" t="str">
        <f t="shared" si="69"/>
        <v>KPBS-2.020</v>
      </c>
      <c r="AT166" s="71" t="str">
        <f t="shared" si="69"/>
        <v>B03</v>
      </c>
      <c r="AU166" s="72"/>
      <c r="AV166" s="202">
        <v>0.70938800680000003</v>
      </c>
      <c r="AW166" s="202">
        <v>124.324080818</v>
      </c>
      <c r="AX166" s="65" t="s">
        <v>98</v>
      </c>
      <c r="AY166" s="65" t="s">
        <v>94</v>
      </c>
      <c r="AZ166" s="65" t="s">
        <v>94</v>
      </c>
      <c r="BA166" s="73" t="s">
        <v>77</v>
      </c>
      <c r="BB166" s="65" t="s">
        <v>98</v>
      </c>
      <c r="BC166" s="65">
        <v>31</v>
      </c>
      <c r="BD166" s="65" t="s">
        <v>98</v>
      </c>
      <c r="BE166" s="211" t="str">
        <f t="shared" si="72"/>
        <v>557, POYOWA BESAR,</v>
      </c>
    </row>
    <row r="167" spans="1:57" s="211" customFormat="1" ht="15.75" customHeight="1">
      <c r="A167" s="221"/>
      <c r="B167" s="222"/>
      <c r="C167" s="222"/>
      <c r="D167" s="222"/>
      <c r="E167" s="222"/>
      <c r="F167" s="222"/>
      <c r="G167" s="223"/>
      <c r="H167" s="23">
        <v>3</v>
      </c>
      <c r="I167" s="64" t="str">
        <f t="shared" si="75"/>
        <v>MR.KPBS.P073</v>
      </c>
      <c r="J167" s="64">
        <f t="shared" si="75"/>
        <v>0.70939700000000006</v>
      </c>
      <c r="K167" s="64">
        <f t="shared" si="75"/>
        <v>124.323767</v>
      </c>
      <c r="L167" s="64" t="str">
        <f t="shared" si="75"/>
        <v>JL. RAYA POYOWA BESAR</v>
      </c>
      <c r="M167" s="64" t="str">
        <f t="shared" si="73"/>
        <v>SULAWESI UTARA</v>
      </c>
      <c r="N167" s="65" t="s">
        <v>105</v>
      </c>
      <c r="O167" s="66" t="s">
        <v>118</v>
      </c>
      <c r="P167" s="65" t="s">
        <v>119</v>
      </c>
      <c r="Q167" s="66">
        <v>95717</v>
      </c>
      <c r="R167" s="67"/>
      <c r="S167" s="68"/>
      <c r="T167" s="68"/>
      <c r="U167" s="68"/>
      <c r="V167" s="68"/>
      <c r="W167" s="65" t="s">
        <v>105</v>
      </c>
      <c r="X167" s="64"/>
      <c r="Y167" s="64" t="s">
        <v>106</v>
      </c>
      <c r="Z167" s="64" t="str">
        <f t="shared" si="68"/>
        <v>KELURAHAN POYOWA BESAR SATU KOTAMOBAGU</v>
      </c>
      <c r="AA167" s="65"/>
      <c r="AB167" s="65"/>
      <c r="AC167" s="65" t="s">
        <v>70</v>
      </c>
      <c r="AD167" s="64" t="str">
        <f t="shared" si="76"/>
        <v>POYOWA BESAR</v>
      </c>
      <c r="AE167" s="67"/>
      <c r="AF167" s="67"/>
      <c r="AG167" s="67"/>
      <c r="AH167" s="67"/>
      <c r="AI167" s="69"/>
      <c r="AJ167" s="11" t="s">
        <v>772</v>
      </c>
      <c r="AK167" s="65" t="s">
        <v>96</v>
      </c>
      <c r="AL167" s="65"/>
      <c r="AM167" s="176"/>
      <c r="AN167" s="176"/>
      <c r="AO167" s="176"/>
      <c r="AP167" s="176"/>
      <c r="AQ167" s="177" t="s">
        <v>97</v>
      </c>
      <c r="AR167" s="70" t="str">
        <f t="shared" si="67"/>
        <v>KTG.100.0101</v>
      </c>
      <c r="AS167" s="71" t="str">
        <f t="shared" si="69"/>
        <v>KPBS-2.020</v>
      </c>
      <c r="AT167" s="71" t="str">
        <f t="shared" si="69"/>
        <v>B03</v>
      </c>
      <c r="AU167" s="72"/>
      <c r="AV167" s="202">
        <v>0.70929918849999996</v>
      </c>
      <c r="AW167" s="202">
        <v>124.3240157116</v>
      </c>
      <c r="AX167" s="65" t="s">
        <v>98</v>
      </c>
      <c r="AY167" s="65" t="s">
        <v>94</v>
      </c>
      <c r="AZ167" s="65" t="s">
        <v>94</v>
      </c>
      <c r="BA167" s="73" t="s">
        <v>77</v>
      </c>
      <c r="BB167" s="65" t="s">
        <v>98</v>
      </c>
      <c r="BC167" s="65">
        <v>31</v>
      </c>
      <c r="BD167" s="65" t="s">
        <v>98</v>
      </c>
      <c r="BE167" s="211" t="str">
        <f t="shared" si="72"/>
        <v>558, POYOWA BESAR,</v>
      </c>
    </row>
    <row r="168" spans="1:57" s="211" customFormat="1" ht="15.75" customHeight="1">
      <c r="A168" s="224"/>
      <c r="B168" s="225"/>
      <c r="C168" s="225"/>
      <c r="D168" s="225"/>
      <c r="E168" s="225"/>
      <c r="F168" s="225"/>
      <c r="G168" s="226"/>
      <c r="H168" s="23">
        <v>4</v>
      </c>
      <c r="I168" s="64" t="str">
        <f t="shared" si="75"/>
        <v>MR.KPBS.P073</v>
      </c>
      <c r="J168" s="64">
        <f t="shared" si="75"/>
        <v>0.70939700000000006</v>
      </c>
      <c r="K168" s="64">
        <f t="shared" si="75"/>
        <v>124.323767</v>
      </c>
      <c r="L168" s="64" t="str">
        <f t="shared" si="75"/>
        <v>JL. RAYA POYOWA BESAR</v>
      </c>
      <c r="M168" s="64" t="str">
        <f t="shared" si="73"/>
        <v>SULAWESI UTARA</v>
      </c>
      <c r="N168" s="65" t="s">
        <v>105</v>
      </c>
      <c r="O168" s="66" t="s">
        <v>118</v>
      </c>
      <c r="P168" s="65" t="s">
        <v>119</v>
      </c>
      <c r="Q168" s="66">
        <v>95717</v>
      </c>
      <c r="R168" s="67"/>
      <c r="S168" s="68"/>
      <c r="T168" s="68"/>
      <c r="U168" s="68"/>
      <c r="V168" s="68"/>
      <c r="W168" s="65" t="s">
        <v>105</v>
      </c>
      <c r="X168" s="64"/>
      <c r="Y168" s="64" t="s">
        <v>106</v>
      </c>
      <c r="Z168" s="64" t="str">
        <f t="shared" si="68"/>
        <v>KELURAHAN POYOWA BESAR SATU KOTAMOBAGU</v>
      </c>
      <c r="AA168" s="65"/>
      <c r="AB168" s="65"/>
      <c r="AC168" s="65" t="s">
        <v>70</v>
      </c>
      <c r="AD168" s="64" t="str">
        <f t="shared" si="76"/>
        <v>POYOWA BESAR</v>
      </c>
      <c r="AE168" s="67"/>
      <c r="AF168" s="67"/>
      <c r="AG168" s="67"/>
      <c r="AH168" s="67"/>
      <c r="AI168" s="69"/>
      <c r="AJ168" s="11" t="s">
        <v>773</v>
      </c>
      <c r="AK168" s="65" t="s">
        <v>96</v>
      </c>
      <c r="AL168" s="65"/>
      <c r="AM168" s="176"/>
      <c r="AN168" s="176"/>
      <c r="AO168" s="176"/>
      <c r="AP168" s="176"/>
      <c r="AQ168" s="177" t="s">
        <v>97</v>
      </c>
      <c r="AR168" s="70" t="str">
        <f t="shared" si="67"/>
        <v>KTG.100.0101</v>
      </c>
      <c r="AS168" s="71" t="str">
        <f t="shared" si="69"/>
        <v>KPBS-2.020</v>
      </c>
      <c r="AT168" s="71" t="str">
        <f t="shared" si="69"/>
        <v>B03</v>
      </c>
      <c r="AU168" s="72"/>
      <c r="AV168" s="202">
        <v>0.70927694549999998</v>
      </c>
      <c r="AW168" s="202">
        <v>124.3239298896</v>
      </c>
      <c r="AX168" s="65" t="s">
        <v>98</v>
      </c>
      <c r="AY168" s="65" t="s">
        <v>94</v>
      </c>
      <c r="AZ168" s="65" t="s">
        <v>94</v>
      </c>
      <c r="BA168" s="73" t="s">
        <v>77</v>
      </c>
      <c r="BB168" s="65" t="s">
        <v>98</v>
      </c>
      <c r="BC168" s="65">
        <v>31</v>
      </c>
      <c r="BD168" s="65" t="s">
        <v>98</v>
      </c>
      <c r="BE168" s="211" t="str">
        <f t="shared" si="72"/>
        <v>559, POYOWA BESAR,</v>
      </c>
    </row>
    <row r="169" spans="1:57" s="211" customFormat="1" ht="15.75" customHeight="1">
      <c r="A169" s="224"/>
      <c r="B169" s="225"/>
      <c r="C169" s="225"/>
      <c r="D169" s="225"/>
      <c r="E169" s="225"/>
      <c r="F169" s="225"/>
      <c r="G169" s="226"/>
      <c r="H169" s="23">
        <v>5</v>
      </c>
      <c r="I169" s="64" t="str">
        <f t="shared" si="75"/>
        <v>MR.KPBS.P073</v>
      </c>
      <c r="J169" s="64">
        <f t="shared" si="75"/>
        <v>0.70939700000000006</v>
      </c>
      <c r="K169" s="64">
        <f t="shared" si="75"/>
        <v>124.323767</v>
      </c>
      <c r="L169" s="64" t="str">
        <f t="shared" si="75"/>
        <v>JL. RAYA POYOWA BESAR</v>
      </c>
      <c r="M169" s="64" t="str">
        <f t="shared" si="73"/>
        <v>SULAWESI UTARA</v>
      </c>
      <c r="N169" s="65" t="s">
        <v>105</v>
      </c>
      <c r="O169" s="66" t="s">
        <v>118</v>
      </c>
      <c r="P169" s="65" t="s">
        <v>119</v>
      </c>
      <c r="Q169" s="66">
        <v>95717</v>
      </c>
      <c r="R169" s="67"/>
      <c r="S169" s="68"/>
      <c r="T169" s="68"/>
      <c r="U169" s="68"/>
      <c r="V169" s="68"/>
      <c r="W169" s="65" t="s">
        <v>105</v>
      </c>
      <c r="X169" s="64"/>
      <c r="Y169" s="64" t="s">
        <v>106</v>
      </c>
      <c r="Z169" s="64" t="str">
        <f t="shared" si="68"/>
        <v>KELURAHAN POYOWA BESAR SATU KOTAMOBAGU</v>
      </c>
      <c r="AA169" s="65"/>
      <c r="AB169" s="65"/>
      <c r="AC169" s="65" t="s">
        <v>70</v>
      </c>
      <c r="AD169" s="64" t="str">
        <f t="shared" si="76"/>
        <v>POYOWA BESAR</v>
      </c>
      <c r="AE169" s="67"/>
      <c r="AF169" s="67"/>
      <c r="AG169" s="67"/>
      <c r="AH169" s="67"/>
      <c r="AI169" s="69"/>
      <c r="AJ169" s="11" t="s">
        <v>774</v>
      </c>
      <c r="AK169" s="65" t="s">
        <v>96</v>
      </c>
      <c r="AL169" s="65"/>
      <c r="AM169" s="176"/>
      <c r="AN169" s="176"/>
      <c r="AO169" s="176"/>
      <c r="AP169" s="176"/>
      <c r="AQ169" s="177" t="s">
        <v>97</v>
      </c>
      <c r="AR169" s="70" t="str">
        <f t="shared" si="67"/>
        <v>KTG.100.0101</v>
      </c>
      <c r="AS169" s="71" t="str">
        <f t="shared" si="69"/>
        <v>KPBS-2.020</v>
      </c>
      <c r="AT169" s="71" t="str">
        <f t="shared" si="69"/>
        <v>B03</v>
      </c>
      <c r="AU169" s="72"/>
      <c r="AV169" s="202">
        <v>0.70925309270000003</v>
      </c>
      <c r="AW169" s="202">
        <v>124.32385575169999</v>
      </c>
      <c r="AX169" s="65" t="s">
        <v>98</v>
      </c>
      <c r="AY169" s="65" t="s">
        <v>94</v>
      </c>
      <c r="AZ169" s="65" t="s">
        <v>94</v>
      </c>
      <c r="BA169" s="73" t="s">
        <v>77</v>
      </c>
      <c r="BB169" s="65" t="s">
        <v>98</v>
      </c>
      <c r="BC169" s="65">
        <v>31</v>
      </c>
      <c r="BD169" s="65" t="s">
        <v>98</v>
      </c>
      <c r="BE169" s="211" t="str">
        <f t="shared" si="72"/>
        <v>560, POYOWA BESAR,</v>
      </c>
    </row>
    <row r="170" spans="1:57" s="211" customFormat="1" ht="15.75" customHeight="1">
      <c r="A170" s="224"/>
      <c r="B170" s="225"/>
      <c r="C170" s="225"/>
      <c r="D170" s="225"/>
      <c r="E170" s="225"/>
      <c r="F170" s="225"/>
      <c r="G170" s="226"/>
      <c r="H170" s="23">
        <v>6</v>
      </c>
      <c r="I170" s="64" t="str">
        <f t="shared" si="75"/>
        <v>MR.KPBS.P073</v>
      </c>
      <c r="J170" s="64">
        <f t="shared" si="75"/>
        <v>0.70939700000000006</v>
      </c>
      <c r="K170" s="64">
        <f t="shared" si="75"/>
        <v>124.323767</v>
      </c>
      <c r="L170" s="64" t="str">
        <f t="shared" si="75"/>
        <v>JL. RAYA POYOWA BESAR</v>
      </c>
      <c r="M170" s="64" t="str">
        <f t="shared" si="73"/>
        <v>SULAWESI UTARA</v>
      </c>
      <c r="N170" s="65" t="s">
        <v>105</v>
      </c>
      <c r="O170" s="66" t="s">
        <v>118</v>
      </c>
      <c r="P170" s="65" t="s">
        <v>119</v>
      </c>
      <c r="Q170" s="66">
        <v>95717</v>
      </c>
      <c r="R170" s="67"/>
      <c r="S170" s="68"/>
      <c r="T170" s="68"/>
      <c r="U170" s="68"/>
      <c r="V170" s="68"/>
      <c r="W170" s="65" t="s">
        <v>105</v>
      </c>
      <c r="X170" s="64"/>
      <c r="Y170" s="64" t="s">
        <v>106</v>
      </c>
      <c r="Z170" s="64" t="str">
        <f t="shared" si="68"/>
        <v>KELURAHAN POYOWA BESAR SATU KOTAMOBAGU</v>
      </c>
      <c r="AA170" s="65"/>
      <c r="AB170" s="65"/>
      <c r="AC170" s="65" t="s">
        <v>70</v>
      </c>
      <c r="AD170" s="64" t="str">
        <f t="shared" si="76"/>
        <v>POYOWA BESAR</v>
      </c>
      <c r="AE170" s="67"/>
      <c r="AF170" s="67"/>
      <c r="AG170" s="67"/>
      <c r="AH170" s="67"/>
      <c r="AI170" s="69"/>
      <c r="AJ170" s="11" t="s">
        <v>775</v>
      </c>
      <c r="AK170" s="65" t="s">
        <v>96</v>
      </c>
      <c r="AL170" s="65"/>
      <c r="AM170" s="176"/>
      <c r="AN170" s="176"/>
      <c r="AO170" s="176"/>
      <c r="AP170" s="176"/>
      <c r="AQ170" s="177" t="s">
        <v>97</v>
      </c>
      <c r="AR170" s="70" t="str">
        <f t="shared" si="67"/>
        <v>KTG.100.0101</v>
      </c>
      <c r="AS170" s="71" t="str">
        <f t="shared" ref="AS170" si="77">AS169</f>
        <v>KPBS-2.020</v>
      </c>
      <c r="AT170" s="71" t="str">
        <f t="shared" ref="AT170" si="78">AT169</f>
        <v>B03</v>
      </c>
      <c r="AU170" s="72"/>
      <c r="AV170" s="202">
        <v>0.7091878466</v>
      </c>
      <c r="AW170" s="202">
        <v>124.3237743687</v>
      </c>
      <c r="AX170" s="65" t="s">
        <v>98</v>
      </c>
      <c r="AY170" s="65" t="s">
        <v>94</v>
      </c>
      <c r="AZ170" s="65" t="s">
        <v>94</v>
      </c>
      <c r="BA170" s="73" t="s">
        <v>77</v>
      </c>
      <c r="BB170" s="65" t="s">
        <v>98</v>
      </c>
      <c r="BC170" s="65">
        <v>31</v>
      </c>
      <c r="BD170" s="65" t="s">
        <v>98</v>
      </c>
      <c r="BE170" s="211" t="str">
        <f t="shared" ref="BE170" si="79">AJ170&amp;", "&amp;AD170&amp;","&amp;AI170</f>
        <v>561, POYOWA BESAR,</v>
      </c>
    </row>
    <row r="171" spans="1:57" s="211" customFormat="1" ht="15.75" customHeight="1">
      <c r="A171" s="224"/>
      <c r="B171" s="225"/>
      <c r="C171" s="225"/>
      <c r="D171" s="225"/>
      <c r="E171" s="225"/>
      <c r="F171" s="225"/>
      <c r="G171" s="226"/>
      <c r="H171" s="23">
        <v>7</v>
      </c>
      <c r="I171" s="64" t="str">
        <f>I169</f>
        <v>MR.KPBS.P073</v>
      </c>
      <c r="J171" s="64">
        <f>J169</f>
        <v>0.70939700000000006</v>
      </c>
      <c r="K171" s="64">
        <f>K169</f>
        <v>124.323767</v>
      </c>
      <c r="L171" s="64" t="str">
        <f>L169</f>
        <v>JL. RAYA POYOWA BESAR</v>
      </c>
      <c r="M171" s="64" t="str">
        <f>M169</f>
        <v>SULAWESI UTARA</v>
      </c>
      <c r="N171" s="65" t="s">
        <v>105</v>
      </c>
      <c r="O171" s="66" t="s">
        <v>118</v>
      </c>
      <c r="P171" s="65" t="s">
        <v>119</v>
      </c>
      <c r="Q171" s="66">
        <v>95717</v>
      </c>
      <c r="R171" s="67"/>
      <c r="S171" s="68"/>
      <c r="T171" s="74"/>
      <c r="U171" s="74"/>
      <c r="V171" s="74"/>
      <c r="W171" s="65" t="s">
        <v>105</v>
      </c>
      <c r="X171" s="64"/>
      <c r="Y171" s="64" t="s">
        <v>106</v>
      </c>
      <c r="Z171" s="64" t="str">
        <f t="shared" si="68"/>
        <v>KELURAHAN POYOWA BESAR SATU KOTAMOBAGU</v>
      </c>
      <c r="AA171" s="65"/>
      <c r="AB171" s="65"/>
      <c r="AC171" s="65" t="s">
        <v>70</v>
      </c>
      <c r="AD171" s="64" t="str">
        <f>AD169</f>
        <v>POYOWA BESAR</v>
      </c>
      <c r="AE171" s="75"/>
      <c r="AF171" s="75"/>
      <c r="AG171" s="75"/>
      <c r="AH171" s="75"/>
      <c r="AI171" s="69"/>
      <c r="AJ171" s="11" t="s">
        <v>776</v>
      </c>
      <c r="AK171" s="65" t="s">
        <v>96</v>
      </c>
      <c r="AL171" s="65"/>
      <c r="AM171" s="176"/>
      <c r="AN171" s="176"/>
      <c r="AO171" s="176"/>
      <c r="AP171" s="176"/>
      <c r="AQ171" s="186" t="s">
        <v>97</v>
      </c>
      <c r="AR171" s="70" t="str">
        <f t="shared" si="67"/>
        <v>KTG.100.0101</v>
      </c>
      <c r="AS171" s="71" t="str">
        <f>AS169</f>
        <v>KPBS-2.020</v>
      </c>
      <c r="AT171" s="71" t="str">
        <f>AT169</f>
        <v>B03</v>
      </c>
      <c r="AU171" s="72"/>
      <c r="AV171" s="202">
        <v>0.7091626378</v>
      </c>
      <c r="AW171" s="202">
        <v>124.3236781887</v>
      </c>
      <c r="AX171" s="65" t="s">
        <v>98</v>
      </c>
      <c r="AY171" s="65" t="s">
        <v>94</v>
      </c>
      <c r="AZ171" s="65" t="s">
        <v>94</v>
      </c>
      <c r="BA171" s="73" t="s">
        <v>77</v>
      </c>
      <c r="BB171" s="65" t="s">
        <v>98</v>
      </c>
      <c r="BC171" s="65">
        <v>31</v>
      </c>
      <c r="BD171" s="65" t="s">
        <v>98</v>
      </c>
      <c r="BE171" s="211" t="str">
        <f t="shared" si="72"/>
        <v>562, POYOWA BESAR,</v>
      </c>
    </row>
    <row r="172" spans="1:57" s="211" customFormat="1" ht="15.75" customHeight="1">
      <c r="A172" s="224"/>
      <c r="B172" s="225"/>
      <c r="C172" s="225"/>
      <c r="D172" s="225"/>
      <c r="E172" s="225"/>
      <c r="F172" s="225"/>
      <c r="G172" s="226"/>
      <c r="H172" s="23">
        <v>8</v>
      </c>
      <c r="I172" s="64" t="str">
        <f t="shared" si="75"/>
        <v>MR.KPBS.P073</v>
      </c>
      <c r="J172" s="64">
        <f t="shared" si="75"/>
        <v>0.70939700000000006</v>
      </c>
      <c r="K172" s="64">
        <f t="shared" si="75"/>
        <v>124.323767</v>
      </c>
      <c r="L172" s="64" t="str">
        <f t="shared" si="75"/>
        <v>JL. RAYA POYOWA BESAR</v>
      </c>
      <c r="M172" s="64" t="str">
        <f t="shared" si="75"/>
        <v>SULAWESI UTARA</v>
      </c>
      <c r="N172" s="65" t="s">
        <v>105</v>
      </c>
      <c r="O172" s="66" t="s">
        <v>118</v>
      </c>
      <c r="P172" s="65" t="s">
        <v>119</v>
      </c>
      <c r="Q172" s="66">
        <v>95717</v>
      </c>
      <c r="R172" s="67"/>
      <c r="S172" s="68"/>
      <c r="T172" s="68"/>
      <c r="U172" s="68"/>
      <c r="V172" s="68"/>
      <c r="W172" s="65" t="s">
        <v>105</v>
      </c>
      <c r="X172" s="64"/>
      <c r="Y172" s="64" t="s">
        <v>106</v>
      </c>
      <c r="Z172" s="64" t="str">
        <f t="shared" si="68"/>
        <v>KELURAHAN POYOWA BESAR SATU KOTAMOBAGU</v>
      </c>
      <c r="AA172" s="65"/>
      <c r="AB172" s="65"/>
      <c r="AC172" s="65" t="s">
        <v>70</v>
      </c>
      <c r="AD172" s="64" t="str">
        <f t="shared" si="76"/>
        <v>POYOWA BESAR</v>
      </c>
      <c r="AE172" s="67"/>
      <c r="AF172" s="67"/>
      <c r="AG172" s="67"/>
      <c r="AH172" s="67"/>
      <c r="AI172" s="69"/>
      <c r="AJ172" s="11" t="s">
        <v>777</v>
      </c>
      <c r="AK172" s="65" t="s">
        <v>96</v>
      </c>
      <c r="AL172" s="65"/>
      <c r="AM172" s="65"/>
      <c r="AN172" s="65"/>
      <c r="AO172" s="65"/>
      <c r="AP172" s="65"/>
      <c r="AQ172" s="177" t="s">
        <v>97</v>
      </c>
      <c r="AR172" s="70" t="str">
        <f t="shared" si="67"/>
        <v>KTG.100.0101</v>
      </c>
      <c r="AS172" s="71" t="str">
        <f t="shared" si="69"/>
        <v>KPBS-2.020</v>
      </c>
      <c r="AT172" s="71" t="str">
        <f t="shared" si="69"/>
        <v>B03</v>
      </c>
      <c r="AU172" s="72"/>
      <c r="AV172" s="202">
        <v>0.7091196286</v>
      </c>
      <c r="AW172" s="202">
        <v>124.32358940739999</v>
      </c>
      <c r="AX172" s="65" t="s">
        <v>98</v>
      </c>
      <c r="AY172" s="65" t="s">
        <v>94</v>
      </c>
      <c r="AZ172" s="65" t="s">
        <v>94</v>
      </c>
      <c r="BA172" s="73" t="s">
        <v>77</v>
      </c>
      <c r="BB172" s="65" t="s">
        <v>98</v>
      </c>
      <c r="BC172" s="65">
        <v>31</v>
      </c>
      <c r="BD172" s="65" t="s">
        <v>98</v>
      </c>
      <c r="BE172" s="211" t="str">
        <f t="shared" si="72"/>
        <v>563, POYOWA BESAR,</v>
      </c>
    </row>
    <row r="173" spans="1:57" s="211" customFormat="1" ht="15.75" customHeight="1">
      <c r="A173" s="224"/>
      <c r="B173" s="225"/>
      <c r="C173" s="225"/>
      <c r="D173" s="225"/>
      <c r="E173" s="225"/>
      <c r="F173" s="225"/>
      <c r="G173" s="226"/>
      <c r="H173" s="23">
        <v>9</v>
      </c>
      <c r="I173" s="64" t="str">
        <f t="shared" si="75"/>
        <v>MR.KPBS.P073</v>
      </c>
      <c r="J173" s="64">
        <f t="shared" si="75"/>
        <v>0.70939700000000006</v>
      </c>
      <c r="K173" s="64">
        <f t="shared" si="75"/>
        <v>124.323767</v>
      </c>
      <c r="L173" s="64" t="str">
        <f t="shared" si="75"/>
        <v>JL. RAYA POYOWA BESAR</v>
      </c>
      <c r="M173" s="64" t="str">
        <f t="shared" si="75"/>
        <v>SULAWESI UTARA</v>
      </c>
      <c r="N173" s="65" t="s">
        <v>105</v>
      </c>
      <c r="O173" s="66" t="s">
        <v>118</v>
      </c>
      <c r="P173" s="65" t="s">
        <v>119</v>
      </c>
      <c r="Q173" s="66">
        <v>95717</v>
      </c>
      <c r="R173" s="67"/>
      <c r="S173" s="68"/>
      <c r="T173" s="68"/>
      <c r="U173" s="68"/>
      <c r="V173" s="68"/>
      <c r="W173" s="64" t="s">
        <v>105</v>
      </c>
      <c r="X173" s="64"/>
      <c r="Y173" s="64" t="s">
        <v>106</v>
      </c>
      <c r="Z173" s="64" t="str">
        <f t="shared" si="68"/>
        <v>KELURAHAN POYOWA BESAR SATU KOTAMOBAGU</v>
      </c>
      <c r="AA173" s="65"/>
      <c r="AB173" s="65"/>
      <c r="AC173" s="65" t="s">
        <v>70</v>
      </c>
      <c r="AD173" s="64" t="str">
        <f t="shared" si="76"/>
        <v>POYOWA BESAR</v>
      </c>
      <c r="AE173" s="67"/>
      <c r="AF173" s="67"/>
      <c r="AG173" s="67"/>
      <c r="AH173" s="67"/>
      <c r="AI173" s="69"/>
      <c r="AJ173" s="11" t="s">
        <v>778</v>
      </c>
      <c r="AK173" s="65" t="s">
        <v>96</v>
      </c>
      <c r="AL173" s="65"/>
      <c r="AM173" s="65"/>
      <c r="AN173" s="65"/>
      <c r="AO173" s="65"/>
      <c r="AP173" s="65"/>
      <c r="AQ173" s="177" t="s">
        <v>97</v>
      </c>
      <c r="AR173" s="70" t="str">
        <f t="shared" si="67"/>
        <v>KTG.100.0101</v>
      </c>
      <c r="AS173" s="71" t="str">
        <f t="shared" si="69"/>
        <v>KPBS-2.020</v>
      </c>
      <c r="AT173" s="71" t="str">
        <f t="shared" si="69"/>
        <v>B03</v>
      </c>
      <c r="AU173" s="72"/>
      <c r="AV173" s="202">
        <v>0.70909287880000005</v>
      </c>
      <c r="AW173" s="202">
        <v>124.3234990644</v>
      </c>
      <c r="AX173" s="65" t="s">
        <v>98</v>
      </c>
      <c r="AY173" s="65" t="s">
        <v>94</v>
      </c>
      <c r="AZ173" s="65" t="s">
        <v>94</v>
      </c>
      <c r="BA173" s="73" t="s">
        <v>77</v>
      </c>
      <c r="BB173" s="65" t="s">
        <v>98</v>
      </c>
      <c r="BC173" s="65">
        <v>31</v>
      </c>
      <c r="BD173" s="65" t="s">
        <v>98</v>
      </c>
      <c r="BE173" s="211" t="str">
        <f t="shared" si="72"/>
        <v>564, POYOWA BESAR,</v>
      </c>
    </row>
    <row r="174" spans="1:57" s="211" customFormat="1" ht="15.75" customHeight="1">
      <c r="A174" s="224"/>
      <c r="B174" s="225"/>
      <c r="C174" s="225"/>
      <c r="D174" s="225"/>
      <c r="E174" s="225"/>
      <c r="F174" s="225"/>
      <c r="G174" s="226"/>
      <c r="H174" s="23">
        <v>10</v>
      </c>
      <c r="I174" s="64" t="str">
        <f t="shared" si="75"/>
        <v>MR.KPBS.P073</v>
      </c>
      <c r="J174" s="64">
        <f t="shared" si="75"/>
        <v>0.70939700000000006</v>
      </c>
      <c r="K174" s="64">
        <f t="shared" si="75"/>
        <v>124.323767</v>
      </c>
      <c r="L174" s="64" t="str">
        <f t="shared" si="75"/>
        <v>JL. RAYA POYOWA BESAR</v>
      </c>
      <c r="M174" s="64" t="str">
        <f t="shared" si="75"/>
        <v>SULAWESI UTARA</v>
      </c>
      <c r="N174" s="65" t="s">
        <v>105</v>
      </c>
      <c r="O174" s="66" t="s">
        <v>118</v>
      </c>
      <c r="P174" s="65" t="s">
        <v>119</v>
      </c>
      <c r="Q174" s="66">
        <v>95717</v>
      </c>
      <c r="R174" s="67"/>
      <c r="S174" s="68"/>
      <c r="T174" s="68"/>
      <c r="U174" s="68"/>
      <c r="V174" s="68"/>
      <c r="W174" s="64" t="s">
        <v>105</v>
      </c>
      <c r="X174" s="64"/>
      <c r="Y174" s="64" t="s">
        <v>106</v>
      </c>
      <c r="Z174" s="64" t="str">
        <f t="shared" si="68"/>
        <v>KELURAHAN POYOWA BESAR SATU KOTAMOBAGU</v>
      </c>
      <c r="AA174" s="65"/>
      <c r="AB174" s="65"/>
      <c r="AC174" s="65" t="s">
        <v>70</v>
      </c>
      <c r="AD174" s="64" t="str">
        <f t="shared" si="76"/>
        <v>POYOWA BESAR</v>
      </c>
      <c r="AE174" s="67"/>
      <c r="AF174" s="67"/>
      <c r="AG174" s="67"/>
      <c r="AH174" s="67"/>
      <c r="AI174" s="69"/>
      <c r="AJ174" s="11" t="s">
        <v>779</v>
      </c>
      <c r="AK174" s="65" t="s">
        <v>96</v>
      </c>
      <c r="AL174" s="65"/>
      <c r="AM174" s="65"/>
      <c r="AN174" s="65"/>
      <c r="AO174" s="65"/>
      <c r="AP174" s="65"/>
      <c r="AQ174" s="177" t="s">
        <v>97</v>
      </c>
      <c r="AR174" s="70" t="str">
        <f t="shared" si="67"/>
        <v>KTG.100.0101</v>
      </c>
      <c r="AS174" s="71" t="str">
        <f t="shared" si="69"/>
        <v>KPBS-2.020</v>
      </c>
      <c r="AT174" s="71" t="str">
        <f t="shared" si="69"/>
        <v>B03</v>
      </c>
      <c r="AU174" s="72"/>
      <c r="AV174" s="202">
        <v>0.70907351569999999</v>
      </c>
      <c r="AW174" s="202">
        <v>124.3234175898</v>
      </c>
      <c r="AX174" s="65" t="s">
        <v>98</v>
      </c>
      <c r="AY174" s="65" t="s">
        <v>94</v>
      </c>
      <c r="AZ174" s="65" t="s">
        <v>94</v>
      </c>
      <c r="BA174" s="73" t="s">
        <v>77</v>
      </c>
      <c r="BB174" s="65" t="s">
        <v>98</v>
      </c>
      <c r="BC174" s="65">
        <v>31</v>
      </c>
      <c r="BD174" s="65" t="s">
        <v>98</v>
      </c>
      <c r="BE174" s="211" t="str">
        <f t="shared" si="72"/>
        <v>565, POYOWA BESAR,</v>
      </c>
    </row>
    <row r="175" spans="1:57" s="211" customFormat="1" ht="15.75" customHeight="1">
      <c r="A175" s="224"/>
      <c r="B175" s="225"/>
      <c r="C175" s="225"/>
      <c r="D175" s="225"/>
      <c r="E175" s="225"/>
      <c r="F175" s="225"/>
      <c r="G175" s="226"/>
      <c r="H175" s="23">
        <v>11</v>
      </c>
      <c r="I175" s="64" t="str">
        <f t="shared" si="75"/>
        <v>MR.KPBS.P073</v>
      </c>
      <c r="J175" s="64">
        <f t="shared" si="75"/>
        <v>0.70939700000000006</v>
      </c>
      <c r="K175" s="64">
        <f t="shared" si="75"/>
        <v>124.323767</v>
      </c>
      <c r="L175" s="64" t="str">
        <f t="shared" si="75"/>
        <v>JL. RAYA POYOWA BESAR</v>
      </c>
      <c r="M175" s="64" t="str">
        <f t="shared" si="75"/>
        <v>SULAWESI UTARA</v>
      </c>
      <c r="N175" s="65" t="s">
        <v>105</v>
      </c>
      <c r="O175" s="66" t="s">
        <v>118</v>
      </c>
      <c r="P175" s="65" t="s">
        <v>119</v>
      </c>
      <c r="Q175" s="66">
        <v>95717</v>
      </c>
      <c r="R175" s="67"/>
      <c r="S175" s="68"/>
      <c r="T175" s="68"/>
      <c r="U175" s="68"/>
      <c r="V175" s="68"/>
      <c r="W175" s="64" t="s">
        <v>105</v>
      </c>
      <c r="X175" s="64"/>
      <c r="Y175" s="64" t="s">
        <v>106</v>
      </c>
      <c r="Z175" s="64" t="str">
        <f t="shared" si="68"/>
        <v>KELURAHAN POYOWA BESAR SATU KOTAMOBAGU</v>
      </c>
      <c r="AA175" s="65"/>
      <c r="AB175" s="65"/>
      <c r="AC175" s="65" t="s">
        <v>70</v>
      </c>
      <c r="AD175" s="64" t="str">
        <f t="shared" si="76"/>
        <v>POYOWA BESAR</v>
      </c>
      <c r="AE175" s="67"/>
      <c r="AF175" s="67"/>
      <c r="AG175" s="67"/>
      <c r="AH175" s="67"/>
      <c r="AI175" s="69"/>
      <c r="AJ175" s="11" t="s">
        <v>780</v>
      </c>
      <c r="AK175" s="65" t="s">
        <v>96</v>
      </c>
      <c r="AL175" s="65"/>
      <c r="AM175" s="65"/>
      <c r="AN175" s="65"/>
      <c r="AO175" s="65"/>
      <c r="AP175" s="65"/>
      <c r="AQ175" s="177" t="s">
        <v>97</v>
      </c>
      <c r="AR175" s="70" t="str">
        <f t="shared" si="67"/>
        <v>KTG.100.0101</v>
      </c>
      <c r="AS175" s="71" t="str">
        <f t="shared" si="69"/>
        <v>KPBS-2.020</v>
      </c>
      <c r="AT175" s="71" t="str">
        <f t="shared" si="69"/>
        <v>B03</v>
      </c>
      <c r="AU175" s="72"/>
      <c r="AV175" s="202">
        <v>0.70937518119999998</v>
      </c>
      <c r="AW175" s="202">
        <v>124.32339014439999</v>
      </c>
      <c r="AX175" s="65" t="s">
        <v>98</v>
      </c>
      <c r="AY175" s="65" t="s">
        <v>94</v>
      </c>
      <c r="AZ175" s="65" t="s">
        <v>94</v>
      </c>
      <c r="BA175" s="73" t="s">
        <v>77</v>
      </c>
      <c r="BB175" s="65" t="s">
        <v>98</v>
      </c>
      <c r="BC175" s="65">
        <v>31</v>
      </c>
      <c r="BD175" s="65" t="s">
        <v>98</v>
      </c>
      <c r="BE175" s="211" t="str">
        <f t="shared" si="72"/>
        <v>583, POYOWA BESAR,</v>
      </c>
    </row>
    <row r="176" spans="1:57" s="211" customFormat="1" ht="15.75" customHeight="1">
      <c r="A176" s="36" t="s">
        <v>78</v>
      </c>
      <c r="B176" s="36">
        <f>B165+1</f>
        <v>13</v>
      </c>
      <c r="C176" s="33" t="s">
        <v>99</v>
      </c>
      <c r="D176" s="37" t="s">
        <v>351</v>
      </c>
      <c r="E176" s="38">
        <v>1</v>
      </c>
      <c r="F176" s="39">
        <f>F166+1</f>
        <v>9</v>
      </c>
      <c r="G176" s="243" t="s">
        <v>87</v>
      </c>
      <c r="H176" s="35">
        <v>1</v>
      </c>
      <c r="I176" s="48" t="s">
        <v>964</v>
      </c>
      <c r="J176" s="54">
        <v>0.70914600000000005</v>
      </c>
      <c r="K176" s="54">
        <v>124.322988</v>
      </c>
      <c r="L176" s="116" t="s">
        <v>116</v>
      </c>
      <c r="M176" s="56" t="str">
        <f t="shared" si="75"/>
        <v>SULAWESI UTARA</v>
      </c>
      <c r="N176" s="76" t="s">
        <v>105</v>
      </c>
      <c r="O176" s="49" t="s">
        <v>118</v>
      </c>
      <c r="P176" s="76" t="s">
        <v>119</v>
      </c>
      <c r="Q176" s="49">
        <v>95717</v>
      </c>
      <c r="R176" s="51"/>
      <c r="S176" s="52"/>
      <c r="T176" s="53"/>
      <c r="U176" s="52"/>
      <c r="V176" s="53"/>
      <c r="W176" s="50" t="s">
        <v>105</v>
      </c>
      <c r="X176" s="54"/>
      <c r="Y176" s="56" t="s">
        <v>106</v>
      </c>
      <c r="Z176" s="56" t="str">
        <f t="shared" si="68"/>
        <v>KELURAHAN POYOWA BESAR SATU KOTAMOBAGU</v>
      </c>
      <c r="AA176" s="55"/>
      <c r="AB176" s="55"/>
      <c r="AC176" s="55" t="s">
        <v>70</v>
      </c>
      <c r="AD176" s="116" t="s">
        <v>119</v>
      </c>
      <c r="AE176" s="57"/>
      <c r="AF176" s="57"/>
      <c r="AG176" s="57"/>
      <c r="AH176" s="57"/>
      <c r="AI176" s="58"/>
      <c r="AJ176" s="114" t="s">
        <v>781</v>
      </c>
      <c r="AK176" s="55" t="s">
        <v>96</v>
      </c>
      <c r="AL176" s="62"/>
      <c r="AM176" s="184"/>
      <c r="AN176" s="184"/>
      <c r="AO176" s="184"/>
      <c r="AP176" s="184"/>
      <c r="AQ176" s="185" t="s">
        <v>97</v>
      </c>
      <c r="AR176" s="59" t="str">
        <f t="shared" si="67"/>
        <v>KTG.100.0101</v>
      </c>
      <c r="AS176" s="60" t="str">
        <f>AS125</f>
        <v>KPBS-2.020</v>
      </c>
      <c r="AT176" s="60" t="str">
        <f>G176</f>
        <v>B05</v>
      </c>
      <c r="AU176" s="61"/>
      <c r="AV176" s="201">
        <v>0.70900382100000003</v>
      </c>
      <c r="AW176" s="201">
        <v>124.3231320095</v>
      </c>
      <c r="AX176" s="62" t="s">
        <v>98</v>
      </c>
      <c r="AY176" s="62" t="s">
        <v>94</v>
      </c>
      <c r="AZ176" s="62" t="s">
        <v>94</v>
      </c>
      <c r="BA176" s="63" t="s">
        <v>77</v>
      </c>
      <c r="BB176" s="62" t="s">
        <v>98</v>
      </c>
      <c r="BC176" s="62">
        <v>31</v>
      </c>
      <c r="BD176" s="62" t="s">
        <v>98</v>
      </c>
      <c r="BE176" s="211" t="str">
        <f t="shared" si="72"/>
        <v>569, POYOWA BESAR,</v>
      </c>
    </row>
    <row r="177" spans="1:57" s="211" customFormat="1" ht="15.75" customHeight="1">
      <c r="A177" s="46"/>
      <c r="B177" s="46"/>
      <c r="C177" s="22" t="s">
        <v>99</v>
      </c>
      <c r="D177" s="22" t="s">
        <v>351</v>
      </c>
      <c r="E177" s="33">
        <v>1</v>
      </c>
      <c r="F177" s="47">
        <f>F176+1</f>
        <v>10</v>
      </c>
      <c r="G177" s="244"/>
      <c r="H177" s="23">
        <v>2</v>
      </c>
      <c r="I177" s="64" t="str">
        <f t="shared" ref="I177:M192" si="80">I176</f>
        <v>MR.KPBS.P076</v>
      </c>
      <c r="J177" s="64">
        <f t="shared" si="80"/>
        <v>0.70914600000000005</v>
      </c>
      <c r="K177" s="64">
        <f t="shared" si="80"/>
        <v>124.322988</v>
      </c>
      <c r="L177" s="64" t="str">
        <f t="shared" si="80"/>
        <v>JL. RAYA POYOWA BESAR</v>
      </c>
      <c r="M177" s="64" t="str">
        <f t="shared" si="80"/>
        <v>SULAWESI UTARA</v>
      </c>
      <c r="N177" s="65" t="s">
        <v>105</v>
      </c>
      <c r="O177" s="66" t="s">
        <v>118</v>
      </c>
      <c r="P177" s="65" t="s">
        <v>119</v>
      </c>
      <c r="Q177" s="66">
        <v>95717</v>
      </c>
      <c r="R177" s="67"/>
      <c r="S177" s="68"/>
      <c r="T177" s="68"/>
      <c r="U177" s="68"/>
      <c r="V177" s="68"/>
      <c r="W177" s="65" t="s">
        <v>105</v>
      </c>
      <c r="X177" s="64"/>
      <c r="Y177" s="64" t="s">
        <v>106</v>
      </c>
      <c r="Z177" s="64" t="str">
        <f t="shared" si="68"/>
        <v>KELURAHAN POYOWA BESAR SATU KOTAMOBAGU</v>
      </c>
      <c r="AA177" s="65"/>
      <c r="AB177" s="65"/>
      <c r="AC177" s="65" t="s">
        <v>70</v>
      </c>
      <c r="AD177" s="64" t="str">
        <f t="shared" ref="AD177:AD191" si="81">AD176</f>
        <v>POYOWA BESAR</v>
      </c>
      <c r="AE177" s="67"/>
      <c r="AF177" s="67"/>
      <c r="AG177" s="67"/>
      <c r="AH177" s="67"/>
      <c r="AI177" s="69"/>
      <c r="AJ177" s="11" t="s">
        <v>782</v>
      </c>
      <c r="AK177" s="65" t="s">
        <v>96</v>
      </c>
      <c r="AL177" s="65"/>
      <c r="AM177" s="176"/>
      <c r="AN177" s="176"/>
      <c r="AO177" s="176"/>
      <c r="AP177" s="176"/>
      <c r="AQ177" s="177" t="s">
        <v>97</v>
      </c>
      <c r="AR177" s="70" t="str">
        <f t="shared" si="67"/>
        <v>KTG.100.0101</v>
      </c>
      <c r="AS177" s="71" t="str">
        <f t="shared" si="69"/>
        <v>KPBS-2.020</v>
      </c>
      <c r="AT177" s="71" t="str">
        <f t="shared" si="69"/>
        <v>B05</v>
      </c>
      <c r="AU177" s="72"/>
      <c r="AV177" s="202">
        <v>0.70936626820000004</v>
      </c>
      <c r="AW177" s="202">
        <v>124.3232907606</v>
      </c>
      <c r="AX177" s="65" t="s">
        <v>98</v>
      </c>
      <c r="AY177" s="65" t="s">
        <v>94</v>
      </c>
      <c r="AZ177" s="65" t="s">
        <v>94</v>
      </c>
      <c r="BA177" s="73" t="s">
        <v>77</v>
      </c>
      <c r="BB177" s="65" t="s">
        <v>98</v>
      </c>
      <c r="BC177" s="65">
        <v>31</v>
      </c>
      <c r="BD177" s="65" t="s">
        <v>98</v>
      </c>
      <c r="BE177" s="211" t="str">
        <f t="shared" si="72"/>
        <v>584, POYOWA BESAR,</v>
      </c>
    </row>
    <row r="178" spans="1:57" s="211" customFormat="1" ht="15.75" customHeight="1">
      <c r="A178" s="221"/>
      <c r="B178" s="222"/>
      <c r="C178" s="222"/>
      <c r="D178" s="222"/>
      <c r="E178" s="222"/>
      <c r="F178" s="222"/>
      <c r="G178" s="223"/>
      <c r="H178" s="23">
        <v>3</v>
      </c>
      <c r="I178" s="64" t="str">
        <f t="shared" si="80"/>
        <v>MR.KPBS.P076</v>
      </c>
      <c r="J178" s="64">
        <f t="shared" si="80"/>
        <v>0.70914600000000005</v>
      </c>
      <c r="K178" s="64">
        <f t="shared" si="80"/>
        <v>124.322988</v>
      </c>
      <c r="L178" s="64" t="str">
        <f t="shared" si="80"/>
        <v>JL. RAYA POYOWA BESAR</v>
      </c>
      <c r="M178" s="64" t="str">
        <f t="shared" si="80"/>
        <v>SULAWESI UTARA</v>
      </c>
      <c r="N178" s="65" t="s">
        <v>105</v>
      </c>
      <c r="O178" s="66" t="s">
        <v>118</v>
      </c>
      <c r="P178" s="65" t="s">
        <v>119</v>
      </c>
      <c r="Q178" s="66">
        <v>95717</v>
      </c>
      <c r="R178" s="67"/>
      <c r="S178" s="68"/>
      <c r="T178" s="68"/>
      <c r="U178" s="68"/>
      <c r="V178" s="68"/>
      <c r="W178" s="65" t="s">
        <v>105</v>
      </c>
      <c r="X178" s="64"/>
      <c r="Y178" s="64" t="s">
        <v>106</v>
      </c>
      <c r="Z178" s="64" t="str">
        <f t="shared" si="68"/>
        <v>KELURAHAN POYOWA BESAR SATU KOTAMOBAGU</v>
      </c>
      <c r="AA178" s="65"/>
      <c r="AB178" s="65"/>
      <c r="AC178" s="65" t="s">
        <v>70</v>
      </c>
      <c r="AD178" s="64" t="str">
        <f t="shared" si="81"/>
        <v>POYOWA BESAR</v>
      </c>
      <c r="AE178" s="67"/>
      <c r="AF178" s="67"/>
      <c r="AG178" s="67"/>
      <c r="AH178" s="67"/>
      <c r="AI178" s="69"/>
      <c r="AJ178" s="11" t="s">
        <v>783</v>
      </c>
      <c r="AK178" s="65" t="s">
        <v>96</v>
      </c>
      <c r="AL178" s="65"/>
      <c r="AM178" s="176"/>
      <c r="AN178" s="176"/>
      <c r="AO178" s="176"/>
      <c r="AP178" s="176"/>
      <c r="AQ178" s="177" t="s">
        <v>97</v>
      </c>
      <c r="AR178" s="70" t="str">
        <f t="shared" si="67"/>
        <v>KTG.100.0101</v>
      </c>
      <c r="AS178" s="71" t="str">
        <f t="shared" si="69"/>
        <v>KPBS-2.020</v>
      </c>
      <c r="AT178" s="71" t="str">
        <f t="shared" si="69"/>
        <v>B05</v>
      </c>
      <c r="AU178" s="72"/>
      <c r="AV178" s="202">
        <v>0.70900678669999895</v>
      </c>
      <c r="AW178" s="202">
        <v>124.3233524834</v>
      </c>
      <c r="AX178" s="65" t="s">
        <v>98</v>
      </c>
      <c r="AY178" s="65" t="s">
        <v>94</v>
      </c>
      <c r="AZ178" s="65" t="s">
        <v>94</v>
      </c>
      <c r="BA178" s="73" t="s">
        <v>77</v>
      </c>
      <c r="BB178" s="65" t="s">
        <v>98</v>
      </c>
      <c r="BC178" s="65">
        <v>31</v>
      </c>
      <c r="BD178" s="65" t="s">
        <v>98</v>
      </c>
      <c r="BE178" s="211" t="str">
        <f t="shared" si="72"/>
        <v>566, POYOWA BESAR,</v>
      </c>
    </row>
    <row r="179" spans="1:57" s="211" customFormat="1" ht="15.75" customHeight="1">
      <c r="A179" s="224"/>
      <c r="B179" s="225"/>
      <c r="C179" s="225"/>
      <c r="D179" s="225"/>
      <c r="E179" s="225"/>
      <c r="F179" s="225"/>
      <c r="G179" s="226"/>
      <c r="H179" s="23">
        <v>4</v>
      </c>
      <c r="I179" s="64" t="str">
        <f t="shared" si="80"/>
        <v>MR.KPBS.P076</v>
      </c>
      <c r="J179" s="64">
        <f t="shared" si="80"/>
        <v>0.70914600000000005</v>
      </c>
      <c r="K179" s="64">
        <f t="shared" si="80"/>
        <v>124.322988</v>
      </c>
      <c r="L179" s="64" t="str">
        <f t="shared" si="80"/>
        <v>JL. RAYA POYOWA BESAR</v>
      </c>
      <c r="M179" s="64" t="str">
        <f t="shared" si="80"/>
        <v>SULAWESI UTARA</v>
      </c>
      <c r="N179" s="65" t="s">
        <v>105</v>
      </c>
      <c r="O179" s="66" t="s">
        <v>118</v>
      </c>
      <c r="P179" s="65" t="s">
        <v>119</v>
      </c>
      <c r="Q179" s="66">
        <v>95717</v>
      </c>
      <c r="R179" s="67"/>
      <c r="S179" s="68"/>
      <c r="T179" s="68"/>
      <c r="U179" s="68"/>
      <c r="V179" s="68"/>
      <c r="W179" s="65" t="s">
        <v>105</v>
      </c>
      <c r="X179" s="64"/>
      <c r="Y179" s="64" t="s">
        <v>106</v>
      </c>
      <c r="Z179" s="64" t="str">
        <f t="shared" si="68"/>
        <v>KELURAHAN POYOWA BESAR SATU KOTAMOBAGU</v>
      </c>
      <c r="AA179" s="65"/>
      <c r="AB179" s="65"/>
      <c r="AC179" s="65" t="s">
        <v>70</v>
      </c>
      <c r="AD179" s="64" t="str">
        <f t="shared" si="81"/>
        <v>POYOWA BESAR</v>
      </c>
      <c r="AE179" s="67"/>
      <c r="AF179" s="67"/>
      <c r="AG179" s="67"/>
      <c r="AH179" s="67"/>
      <c r="AI179" s="69"/>
      <c r="AJ179" s="11" t="s">
        <v>784</v>
      </c>
      <c r="AK179" s="65" t="s">
        <v>96</v>
      </c>
      <c r="AL179" s="65"/>
      <c r="AM179" s="176"/>
      <c r="AN179" s="176"/>
      <c r="AO179" s="176"/>
      <c r="AP179" s="176"/>
      <c r="AQ179" s="177" t="s">
        <v>97</v>
      </c>
      <c r="AR179" s="70" t="str">
        <f t="shared" si="67"/>
        <v>KTG.100.0101</v>
      </c>
      <c r="AS179" s="71" t="str">
        <f t="shared" si="69"/>
        <v>KPBS-2.020</v>
      </c>
      <c r="AT179" s="71" t="str">
        <f t="shared" si="69"/>
        <v>B05</v>
      </c>
      <c r="AU179" s="72"/>
      <c r="AV179" s="202">
        <v>0.70900530390000005</v>
      </c>
      <c r="AW179" s="202">
        <v>124.32327701920001</v>
      </c>
      <c r="AX179" s="65" t="s">
        <v>98</v>
      </c>
      <c r="AY179" s="65" t="s">
        <v>94</v>
      </c>
      <c r="AZ179" s="65" t="s">
        <v>94</v>
      </c>
      <c r="BA179" s="73" t="s">
        <v>77</v>
      </c>
      <c r="BB179" s="65" t="s">
        <v>98</v>
      </c>
      <c r="BC179" s="65">
        <v>31</v>
      </c>
      <c r="BD179" s="65" t="s">
        <v>98</v>
      </c>
      <c r="BE179" s="211" t="str">
        <f t="shared" si="72"/>
        <v>567, POYOWA BESAR,</v>
      </c>
    </row>
    <row r="180" spans="1:57" s="211" customFormat="1" ht="15.75" customHeight="1">
      <c r="A180" s="224"/>
      <c r="B180" s="225"/>
      <c r="C180" s="225"/>
      <c r="D180" s="225"/>
      <c r="E180" s="225"/>
      <c r="F180" s="225"/>
      <c r="G180" s="226"/>
      <c r="H180" s="23">
        <v>5</v>
      </c>
      <c r="I180" s="64" t="str">
        <f t="shared" si="80"/>
        <v>MR.KPBS.P076</v>
      </c>
      <c r="J180" s="64">
        <f t="shared" si="80"/>
        <v>0.70914600000000005</v>
      </c>
      <c r="K180" s="64">
        <f t="shared" si="80"/>
        <v>124.322988</v>
      </c>
      <c r="L180" s="64" t="str">
        <f t="shared" si="80"/>
        <v>JL. RAYA POYOWA BESAR</v>
      </c>
      <c r="M180" s="64" t="str">
        <f t="shared" si="80"/>
        <v>SULAWESI UTARA</v>
      </c>
      <c r="N180" s="65" t="s">
        <v>105</v>
      </c>
      <c r="O180" s="66" t="s">
        <v>118</v>
      </c>
      <c r="P180" s="65" t="s">
        <v>119</v>
      </c>
      <c r="Q180" s="66">
        <v>95717</v>
      </c>
      <c r="R180" s="67"/>
      <c r="S180" s="68"/>
      <c r="T180" s="68"/>
      <c r="U180" s="68"/>
      <c r="V180" s="68"/>
      <c r="W180" s="65" t="s">
        <v>105</v>
      </c>
      <c r="X180" s="64"/>
      <c r="Y180" s="64" t="s">
        <v>106</v>
      </c>
      <c r="Z180" s="64" t="str">
        <f t="shared" si="68"/>
        <v>KELURAHAN POYOWA BESAR SATU KOTAMOBAGU</v>
      </c>
      <c r="AA180" s="65"/>
      <c r="AB180" s="65"/>
      <c r="AC180" s="65" t="s">
        <v>70</v>
      </c>
      <c r="AD180" s="64" t="str">
        <f t="shared" si="81"/>
        <v>POYOWA BESAR</v>
      </c>
      <c r="AE180" s="67"/>
      <c r="AF180" s="67"/>
      <c r="AG180" s="67"/>
      <c r="AH180" s="67"/>
      <c r="AI180" s="69"/>
      <c r="AJ180" s="11" t="s">
        <v>785</v>
      </c>
      <c r="AK180" s="65" t="s">
        <v>96</v>
      </c>
      <c r="AL180" s="65"/>
      <c r="AM180" s="176"/>
      <c r="AN180" s="176"/>
      <c r="AO180" s="176"/>
      <c r="AP180" s="176"/>
      <c r="AQ180" s="177" t="s">
        <v>97</v>
      </c>
      <c r="AR180" s="70" t="str">
        <f t="shared" si="67"/>
        <v>KTG.100.0101</v>
      </c>
      <c r="AS180" s="71" t="str">
        <f t="shared" si="69"/>
        <v>KPBS-2.020</v>
      </c>
      <c r="AT180" s="71" t="str">
        <f t="shared" si="69"/>
        <v>B05</v>
      </c>
      <c r="AU180" s="72"/>
      <c r="AV180" s="202">
        <v>0.70935140299999999</v>
      </c>
      <c r="AW180" s="202">
        <v>124.32321659359999</v>
      </c>
      <c r="AX180" s="65" t="s">
        <v>98</v>
      </c>
      <c r="AY180" s="65" t="s">
        <v>94</v>
      </c>
      <c r="AZ180" s="65" t="s">
        <v>94</v>
      </c>
      <c r="BA180" s="73" t="s">
        <v>77</v>
      </c>
      <c r="BB180" s="65" t="s">
        <v>98</v>
      </c>
      <c r="BC180" s="65">
        <v>31</v>
      </c>
      <c r="BD180" s="65" t="s">
        <v>98</v>
      </c>
      <c r="BE180" s="211" t="str">
        <f t="shared" si="72"/>
        <v>585, POYOWA BESAR,</v>
      </c>
    </row>
    <row r="181" spans="1:57" s="211" customFormat="1" ht="15.75" customHeight="1">
      <c r="A181" s="224"/>
      <c r="B181" s="225"/>
      <c r="C181" s="225"/>
      <c r="D181" s="225"/>
      <c r="E181" s="225"/>
      <c r="F181" s="225"/>
      <c r="G181" s="226"/>
      <c r="H181" s="23">
        <v>6</v>
      </c>
      <c r="I181" s="64" t="str">
        <f t="shared" si="80"/>
        <v>MR.KPBS.P076</v>
      </c>
      <c r="J181" s="64">
        <f t="shared" si="80"/>
        <v>0.70914600000000005</v>
      </c>
      <c r="K181" s="64">
        <f t="shared" si="80"/>
        <v>124.322988</v>
      </c>
      <c r="L181" s="64" t="str">
        <f t="shared" si="80"/>
        <v>JL. RAYA POYOWA BESAR</v>
      </c>
      <c r="M181" s="64" t="str">
        <f t="shared" si="80"/>
        <v>SULAWESI UTARA</v>
      </c>
      <c r="N181" s="65" t="s">
        <v>105</v>
      </c>
      <c r="O181" s="66" t="s">
        <v>118</v>
      </c>
      <c r="P181" s="65" t="s">
        <v>119</v>
      </c>
      <c r="Q181" s="66">
        <v>95717</v>
      </c>
      <c r="R181" s="67"/>
      <c r="S181" s="68"/>
      <c r="T181" s="74"/>
      <c r="U181" s="74"/>
      <c r="V181" s="74"/>
      <c r="W181" s="65" t="s">
        <v>105</v>
      </c>
      <c r="X181" s="64"/>
      <c r="Y181" s="64" t="s">
        <v>106</v>
      </c>
      <c r="Z181" s="64" t="str">
        <f t="shared" si="68"/>
        <v>KELURAHAN POYOWA BESAR SATU KOTAMOBAGU</v>
      </c>
      <c r="AA181" s="65"/>
      <c r="AB181" s="65"/>
      <c r="AC181" s="65" t="s">
        <v>70</v>
      </c>
      <c r="AD181" s="64" t="str">
        <f t="shared" si="81"/>
        <v>POYOWA BESAR</v>
      </c>
      <c r="AE181" s="75"/>
      <c r="AF181" s="75"/>
      <c r="AG181" s="75"/>
      <c r="AH181" s="75"/>
      <c r="AI181" s="69"/>
      <c r="AJ181" s="11" t="s">
        <v>786</v>
      </c>
      <c r="AK181" s="65" t="s">
        <v>96</v>
      </c>
      <c r="AL181" s="65"/>
      <c r="AM181" s="176"/>
      <c r="AN181" s="176"/>
      <c r="AO181" s="176"/>
      <c r="AP181" s="176"/>
      <c r="AQ181" s="186" t="s">
        <v>97</v>
      </c>
      <c r="AR181" s="70" t="str">
        <f t="shared" si="67"/>
        <v>KTG.100.0101</v>
      </c>
      <c r="AS181" s="71" t="str">
        <f t="shared" si="69"/>
        <v>KPBS-2.020</v>
      </c>
      <c r="AT181" s="71" t="str">
        <f t="shared" si="69"/>
        <v>B05</v>
      </c>
      <c r="AU181" s="72"/>
      <c r="AV181" s="202">
        <v>0.70901420110000002</v>
      </c>
      <c r="AW181" s="202">
        <v>124.3231971159</v>
      </c>
      <c r="AX181" s="65" t="s">
        <v>98</v>
      </c>
      <c r="AY181" s="65" t="s">
        <v>94</v>
      </c>
      <c r="AZ181" s="65" t="s">
        <v>94</v>
      </c>
      <c r="BA181" s="73" t="s">
        <v>77</v>
      </c>
      <c r="BB181" s="65" t="s">
        <v>98</v>
      </c>
      <c r="BC181" s="65">
        <v>31</v>
      </c>
      <c r="BD181" s="65" t="s">
        <v>98</v>
      </c>
      <c r="BE181" s="211" t="str">
        <f t="shared" si="72"/>
        <v>568, POYOWA BESAR,</v>
      </c>
    </row>
    <row r="182" spans="1:57" s="211" customFormat="1" ht="15.75" customHeight="1">
      <c r="A182" s="224"/>
      <c r="B182" s="225"/>
      <c r="C182" s="225"/>
      <c r="D182" s="225"/>
      <c r="E182" s="225"/>
      <c r="F182" s="225"/>
      <c r="G182" s="226"/>
      <c r="H182" s="23">
        <v>7</v>
      </c>
      <c r="I182" s="64" t="str">
        <f t="shared" ref="I182:M182" si="82">I181</f>
        <v>MR.KPBS.P076</v>
      </c>
      <c r="J182" s="64">
        <f t="shared" si="82"/>
        <v>0.70914600000000005</v>
      </c>
      <c r="K182" s="64">
        <f t="shared" si="82"/>
        <v>124.322988</v>
      </c>
      <c r="L182" s="64" t="str">
        <f t="shared" si="82"/>
        <v>JL. RAYA POYOWA BESAR</v>
      </c>
      <c r="M182" s="64" t="str">
        <f t="shared" si="82"/>
        <v>SULAWESI UTARA</v>
      </c>
      <c r="N182" s="65" t="s">
        <v>105</v>
      </c>
      <c r="O182" s="66" t="s">
        <v>118</v>
      </c>
      <c r="P182" s="65" t="s">
        <v>119</v>
      </c>
      <c r="Q182" s="66">
        <v>95717</v>
      </c>
      <c r="R182" s="67"/>
      <c r="S182" s="68"/>
      <c r="T182" s="74"/>
      <c r="U182" s="74"/>
      <c r="V182" s="74"/>
      <c r="W182" s="65" t="s">
        <v>105</v>
      </c>
      <c r="X182" s="64"/>
      <c r="Y182" s="64" t="s">
        <v>106</v>
      </c>
      <c r="Z182" s="64" t="str">
        <f t="shared" si="68"/>
        <v>KELURAHAN POYOWA BESAR SATU KOTAMOBAGU</v>
      </c>
      <c r="AA182" s="65"/>
      <c r="AB182" s="65"/>
      <c r="AC182" s="65" t="s">
        <v>70</v>
      </c>
      <c r="AD182" s="64" t="str">
        <f t="shared" si="81"/>
        <v>POYOWA BESAR</v>
      </c>
      <c r="AE182" s="75"/>
      <c r="AF182" s="75"/>
      <c r="AG182" s="75"/>
      <c r="AH182" s="75"/>
      <c r="AI182" s="69"/>
      <c r="AJ182" s="11" t="s">
        <v>787</v>
      </c>
      <c r="AK182" s="65" t="s">
        <v>96</v>
      </c>
      <c r="AL182" s="65"/>
      <c r="AM182" s="176"/>
      <c r="AN182" s="176"/>
      <c r="AO182" s="176"/>
      <c r="AP182" s="176"/>
      <c r="AQ182" s="186" t="s">
        <v>97</v>
      </c>
      <c r="AR182" s="70" t="str">
        <f t="shared" si="67"/>
        <v>KTG.100.0101</v>
      </c>
      <c r="AS182" s="71" t="str">
        <f t="shared" ref="AS182:AS183" si="83">AS181</f>
        <v>KPBS-2.020</v>
      </c>
      <c r="AT182" s="71" t="str">
        <f t="shared" ref="AT182:AT183" si="84">AT181</f>
        <v>B05</v>
      </c>
      <c r="AU182" s="72"/>
      <c r="AV182" s="202">
        <v>0.70937518730000004</v>
      </c>
      <c r="AW182" s="202">
        <v>124.3231023765</v>
      </c>
      <c r="AX182" s="65" t="s">
        <v>98</v>
      </c>
      <c r="AY182" s="65" t="s">
        <v>94</v>
      </c>
      <c r="AZ182" s="65" t="s">
        <v>94</v>
      </c>
      <c r="BA182" s="73" t="s">
        <v>77</v>
      </c>
      <c r="BB182" s="65" t="s">
        <v>98</v>
      </c>
      <c r="BC182" s="65">
        <v>31</v>
      </c>
      <c r="BD182" s="65" t="s">
        <v>98</v>
      </c>
      <c r="BE182" s="211" t="str">
        <f t="shared" ref="BE182:BE183" si="85">AJ182&amp;", "&amp;AD182&amp;","&amp;AI182</f>
        <v>586, POYOWA BESAR,</v>
      </c>
    </row>
    <row r="183" spans="1:57" s="211" customFormat="1" ht="15.75" customHeight="1">
      <c r="A183" s="224"/>
      <c r="B183" s="225"/>
      <c r="C183" s="225"/>
      <c r="D183" s="225"/>
      <c r="E183" s="225"/>
      <c r="F183" s="225"/>
      <c r="G183" s="226"/>
      <c r="H183" s="23">
        <v>8</v>
      </c>
      <c r="I183" s="64" t="str">
        <f t="shared" ref="I183:M183" si="86">I182</f>
        <v>MR.KPBS.P076</v>
      </c>
      <c r="J183" s="64">
        <f t="shared" si="86"/>
        <v>0.70914600000000005</v>
      </c>
      <c r="K183" s="64">
        <f t="shared" si="86"/>
        <v>124.322988</v>
      </c>
      <c r="L183" s="64" t="str">
        <f t="shared" si="86"/>
        <v>JL. RAYA POYOWA BESAR</v>
      </c>
      <c r="M183" s="64" t="str">
        <f t="shared" si="86"/>
        <v>SULAWESI UTARA</v>
      </c>
      <c r="N183" s="65" t="s">
        <v>105</v>
      </c>
      <c r="O183" s="66" t="s">
        <v>118</v>
      </c>
      <c r="P183" s="65" t="s">
        <v>119</v>
      </c>
      <c r="Q183" s="66">
        <v>95717</v>
      </c>
      <c r="R183" s="67"/>
      <c r="S183" s="68"/>
      <c r="T183" s="74"/>
      <c r="U183" s="74"/>
      <c r="V183" s="74"/>
      <c r="W183" s="65" t="s">
        <v>105</v>
      </c>
      <c r="X183" s="64"/>
      <c r="Y183" s="64" t="s">
        <v>106</v>
      </c>
      <c r="Z183" s="64" t="str">
        <f t="shared" si="68"/>
        <v>KELURAHAN POYOWA BESAR SATU KOTAMOBAGU</v>
      </c>
      <c r="AA183" s="65"/>
      <c r="AB183" s="65"/>
      <c r="AC183" s="65" t="s">
        <v>70</v>
      </c>
      <c r="AD183" s="64" t="str">
        <f t="shared" si="81"/>
        <v>POYOWA BESAR</v>
      </c>
      <c r="AE183" s="75"/>
      <c r="AF183" s="75"/>
      <c r="AG183" s="75"/>
      <c r="AH183" s="75"/>
      <c r="AI183" s="69"/>
      <c r="AJ183" s="11" t="s">
        <v>788</v>
      </c>
      <c r="AK183" s="65" t="s">
        <v>96</v>
      </c>
      <c r="AL183" s="65"/>
      <c r="AM183" s="176"/>
      <c r="AN183" s="176"/>
      <c r="AO183" s="176"/>
      <c r="AP183" s="176"/>
      <c r="AQ183" s="186" t="s">
        <v>97</v>
      </c>
      <c r="AR183" s="70" t="str">
        <f t="shared" si="67"/>
        <v>KTG.100.0101</v>
      </c>
      <c r="AS183" s="71" t="str">
        <f t="shared" si="83"/>
        <v>KPBS-2.020</v>
      </c>
      <c r="AT183" s="71" t="str">
        <f t="shared" si="84"/>
        <v>B05</v>
      </c>
      <c r="AU183" s="72"/>
      <c r="AV183" s="202">
        <v>0.70907054989999896</v>
      </c>
      <c r="AW183" s="202">
        <v>124.3230402687</v>
      </c>
      <c r="AX183" s="65" t="s">
        <v>98</v>
      </c>
      <c r="AY183" s="65" t="s">
        <v>94</v>
      </c>
      <c r="AZ183" s="65" t="s">
        <v>94</v>
      </c>
      <c r="BA183" s="73" t="s">
        <v>77</v>
      </c>
      <c r="BB183" s="65" t="s">
        <v>98</v>
      </c>
      <c r="BC183" s="65">
        <v>31</v>
      </c>
      <c r="BD183" s="65" t="s">
        <v>98</v>
      </c>
      <c r="BE183" s="211" t="str">
        <f t="shared" si="85"/>
        <v>570, POYOWA BESAR,</v>
      </c>
    </row>
    <row r="184" spans="1:57" s="211" customFormat="1" ht="15.75" customHeight="1">
      <c r="A184" s="224"/>
      <c r="B184" s="225"/>
      <c r="C184" s="225"/>
      <c r="D184" s="225"/>
      <c r="E184" s="225"/>
      <c r="F184" s="225"/>
      <c r="G184" s="226"/>
      <c r="H184" s="23">
        <v>9</v>
      </c>
      <c r="I184" s="64" t="str">
        <f>I181</f>
        <v>MR.KPBS.P076</v>
      </c>
      <c r="J184" s="64">
        <f>J181</f>
        <v>0.70914600000000005</v>
      </c>
      <c r="K184" s="64">
        <f>K181</f>
        <v>124.322988</v>
      </c>
      <c r="L184" s="64" t="str">
        <f>L181</f>
        <v>JL. RAYA POYOWA BESAR</v>
      </c>
      <c r="M184" s="64" t="str">
        <f>M181</f>
        <v>SULAWESI UTARA</v>
      </c>
      <c r="N184" s="65" t="s">
        <v>105</v>
      </c>
      <c r="O184" s="66" t="s">
        <v>118</v>
      </c>
      <c r="P184" s="65" t="s">
        <v>119</v>
      </c>
      <c r="Q184" s="66">
        <v>95717</v>
      </c>
      <c r="R184" s="67"/>
      <c r="S184" s="68"/>
      <c r="T184" s="68"/>
      <c r="U184" s="68"/>
      <c r="V184" s="68"/>
      <c r="W184" s="65" t="s">
        <v>105</v>
      </c>
      <c r="X184" s="64"/>
      <c r="Y184" s="64" t="s">
        <v>106</v>
      </c>
      <c r="Z184" s="64" t="str">
        <f t="shared" si="68"/>
        <v>KELURAHAN POYOWA BESAR SATU KOTAMOBAGU</v>
      </c>
      <c r="AA184" s="65"/>
      <c r="AB184" s="65"/>
      <c r="AC184" s="65" t="s">
        <v>70</v>
      </c>
      <c r="AD184" s="64" t="str">
        <f>AD181</f>
        <v>POYOWA BESAR</v>
      </c>
      <c r="AE184" s="67"/>
      <c r="AF184" s="67"/>
      <c r="AG184" s="67"/>
      <c r="AH184" s="67"/>
      <c r="AI184" s="69"/>
      <c r="AJ184" s="11" t="s">
        <v>789</v>
      </c>
      <c r="AK184" s="65" t="s">
        <v>96</v>
      </c>
      <c r="AL184" s="65"/>
      <c r="AM184" s="65"/>
      <c r="AN184" s="65"/>
      <c r="AO184" s="65"/>
      <c r="AP184" s="65"/>
      <c r="AQ184" s="177" t="s">
        <v>97</v>
      </c>
      <c r="AR184" s="70" t="str">
        <f t="shared" si="67"/>
        <v>KTG.100.0101</v>
      </c>
      <c r="AS184" s="71" t="str">
        <f>AS181</f>
        <v>KPBS-2.020</v>
      </c>
      <c r="AT184" s="71" t="str">
        <f>AT181</f>
        <v>B05</v>
      </c>
      <c r="AU184" s="72"/>
      <c r="AV184" s="202">
        <v>0.70940462189999998</v>
      </c>
      <c r="AW184" s="202">
        <v>124.3228827535</v>
      </c>
      <c r="AX184" s="65" t="s">
        <v>98</v>
      </c>
      <c r="AY184" s="65" t="s">
        <v>94</v>
      </c>
      <c r="AZ184" s="65" t="s">
        <v>94</v>
      </c>
      <c r="BA184" s="73" t="s">
        <v>77</v>
      </c>
      <c r="BB184" s="65" t="s">
        <v>98</v>
      </c>
      <c r="BC184" s="65">
        <v>31</v>
      </c>
      <c r="BD184" s="65" t="s">
        <v>98</v>
      </c>
      <c r="BE184" s="211" t="str">
        <f t="shared" si="72"/>
        <v>587, POYOWA BESAR,</v>
      </c>
    </row>
    <row r="185" spans="1:57" s="211" customFormat="1" ht="15.75" customHeight="1">
      <c r="A185" s="224"/>
      <c r="B185" s="225"/>
      <c r="C185" s="225"/>
      <c r="D185" s="225"/>
      <c r="E185" s="225"/>
      <c r="F185" s="225"/>
      <c r="G185" s="226"/>
      <c r="H185" s="23">
        <v>10</v>
      </c>
      <c r="I185" s="64" t="str">
        <f t="shared" si="80"/>
        <v>MR.KPBS.P076</v>
      </c>
      <c r="J185" s="64">
        <f t="shared" si="80"/>
        <v>0.70914600000000005</v>
      </c>
      <c r="K185" s="64">
        <f t="shared" si="80"/>
        <v>124.322988</v>
      </c>
      <c r="L185" s="64" t="str">
        <f t="shared" si="80"/>
        <v>JL. RAYA POYOWA BESAR</v>
      </c>
      <c r="M185" s="64" t="str">
        <f t="shared" si="80"/>
        <v>SULAWESI UTARA</v>
      </c>
      <c r="N185" s="65" t="s">
        <v>105</v>
      </c>
      <c r="O185" s="66" t="s">
        <v>118</v>
      </c>
      <c r="P185" s="65" t="s">
        <v>119</v>
      </c>
      <c r="Q185" s="66">
        <v>95717</v>
      </c>
      <c r="R185" s="67"/>
      <c r="S185" s="68"/>
      <c r="T185" s="68"/>
      <c r="U185" s="68"/>
      <c r="V185" s="68"/>
      <c r="W185" s="64" t="s">
        <v>105</v>
      </c>
      <c r="X185" s="64"/>
      <c r="Y185" s="64" t="s">
        <v>106</v>
      </c>
      <c r="Z185" s="64" t="str">
        <f t="shared" si="68"/>
        <v>KELURAHAN POYOWA BESAR SATU KOTAMOBAGU</v>
      </c>
      <c r="AA185" s="65"/>
      <c r="AB185" s="65"/>
      <c r="AC185" s="65" t="s">
        <v>70</v>
      </c>
      <c r="AD185" s="64" t="str">
        <f t="shared" si="81"/>
        <v>POYOWA BESAR</v>
      </c>
      <c r="AE185" s="67"/>
      <c r="AF185" s="67"/>
      <c r="AG185" s="67"/>
      <c r="AH185" s="67"/>
      <c r="AI185" s="69"/>
      <c r="AJ185" s="11" t="s">
        <v>790</v>
      </c>
      <c r="AK185" s="65" t="s">
        <v>96</v>
      </c>
      <c r="AL185" s="65"/>
      <c r="AM185" s="65"/>
      <c r="AN185" s="65"/>
      <c r="AO185" s="65"/>
      <c r="AP185" s="65"/>
      <c r="AQ185" s="177" t="s">
        <v>97</v>
      </c>
      <c r="AR185" s="70" t="str">
        <f t="shared" si="67"/>
        <v>KTG.100.0101</v>
      </c>
      <c r="AS185" s="71" t="str">
        <f t="shared" si="69"/>
        <v>KPBS-2.020</v>
      </c>
      <c r="AT185" s="71" t="str">
        <f t="shared" si="69"/>
        <v>B05</v>
      </c>
      <c r="AU185" s="72"/>
      <c r="AV185" s="202">
        <v>0.70900273560000004</v>
      </c>
      <c r="AW185" s="202">
        <v>124.32283810120001</v>
      </c>
      <c r="AX185" s="65" t="s">
        <v>98</v>
      </c>
      <c r="AY185" s="65" t="s">
        <v>94</v>
      </c>
      <c r="AZ185" s="65" t="s">
        <v>94</v>
      </c>
      <c r="BA185" s="73" t="s">
        <v>77</v>
      </c>
      <c r="BB185" s="65" t="s">
        <v>98</v>
      </c>
      <c r="BC185" s="65">
        <v>31</v>
      </c>
      <c r="BD185" s="65" t="s">
        <v>98</v>
      </c>
      <c r="BE185" s="211" t="str">
        <f t="shared" si="72"/>
        <v>601, POYOWA BESAR,</v>
      </c>
    </row>
    <row r="186" spans="1:57" s="211" customFormat="1" ht="15.75" customHeight="1">
      <c r="A186" s="224"/>
      <c r="B186" s="225"/>
      <c r="C186" s="225"/>
      <c r="D186" s="225"/>
      <c r="E186" s="225"/>
      <c r="F186" s="225"/>
      <c r="G186" s="226"/>
      <c r="H186" s="23">
        <v>11</v>
      </c>
      <c r="I186" s="64" t="str">
        <f t="shared" si="80"/>
        <v>MR.KPBS.P076</v>
      </c>
      <c r="J186" s="64">
        <f t="shared" si="80"/>
        <v>0.70914600000000005</v>
      </c>
      <c r="K186" s="64">
        <f t="shared" si="80"/>
        <v>124.322988</v>
      </c>
      <c r="L186" s="64" t="str">
        <f t="shared" si="80"/>
        <v>JL. RAYA POYOWA BESAR</v>
      </c>
      <c r="M186" s="64" t="str">
        <f t="shared" si="80"/>
        <v>SULAWESI UTARA</v>
      </c>
      <c r="N186" s="65" t="s">
        <v>105</v>
      </c>
      <c r="O186" s="66" t="s">
        <v>118</v>
      </c>
      <c r="P186" s="65" t="s">
        <v>119</v>
      </c>
      <c r="Q186" s="66">
        <v>95717</v>
      </c>
      <c r="R186" s="67"/>
      <c r="S186" s="68"/>
      <c r="T186" s="68"/>
      <c r="U186" s="68"/>
      <c r="V186" s="68"/>
      <c r="W186" s="64" t="s">
        <v>105</v>
      </c>
      <c r="X186" s="64"/>
      <c r="Y186" s="64" t="s">
        <v>106</v>
      </c>
      <c r="Z186" s="64" t="str">
        <f t="shared" si="68"/>
        <v>KELURAHAN POYOWA BESAR SATU KOTAMOBAGU</v>
      </c>
      <c r="AA186" s="65"/>
      <c r="AB186" s="65"/>
      <c r="AC186" s="65" t="s">
        <v>70</v>
      </c>
      <c r="AD186" s="64" t="str">
        <f t="shared" si="81"/>
        <v>POYOWA BESAR</v>
      </c>
      <c r="AE186" s="67"/>
      <c r="AF186" s="67"/>
      <c r="AG186" s="67"/>
      <c r="AH186" s="67"/>
      <c r="AI186" s="69"/>
      <c r="AJ186" s="11" t="s">
        <v>791</v>
      </c>
      <c r="AK186" s="65" t="s">
        <v>96</v>
      </c>
      <c r="AL186" s="65"/>
      <c r="AM186" s="65"/>
      <c r="AN186" s="65"/>
      <c r="AO186" s="65"/>
      <c r="AP186" s="65"/>
      <c r="AQ186" s="177" t="s">
        <v>97</v>
      </c>
      <c r="AR186" s="70" t="str">
        <f t="shared" si="67"/>
        <v>KTG.100.0101</v>
      </c>
      <c r="AS186" s="71" t="str">
        <f t="shared" si="69"/>
        <v>KPBS-2.020</v>
      </c>
      <c r="AT186" s="71" t="str">
        <f t="shared" si="69"/>
        <v>B05</v>
      </c>
      <c r="AU186" s="72"/>
      <c r="AV186" s="202">
        <v>0.70896823220000005</v>
      </c>
      <c r="AW186" s="202">
        <v>124.3230609844</v>
      </c>
      <c r="AX186" s="65" t="s">
        <v>98</v>
      </c>
      <c r="AY186" s="65" t="s">
        <v>94</v>
      </c>
      <c r="AZ186" s="65" t="s">
        <v>94</v>
      </c>
      <c r="BA186" s="73" t="s">
        <v>77</v>
      </c>
      <c r="BB186" s="65" t="s">
        <v>98</v>
      </c>
      <c r="BC186" s="65">
        <v>31</v>
      </c>
      <c r="BD186" s="65" t="s">
        <v>98</v>
      </c>
      <c r="BE186" s="211" t="str">
        <f t="shared" si="72"/>
        <v>571, POYOWA BESAR,</v>
      </c>
    </row>
    <row r="187" spans="1:57" s="211" customFormat="1" ht="15.75" customHeight="1">
      <c r="A187" s="224"/>
      <c r="B187" s="225"/>
      <c r="C187" s="225"/>
      <c r="D187" s="225"/>
      <c r="E187" s="225"/>
      <c r="F187" s="225"/>
      <c r="G187" s="226"/>
      <c r="H187" s="23">
        <v>12</v>
      </c>
      <c r="I187" s="64" t="str">
        <f t="shared" si="80"/>
        <v>MR.KPBS.P076</v>
      </c>
      <c r="J187" s="64">
        <f t="shared" si="80"/>
        <v>0.70914600000000005</v>
      </c>
      <c r="K187" s="64">
        <f t="shared" si="80"/>
        <v>124.322988</v>
      </c>
      <c r="L187" s="64" t="str">
        <f t="shared" si="80"/>
        <v>JL. RAYA POYOWA BESAR</v>
      </c>
      <c r="M187" s="64" t="str">
        <f t="shared" si="80"/>
        <v>SULAWESI UTARA</v>
      </c>
      <c r="N187" s="65" t="s">
        <v>105</v>
      </c>
      <c r="O187" s="66" t="s">
        <v>118</v>
      </c>
      <c r="P187" s="65" t="s">
        <v>119</v>
      </c>
      <c r="Q187" s="66">
        <v>95717</v>
      </c>
      <c r="R187" s="67"/>
      <c r="S187" s="68"/>
      <c r="T187" s="68"/>
      <c r="U187" s="68"/>
      <c r="V187" s="68"/>
      <c r="W187" s="64" t="s">
        <v>105</v>
      </c>
      <c r="X187" s="64"/>
      <c r="Y187" s="64" t="s">
        <v>106</v>
      </c>
      <c r="Z187" s="64" t="str">
        <f t="shared" si="68"/>
        <v>KELURAHAN POYOWA BESAR SATU KOTAMOBAGU</v>
      </c>
      <c r="AA187" s="65"/>
      <c r="AB187" s="65"/>
      <c r="AC187" s="65" t="s">
        <v>70</v>
      </c>
      <c r="AD187" s="64" t="str">
        <f t="shared" si="81"/>
        <v>POYOWA BESAR</v>
      </c>
      <c r="AE187" s="67"/>
      <c r="AF187" s="67"/>
      <c r="AG187" s="67"/>
      <c r="AH187" s="67"/>
      <c r="AI187" s="69"/>
      <c r="AJ187" s="11" t="s">
        <v>792</v>
      </c>
      <c r="AK187" s="65" t="s">
        <v>96</v>
      </c>
      <c r="AL187" s="65"/>
      <c r="AM187" s="65"/>
      <c r="AN187" s="65"/>
      <c r="AO187" s="65"/>
      <c r="AP187" s="65"/>
      <c r="AQ187" s="177" t="s">
        <v>97</v>
      </c>
      <c r="AR187" s="70" t="str">
        <f t="shared" si="67"/>
        <v>KTG.100.0101</v>
      </c>
      <c r="AS187" s="71" t="str">
        <f t="shared" si="69"/>
        <v>KPBS-2.020</v>
      </c>
      <c r="AT187" s="71" t="str">
        <f t="shared" si="69"/>
        <v>B05</v>
      </c>
      <c r="AU187" s="72"/>
      <c r="AV187" s="202">
        <v>0.70895219379999996</v>
      </c>
      <c r="AW187" s="202">
        <v>124.32283661779999</v>
      </c>
      <c r="AX187" s="65" t="s">
        <v>98</v>
      </c>
      <c r="AY187" s="65" t="s">
        <v>94</v>
      </c>
      <c r="AZ187" s="65" t="s">
        <v>94</v>
      </c>
      <c r="BA187" s="73" t="s">
        <v>77</v>
      </c>
      <c r="BB187" s="65" t="s">
        <v>98</v>
      </c>
      <c r="BC187" s="65">
        <v>31</v>
      </c>
      <c r="BD187" s="65" t="s">
        <v>98</v>
      </c>
      <c r="BE187" s="211" t="str">
        <f t="shared" si="72"/>
        <v>602, POYOWA BESAR,</v>
      </c>
    </row>
    <row r="188" spans="1:57" s="211" customFormat="1" ht="15.75" customHeight="1">
      <c r="A188" s="224"/>
      <c r="B188" s="225"/>
      <c r="C188" s="225"/>
      <c r="D188" s="225"/>
      <c r="E188" s="225"/>
      <c r="F188" s="225"/>
      <c r="G188" s="226"/>
      <c r="H188" s="23">
        <v>13</v>
      </c>
      <c r="I188" s="64" t="str">
        <f t="shared" si="80"/>
        <v>MR.KPBS.P076</v>
      </c>
      <c r="J188" s="64">
        <f t="shared" si="80"/>
        <v>0.70914600000000005</v>
      </c>
      <c r="K188" s="64">
        <f t="shared" si="80"/>
        <v>124.322988</v>
      </c>
      <c r="L188" s="64" t="str">
        <f t="shared" si="80"/>
        <v>JL. RAYA POYOWA BESAR</v>
      </c>
      <c r="M188" s="64" t="str">
        <f t="shared" si="80"/>
        <v>SULAWESI UTARA</v>
      </c>
      <c r="N188" s="65" t="s">
        <v>105</v>
      </c>
      <c r="O188" s="66" t="s">
        <v>118</v>
      </c>
      <c r="P188" s="65" t="s">
        <v>119</v>
      </c>
      <c r="Q188" s="66">
        <v>95717</v>
      </c>
      <c r="R188" s="66"/>
      <c r="S188" s="66"/>
      <c r="T188" s="66"/>
      <c r="U188" s="66"/>
      <c r="V188" s="66"/>
      <c r="W188" s="64" t="s">
        <v>105</v>
      </c>
      <c r="X188" s="64"/>
      <c r="Y188" s="64" t="s">
        <v>106</v>
      </c>
      <c r="Z188" s="64" t="str">
        <f t="shared" si="68"/>
        <v>KELURAHAN POYOWA BESAR SATU KOTAMOBAGU</v>
      </c>
      <c r="AA188" s="65"/>
      <c r="AB188" s="65"/>
      <c r="AC188" s="65" t="s">
        <v>70</v>
      </c>
      <c r="AD188" s="64" t="str">
        <f t="shared" si="81"/>
        <v>POYOWA BESAR</v>
      </c>
      <c r="AE188" s="66"/>
      <c r="AF188" s="66"/>
      <c r="AG188" s="66"/>
      <c r="AH188" s="66"/>
      <c r="AI188" s="69"/>
      <c r="AJ188" s="11" t="s">
        <v>793</v>
      </c>
      <c r="AK188" s="65" t="s">
        <v>96</v>
      </c>
      <c r="AL188" s="65"/>
      <c r="AM188" s="65"/>
      <c r="AN188" s="65"/>
      <c r="AO188" s="65"/>
      <c r="AP188" s="65"/>
      <c r="AQ188" s="177" t="s">
        <v>97</v>
      </c>
      <c r="AR188" s="70" t="str">
        <f t="shared" si="67"/>
        <v>KTG.100.0101</v>
      </c>
      <c r="AS188" s="71" t="str">
        <f t="shared" si="69"/>
        <v>KPBS-2.020</v>
      </c>
      <c r="AT188" s="71" t="str">
        <f t="shared" si="69"/>
        <v>B05</v>
      </c>
      <c r="AU188" s="72"/>
      <c r="AV188" s="202">
        <v>0.70887741930000003</v>
      </c>
      <c r="AW188" s="202">
        <v>124.32307990370001</v>
      </c>
      <c r="AX188" s="65" t="s">
        <v>98</v>
      </c>
      <c r="AY188" s="65" t="s">
        <v>94</v>
      </c>
      <c r="AZ188" s="65" t="s">
        <v>94</v>
      </c>
      <c r="BA188" s="73" t="s">
        <v>77</v>
      </c>
      <c r="BB188" s="65" t="s">
        <v>98</v>
      </c>
      <c r="BC188" s="65">
        <v>31</v>
      </c>
      <c r="BD188" s="65" t="s">
        <v>98</v>
      </c>
      <c r="BE188" s="211" t="str">
        <f t="shared" si="72"/>
        <v>610, POYOWA BESAR,</v>
      </c>
    </row>
    <row r="189" spans="1:57" s="211" customFormat="1" ht="15.75" customHeight="1">
      <c r="A189" s="224"/>
      <c r="B189" s="225"/>
      <c r="C189" s="225"/>
      <c r="D189" s="225"/>
      <c r="E189" s="225"/>
      <c r="F189" s="225"/>
      <c r="G189" s="226"/>
      <c r="H189" s="23">
        <v>14</v>
      </c>
      <c r="I189" s="64" t="str">
        <f t="shared" si="80"/>
        <v>MR.KPBS.P076</v>
      </c>
      <c r="J189" s="64">
        <f t="shared" si="80"/>
        <v>0.70914600000000005</v>
      </c>
      <c r="K189" s="64">
        <f t="shared" si="80"/>
        <v>124.322988</v>
      </c>
      <c r="L189" s="64" t="str">
        <f t="shared" si="80"/>
        <v>JL. RAYA POYOWA BESAR</v>
      </c>
      <c r="M189" s="64" t="str">
        <f t="shared" si="80"/>
        <v>SULAWESI UTARA</v>
      </c>
      <c r="N189" s="65" t="s">
        <v>105</v>
      </c>
      <c r="O189" s="66" t="s">
        <v>118</v>
      </c>
      <c r="P189" s="65" t="s">
        <v>119</v>
      </c>
      <c r="Q189" s="66">
        <v>95717</v>
      </c>
      <c r="R189" s="67"/>
      <c r="S189" s="68"/>
      <c r="T189" s="68"/>
      <c r="U189" s="68"/>
      <c r="V189" s="68"/>
      <c r="W189" s="64" t="s">
        <v>105</v>
      </c>
      <c r="X189" s="64"/>
      <c r="Y189" s="64" t="s">
        <v>106</v>
      </c>
      <c r="Z189" s="64" t="str">
        <f t="shared" si="68"/>
        <v>KELURAHAN POYOWA BESAR SATU KOTAMOBAGU</v>
      </c>
      <c r="AA189" s="65"/>
      <c r="AB189" s="65"/>
      <c r="AC189" s="65" t="s">
        <v>70</v>
      </c>
      <c r="AD189" s="64" t="str">
        <f t="shared" si="81"/>
        <v>POYOWA BESAR</v>
      </c>
      <c r="AE189" s="67"/>
      <c r="AF189" s="67"/>
      <c r="AG189" s="67"/>
      <c r="AH189" s="67"/>
      <c r="AI189" s="69"/>
      <c r="AJ189" s="11" t="s">
        <v>794</v>
      </c>
      <c r="AK189" s="65" t="s">
        <v>96</v>
      </c>
      <c r="AL189" s="65"/>
      <c r="AM189" s="65"/>
      <c r="AN189" s="65"/>
      <c r="AO189" s="65"/>
      <c r="AP189" s="65"/>
      <c r="AQ189" s="177" t="s">
        <v>97</v>
      </c>
      <c r="AR189" s="70" t="str">
        <f t="shared" si="67"/>
        <v>KTG.100.0101</v>
      </c>
      <c r="AS189" s="71" t="str">
        <f t="shared" si="69"/>
        <v>KPBS-2.020</v>
      </c>
      <c r="AT189" s="71" t="str">
        <f t="shared" si="69"/>
        <v>B05</v>
      </c>
      <c r="AU189" s="72"/>
      <c r="AV189" s="202">
        <v>0.708876375</v>
      </c>
      <c r="AW189" s="202">
        <v>124.32283810120001</v>
      </c>
      <c r="AX189" s="65" t="s">
        <v>98</v>
      </c>
      <c r="AY189" s="65" t="s">
        <v>94</v>
      </c>
      <c r="AZ189" s="65" t="s">
        <v>94</v>
      </c>
      <c r="BA189" s="73" t="s">
        <v>77</v>
      </c>
      <c r="BB189" s="65" t="s">
        <v>98</v>
      </c>
      <c r="BC189" s="65">
        <v>31</v>
      </c>
      <c r="BD189" s="65" t="s">
        <v>98</v>
      </c>
      <c r="BE189" s="211" t="str">
        <f t="shared" si="72"/>
        <v>603, POYOWA BESAR,</v>
      </c>
    </row>
    <row r="190" spans="1:57" s="211" customFormat="1" ht="15.75" customHeight="1">
      <c r="A190" s="224"/>
      <c r="B190" s="225"/>
      <c r="C190" s="225"/>
      <c r="D190" s="225"/>
      <c r="E190" s="225"/>
      <c r="F190" s="225"/>
      <c r="G190" s="226"/>
      <c r="H190" s="23">
        <v>15</v>
      </c>
      <c r="I190" s="64" t="str">
        <f t="shared" si="80"/>
        <v>MR.KPBS.P076</v>
      </c>
      <c r="J190" s="64">
        <f t="shared" si="80"/>
        <v>0.70914600000000005</v>
      </c>
      <c r="K190" s="64">
        <f t="shared" si="80"/>
        <v>124.322988</v>
      </c>
      <c r="L190" s="64" t="str">
        <f t="shared" si="80"/>
        <v>JL. RAYA POYOWA BESAR</v>
      </c>
      <c r="M190" s="64" t="str">
        <f t="shared" si="80"/>
        <v>SULAWESI UTARA</v>
      </c>
      <c r="N190" s="65" t="s">
        <v>105</v>
      </c>
      <c r="O190" s="66" t="s">
        <v>118</v>
      </c>
      <c r="P190" s="65" t="s">
        <v>119</v>
      </c>
      <c r="Q190" s="66">
        <v>95717</v>
      </c>
      <c r="R190" s="66"/>
      <c r="S190" s="66"/>
      <c r="T190" s="66"/>
      <c r="U190" s="66"/>
      <c r="V190" s="66"/>
      <c r="W190" s="64" t="s">
        <v>105</v>
      </c>
      <c r="X190" s="64"/>
      <c r="Y190" s="64" t="s">
        <v>106</v>
      </c>
      <c r="Z190" s="64" t="str">
        <f t="shared" si="68"/>
        <v>KELURAHAN POYOWA BESAR SATU KOTAMOBAGU</v>
      </c>
      <c r="AA190" s="65"/>
      <c r="AB190" s="65"/>
      <c r="AC190" s="65" t="s">
        <v>70</v>
      </c>
      <c r="AD190" s="64" t="str">
        <f t="shared" si="81"/>
        <v>POYOWA BESAR</v>
      </c>
      <c r="AE190" s="66"/>
      <c r="AF190" s="66"/>
      <c r="AG190" s="66"/>
      <c r="AH190" s="66"/>
      <c r="AI190" s="69"/>
      <c r="AJ190" s="11" t="s">
        <v>795</v>
      </c>
      <c r="AK190" s="65" t="s">
        <v>96</v>
      </c>
      <c r="AL190" s="65"/>
      <c r="AM190" s="65"/>
      <c r="AN190" s="65"/>
      <c r="AO190" s="65"/>
      <c r="AP190" s="65"/>
      <c r="AQ190" s="177" t="s">
        <v>97</v>
      </c>
      <c r="AR190" s="70" t="str">
        <f t="shared" si="67"/>
        <v>KTG.100.0101</v>
      </c>
      <c r="AS190" s="71" t="str">
        <f t="shared" si="69"/>
        <v>KPBS-2.020</v>
      </c>
      <c r="AT190" s="71" t="str">
        <f t="shared" si="69"/>
        <v>B05</v>
      </c>
      <c r="AU190" s="72"/>
      <c r="AV190" s="202">
        <v>0.70880457969999999</v>
      </c>
      <c r="AW190" s="202">
        <v>124.3230279868</v>
      </c>
      <c r="AX190" s="65" t="s">
        <v>98</v>
      </c>
      <c r="AY190" s="65" t="s">
        <v>94</v>
      </c>
      <c r="AZ190" s="65" t="s">
        <v>94</v>
      </c>
      <c r="BA190" s="73" t="s">
        <v>77</v>
      </c>
      <c r="BB190" s="65" t="s">
        <v>98</v>
      </c>
      <c r="BC190" s="65">
        <v>31</v>
      </c>
      <c r="BD190" s="65" t="s">
        <v>98</v>
      </c>
      <c r="BE190" s="211" t="str">
        <f t="shared" si="72"/>
        <v>611, POYOWA BESAR,</v>
      </c>
    </row>
    <row r="191" spans="1:57" s="211" customFormat="1" ht="15.75" customHeight="1">
      <c r="A191" s="224"/>
      <c r="B191" s="225"/>
      <c r="C191" s="225"/>
      <c r="D191" s="225"/>
      <c r="E191" s="225"/>
      <c r="F191" s="225"/>
      <c r="G191" s="226"/>
      <c r="H191" s="23">
        <v>16</v>
      </c>
      <c r="I191" s="64" t="str">
        <f t="shared" si="80"/>
        <v>MR.KPBS.P076</v>
      </c>
      <c r="J191" s="64">
        <f t="shared" si="80"/>
        <v>0.70914600000000005</v>
      </c>
      <c r="K191" s="64">
        <f t="shared" si="80"/>
        <v>124.322988</v>
      </c>
      <c r="L191" s="64" t="str">
        <f t="shared" si="80"/>
        <v>JL. RAYA POYOWA BESAR</v>
      </c>
      <c r="M191" s="64" t="str">
        <f t="shared" si="80"/>
        <v>SULAWESI UTARA</v>
      </c>
      <c r="N191" s="65" t="s">
        <v>105</v>
      </c>
      <c r="O191" s="66" t="s">
        <v>118</v>
      </c>
      <c r="P191" s="65" t="s">
        <v>119</v>
      </c>
      <c r="Q191" s="66">
        <v>95717</v>
      </c>
      <c r="R191" s="67"/>
      <c r="S191" s="68"/>
      <c r="T191" s="68"/>
      <c r="U191" s="68"/>
      <c r="V191" s="68"/>
      <c r="W191" s="64" t="s">
        <v>105</v>
      </c>
      <c r="X191" s="64"/>
      <c r="Y191" s="64" t="s">
        <v>106</v>
      </c>
      <c r="Z191" s="64" t="str">
        <f t="shared" si="68"/>
        <v>KELURAHAN POYOWA BESAR SATU KOTAMOBAGU</v>
      </c>
      <c r="AA191" s="65"/>
      <c r="AB191" s="65"/>
      <c r="AC191" s="65" t="s">
        <v>70</v>
      </c>
      <c r="AD191" s="64" t="str">
        <f t="shared" si="81"/>
        <v>POYOWA BESAR</v>
      </c>
      <c r="AE191" s="67"/>
      <c r="AF191" s="67"/>
      <c r="AG191" s="67"/>
      <c r="AH191" s="67"/>
      <c r="AI191" s="69"/>
      <c r="AJ191" s="11" t="s">
        <v>796</v>
      </c>
      <c r="AK191" s="65" t="s">
        <v>96</v>
      </c>
      <c r="AL191" s="65"/>
      <c r="AM191" s="65"/>
      <c r="AN191" s="65"/>
      <c r="AO191" s="65"/>
      <c r="AP191" s="65"/>
      <c r="AQ191" s="177" t="s">
        <v>97</v>
      </c>
      <c r="AR191" s="70" t="str">
        <f t="shared" si="67"/>
        <v>KTG.100.0101</v>
      </c>
      <c r="AS191" s="71" t="str">
        <f t="shared" si="69"/>
        <v>KPBS-2.020</v>
      </c>
      <c r="AT191" s="71" t="str">
        <f t="shared" si="69"/>
        <v>B05</v>
      </c>
      <c r="AU191" s="72"/>
      <c r="AV191" s="202">
        <v>0.70878570330000001</v>
      </c>
      <c r="AW191" s="202">
        <v>124.3228128845</v>
      </c>
      <c r="AX191" s="65" t="s">
        <v>98</v>
      </c>
      <c r="AY191" s="65" t="s">
        <v>94</v>
      </c>
      <c r="AZ191" s="65" t="s">
        <v>94</v>
      </c>
      <c r="BA191" s="73" t="s">
        <v>77</v>
      </c>
      <c r="BB191" s="65" t="s">
        <v>98</v>
      </c>
      <c r="BC191" s="65">
        <v>31</v>
      </c>
      <c r="BD191" s="65" t="s">
        <v>98</v>
      </c>
      <c r="BE191" s="211" t="str">
        <f t="shared" si="72"/>
        <v>604, POYOWA BESAR,</v>
      </c>
    </row>
    <row r="192" spans="1:57" s="211" customFormat="1" ht="15.75" customHeight="1">
      <c r="A192" s="40" t="s">
        <v>78</v>
      </c>
      <c r="B192" s="40">
        <f>B176+1</f>
        <v>14</v>
      </c>
      <c r="C192" s="32" t="s">
        <v>99</v>
      </c>
      <c r="D192" s="32" t="s">
        <v>351</v>
      </c>
      <c r="E192" s="120">
        <v>2</v>
      </c>
      <c r="F192" s="43">
        <f>F177+3</f>
        <v>13</v>
      </c>
      <c r="G192" s="214" t="s">
        <v>88</v>
      </c>
      <c r="H192" s="42">
        <v>1</v>
      </c>
      <c r="I192" s="82" t="s">
        <v>965</v>
      </c>
      <c r="J192" s="83">
        <v>0.70913599999999999</v>
      </c>
      <c r="K192" s="83">
        <v>124.322636</v>
      </c>
      <c r="L192" s="113" t="s">
        <v>116</v>
      </c>
      <c r="M192" s="119" t="str">
        <f t="shared" si="80"/>
        <v>SULAWESI UTARA</v>
      </c>
      <c r="N192" s="14" t="s">
        <v>105</v>
      </c>
      <c r="O192" s="84" t="s">
        <v>118</v>
      </c>
      <c r="P192" s="14" t="s">
        <v>119</v>
      </c>
      <c r="Q192" s="84">
        <v>95717</v>
      </c>
      <c r="R192" s="86"/>
      <c r="S192" s="87"/>
      <c r="T192" s="88"/>
      <c r="U192" s="87"/>
      <c r="V192" s="88"/>
      <c r="W192" s="85" t="s">
        <v>105</v>
      </c>
      <c r="X192" s="83"/>
      <c r="Y192" s="119" t="s">
        <v>106</v>
      </c>
      <c r="Z192" s="119" t="str">
        <f t="shared" si="68"/>
        <v>KELURAHAN POYOWA BESAR SATU KOTAMOBAGU</v>
      </c>
      <c r="AA192" s="89"/>
      <c r="AB192" s="89"/>
      <c r="AC192" s="89" t="s">
        <v>70</v>
      </c>
      <c r="AD192" s="113" t="s">
        <v>119</v>
      </c>
      <c r="AE192" s="90"/>
      <c r="AF192" s="90"/>
      <c r="AG192" s="90"/>
      <c r="AH192" s="90"/>
      <c r="AI192" s="91"/>
      <c r="AJ192" s="115" t="s">
        <v>797</v>
      </c>
      <c r="AK192" s="89" t="s">
        <v>96</v>
      </c>
      <c r="AL192" s="95"/>
      <c r="AM192" s="187"/>
      <c r="AN192" s="187"/>
      <c r="AO192" s="187"/>
      <c r="AP192" s="187"/>
      <c r="AQ192" s="188" t="s">
        <v>97</v>
      </c>
      <c r="AR192" s="92" t="str">
        <f t="shared" si="67"/>
        <v>KTG.100.0101</v>
      </c>
      <c r="AS192" s="93" t="str">
        <f>AS93</f>
        <v>KPBS-2.020</v>
      </c>
      <c r="AT192" s="93" t="str">
        <f>G192</f>
        <v>B06</v>
      </c>
      <c r="AU192" s="94"/>
      <c r="AV192" s="203">
        <v>0.70897926680000001</v>
      </c>
      <c r="AW192" s="203">
        <v>124.32272529630001</v>
      </c>
      <c r="AX192" s="95" t="s">
        <v>98</v>
      </c>
      <c r="AY192" s="95" t="s">
        <v>94</v>
      </c>
      <c r="AZ192" s="95" t="s">
        <v>94</v>
      </c>
      <c r="BA192" s="96" t="s">
        <v>77</v>
      </c>
      <c r="BB192" s="95" t="s">
        <v>98</v>
      </c>
      <c r="BC192" s="95">
        <v>31</v>
      </c>
      <c r="BD192" s="95" t="s">
        <v>98</v>
      </c>
      <c r="BE192" s="211" t="str">
        <f t="shared" si="72"/>
        <v>600, POYOWA BESAR,</v>
      </c>
    </row>
    <row r="193" spans="1:57" s="211" customFormat="1" ht="15.75" customHeight="1">
      <c r="A193" s="24"/>
      <c r="B193" s="24"/>
      <c r="C193" s="22" t="s">
        <v>99</v>
      </c>
      <c r="D193" s="22" t="s">
        <v>351</v>
      </c>
      <c r="E193" s="32">
        <v>2</v>
      </c>
      <c r="F193" s="25">
        <f>F192+1</f>
        <v>14</v>
      </c>
      <c r="G193" s="235"/>
      <c r="H193" s="23">
        <v>2</v>
      </c>
      <c r="I193" s="64" t="str">
        <f t="shared" ref="I193:M197" si="87">I192</f>
        <v>MR.KPBS.P077</v>
      </c>
      <c r="J193" s="64">
        <f t="shared" si="87"/>
        <v>0.70913599999999999</v>
      </c>
      <c r="K193" s="64">
        <f t="shared" si="87"/>
        <v>124.322636</v>
      </c>
      <c r="L193" s="64" t="str">
        <f t="shared" si="87"/>
        <v>JL. RAYA POYOWA BESAR</v>
      </c>
      <c r="M193" s="64" t="str">
        <f t="shared" si="87"/>
        <v>SULAWESI UTARA</v>
      </c>
      <c r="N193" s="65" t="s">
        <v>105</v>
      </c>
      <c r="O193" s="66" t="s">
        <v>118</v>
      </c>
      <c r="P193" s="65" t="s">
        <v>119</v>
      </c>
      <c r="Q193" s="66">
        <v>95717</v>
      </c>
      <c r="R193" s="67"/>
      <c r="S193" s="68"/>
      <c r="T193" s="68"/>
      <c r="U193" s="68"/>
      <c r="V193" s="68"/>
      <c r="W193" s="65" t="s">
        <v>105</v>
      </c>
      <c r="X193" s="64"/>
      <c r="Y193" s="64" t="s">
        <v>106</v>
      </c>
      <c r="Z193" s="64" t="str">
        <f t="shared" si="68"/>
        <v>KELURAHAN POYOWA BESAR SATU KOTAMOBAGU</v>
      </c>
      <c r="AA193" s="65"/>
      <c r="AB193" s="65"/>
      <c r="AC193" s="65" t="s">
        <v>70</v>
      </c>
      <c r="AD193" s="64" t="s">
        <v>119</v>
      </c>
      <c r="AE193" s="67"/>
      <c r="AF193" s="67"/>
      <c r="AG193" s="67"/>
      <c r="AH193" s="67"/>
      <c r="AI193" s="69"/>
      <c r="AJ193" s="11" t="s">
        <v>798</v>
      </c>
      <c r="AK193" s="65" t="s">
        <v>96</v>
      </c>
      <c r="AL193" s="65"/>
      <c r="AM193" s="176"/>
      <c r="AN193" s="176"/>
      <c r="AO193" s="176"/>
      <c r="AP193" s="176"/>
      <c r="AQ193" s="177" t="s">
        <v>97</v>
      </c>
      <c r="AR193" s="70" t="str">
        <f t="shared" si="67"/>
        <v>KTG.100.0101</v>
      </c>
      <c r="AS193" s="71" t="str">
        <f t="shared" si="69"/>
        <v>KPBS-2.020</v>
      </c>
      <c r="AT193" s="71" t="str">
        <f t="shared" si="69"/>
        <v>B06</v>
      </c>
      <c r="AU193" s="72"/>
      <c r="AV193" s="202">
        <v>0.70930205189999995</v>
      </c>
      <c r="AW193" s="202">
        <v>124.3227774364</v>
      </c>
      <c r="AX193" s="65" t="s">
        <v>98</v>
      </c>
      <c r="AY193" s="65" t="s">
        <v>94</v>
      </c>
      <c r="AZ193" s="65" t="s">
        <v>94</v>
      </c>
      <c r="BA193" s="73" t="s">
        <v>77</v>
      </c>
      <c r="BB193" s="65" t="s">
        <v>98</v>
      </c>
      <c r="BC193" s="65">
        <v>31</v>
      </c>
      <c r="BD193" s="65" t="s">
        <v>98</v>
      </c>
      <c r="BE193" s="211" t="str">
        <f t="shared" si="72"/>
        <v>588, POYOWA BESAR,</v>
      </c>
    </row>
    <row r="194" spans="1:57" s="211" customFormat="1" ht="15.75" customHeight="1">
      <c r="A194" s="221"/>
      <c r="B194" s="222"/>
      <c r="C194" s="222"/>
      <c r="D194" s="222"/>
      <c r="E194" s="222"/>
      <c r="F194" s="222"/>
      <c r="G194" s="223"/>
      <c r="H194" s="23">
        <v>3</v>
      </c>
      <c r="I194" s="64" t="str">
        <f t="shared" si="87"/>
        <v>MR.KPBS.P077</v>
      </c>
      <c r="J194" s="64">
        <f t="shared" si="87"/>
        <v>0.70913599999999999</v>
      </c>
      <c r="K194" s="64">
        <f t="shared" si="87"/>
        <v>124.322636</v>
      </c>
      <c r="L194" s="64" t="str">
        <f t="shared" si="87"/>
        <v>JL. RAYA POYOWA BESAR</v>
      </c>
      <c r="M194" s="64" t="str">
        <f t="shared" si="87"/>
        <v>SULAWESI UTARA</v>
      </c>
      <c r="N194" s="65" t="s">
        <v>105</v>
      </c>
      <c r="O194" s="66" t="s">
        <v>118</v>
      </c>
      <c r="P194" s="65" t="s">
        <v>119</v>
      </c>
      <c r="Q194" s="66">
        <v>95717</v>
      </c>
      <c r="R194" s="67"/>
      <c r="S194" s="68"/>
      <c r="T194" s="68"/>
      <c r="U194" s="68"/>
      <c r="V194" s="68"/>
      <c r="W194" s="65" t="s">
        <v>105</v>
      </c>
      <c r="X194" s="64"/>
      <c r="Y194" s="64" t="s">
        <v>106</v>
      </c>
      <c r="Z194" s="64" t="str">
        <f t="shared" si="68"/>
        <v>KELURAHAN POYOWA BESAR SATU KOTAMOBAGU</v>
      </c>
      <c r="AA194" s="65"/>
      <c r="AB194" s="65"/>
      <c r="AC194" s="65" t="s">
        <v>70</v>
      </c>
      <c r="AD194" s="64" t="str">
        <f t="shared" ref="AD194:AD202" si="88">AD193</f>
        <v>POYOWA BESAR</v>
      </c>
      <c r="AE194" s="67"/>
      <c r="AF194" s="67"/>
      <c r="AG194" s="67"/>
      <c r="AH194" s="67"/>
      <c r="AI194" s="69"/>
      <c r="AJ194" s="11" t="s">
        <v>799</v>
      </c>
      <c r="AK194" s="65" t="s">
        <v>96</v>
      </c>
      <c r="AL194" s="65"/>
      <c r="AM194" s="176"/>
      <c r="AN194" s="176"/>
      <c r="AO194" s="176"/>
      <c r="AP194" s="176"/>
      <c r="AQ194" s="177" t="s">
        <v>97</v>
      </c>
      <c r="AR194" s="70" t="str">
        <f t="shared" si="67"/>
        <v>KTG.100.0101</v>
      </c>
      <c r="AS194" s="71" t="str">
        <f t="shared" si="69"/>
        <v>KPBS-2.020</v>
      </c>
      <c r="AT194" s="71" t="str">
        <f t="shared" si="69"/>
        <v>B06</v>
      </c>
      <c r="AU194" s="72"/>
      <c r="AV194" s="202">
        <v>0.70897926680000001</v>
      </c>
      <c r="AW194" s="202">
        <v>124.32266299609999</v>
      </c>
      <c r="AX194" s="65" t="s">
        <v>98</v>
      </c>
      <c r="AY194" s="65" t="s">
        <v>94</v>
      </c>
      <c r="AZ194" s="65" t="s">
        <v>94</v>
      </c>
      <c r="BA194" s="73" t="s">
        <v>77</v>
      </c>
      <c r="BB194" s="65" t="s">
        <v>98</v>
      </c>
      <c r="BC194" s="65">
        <v>31</v>
      </c>
      <c r="BD194" s="65" t="s">
        <v>98</v>
      </c>
      <c r="BE194" s="211" t="str">
        <f t="shared" si="72"/>
        <v>599, POYOWA BESAR,</v>
      </c>
    </row>
    <row r="195" spans="1:57" s="211" customFormat="1" ht="15.75" customHeight="1">
      <c r="A195" s="224"/>
      <c r="B195" s="225"/>
      <c r="C195" s="225"/>
      <c r="D195" s="225"/>
      <c r="E195" s="225"/>
      <c r="F195" s="225"/>
      <c r="G195" s="226"/>
      <c r="H195" s="23">
        <v>4</v>
      </c>
      <c r="I195" s="64" t="str">
        <f t="shared" si="87"/>
        <v>MR.KPBS.P077</v>
      </c>
      <c r="J195" s="64">
        <f t="shared" si="87"/>
        <v>0.70913599999999999</v>
      </c>
      <c r="K195" s="64">
        <f t="shared" si="87"/>
        <v>124.322636</v>
      </c>
      <c r="L195" s="64" t="str">
        <f t="shared" si="87"/>
        <v>JL. RAYA POYOWA BESAR</v>
      </c>
      <c r="M195" s="64" t="str">
        <f t="shared" si="87"/>
        <v>SULAWESI UTARA</v>
      </c>
      <c r="N195" s="65" t="s">
        <v>105</v>
      </c>
      <c r="O195" s="66" t="s">
        <v>118</v>
      </c>
      <c r="P195" s="65" t="s">
        <v>119</v>
      </c>
      <c r="Q195" s="66">
        <v>95717</v>
      </c>
      <c r="R195" s="67"/>
      <c r="S195" s="68"/>
      <c r="T195" s="68"/>
      <c r="U195" s="68"/>
      <c r="V195" s="68"/>
      <c r="W195" s="65" t="s">
        <v>105</v>
      </c>
      <c r="X195" s="64"/>
      <c r="Y195" s="64" t="s">
        <v>106</v>
      </c>
      <c r="Z195" s="64" t="str">
        <f t="shared" si="68"/>
        <v>KELURAHAN POYOWA BESAR SATU KOTAMOBAGU</v>
      </c>
      <c r="AA195" s="65"/>
      <c r="AB195" s="65"/>
      <c r="AC195" s="65" t="s">
        <v>70</v>
      </c>
      <c r="AD195" s="64" t="str">
        <f t="shared" si="88"/>
        <v>POYOWA BESAR</v>
      </c>
      <c r="AE195" s="67"/>
      <c r="AF195" s="67"/>
      <c r="AG195" s="67"/>
      <c r="AH195" s="67"/>
      <c r="AI195" s="69"/>
      <c r="AJ195" s="11" t="s">
        <v>800</v>
      </c>
      <c r="AK195" s="65" t="s">
        <v>96</v>
      </c>
      <c r="AL195" s="65"/>
      <c r="AM195" s="176"/>
      <c r="AN195" s="176"/>
      <c r="AO195" s="176"/>
      <c r="AP195" s="176"/>
      <c r="AQ195" s="177" t="s">
        <v>97</v>
      </c>
      <c r="AR195" s="70" t="str">
        <f t="shared" si="67"/>
        <v>KTG.100.0101</v>
      </c>
      <c r="AS195" s="71" t="str">
        <f t="shared" si="69"/>
        <v>KPBS-2.020</v>
      </c>
      <c r="AT195" s="71" t="str">
        <f t="shared" si="69"/>
        <v>B06</v>
      </c>
      <c r="AU195" s="72"/>
      <c r="AV195" s="202">
        <v>0.70898223979999997</v>
      </c>
      <c r="AW195" s="202">
        <v>124.3226125625</v>
      </c>
      <c r="AX195" s="65" t="s">
        <v>98</v>
      </c>
      <c r="AY195" s="65" t="s">
        <v>94</v>
      </c>
      <c r="AZ195" s="65" t="s">
        <v>94</v>
      </c>
      <c r="BA195" s="73" t="s">
        <v>77</v>
      </c>
      <c r="BB195" s="65" t="s">
        <v>98</v>
      </c>
      <c r="BC195" s="65">
        <v>31</v>
      </c>
      <c r="BD195" s="65" t="s">
        <v>98</v>
      </c>
      <c r="BE195" s="211" t="str">
        <f t="shared" si="72"/>
        <v>598, POYOWA BESAR,</v>
      </c>
    </row>
    <row r="196" spans="1:57" s="211" customFormat="1" ht="15.75" customHeight="1">
      <c r="A196" s="224"/>
      <c r="B196" s="225"/>
      <c r="C196" s="225"/>
      <c r="D196" s="225"/>
      <c r="E196" s="225"/>
      <c r="F196" s="225"/>
      <c r="G196" s="226"/>
      <c r="H196" s="23">
        <v>5</v>
      </c>
      <c r="I196" s="64" t="str">
        <f t="shared" si="87"/>
        <v>MR.KPBS.P077</v>
      </c>
      <c r="J196" s="64">
        <f t="shared" si="87"/>
        <v>0.70913599999999999</v>
      </c>
      <c r="K196" s="64">
        <f t="shared" si="87"/>
        <v>124.322636</v>
      </c>
      <c r="L196" s="64" t="str">
        <f t="shared" si="87"/>
        <v>JL. RAYA POYOWA BESAR</v>
      </c>
      <c r="M196" s="64" t="str">
        <f t="shared" si="87"/>
        <v>SULAWESI UTARA</v>
      </c>
      <c r="N196" s="65" t="s">
        <v>105</v>
      </c>
      <c r="O196" s="66" t="s">
        <v>118</v>
      </c>
      <c r="P196" s="65" t="s">
        <v>119</v>
      </c>
      <c r="Q196" s="66">
        <v>95717</v>
      </c>
      <c r="R196" s="67"/>
      <c r="S196" s="68"/>
      <c r="T196" s="68"/>
      <c r="U196" s="68"/>
      <c r="V196" s="68"/>
      <c r="W196" s="65" t="s">
        <v>105</v>
      </c>
      <c r="X196" s="64"/>
      <c r="Y196" s="64" t="s">
        <v>106</v>
      </c>
      <c r="Z196" s="64" t="str">
        <f t="shared" si="68"/>
        <v>KELURAHAN POYOWA BESAR SATU KOTAMOBAGU</v>
      </c>
      <c r="AA196" s="65"/>
      <c r="AB196" s="65"/>
      <c r="AC196" s="65" t="s">
        <v>70</v>
      </c>
      <c r="AD196" s="64" t="str">
        <f t="shared" si="88"/>
        <v>POYOWA BESAR</v>
      </c>
      <c r="AE196" s="67"/>
      <c r="AF196" s="67"/>
      <c r="AG196" s="67"/>
      <c r="AH196" s="67"/>
      <c r="AI196" s="69"/>
      <c r="AJ196" s="11" t="s">
        <v>801</v>
      </c>
      <c r="AK196" s="65" t="s">
        <v>96</v>
      </c>
      <c r="AL196" s="65"/>
      <c r="AM196" s="176"/>
      <c r="AN196" s="176"/>
      <c r="AO196" s="176"/>
      <c r="AP196" s="176"/>
      <c r="AQ196" s="177" t="s">
        <v>97</v>
      </c>
      <c r="AR196" s="70" t="str">
        <f t="shared" si="67"/>
        <v>KTG.100.0101</v>
      </c>
      <c r="AS196" s="71" t="str">
        <f t="shared" si="69"/>
        <v>KPBS-2.020</v>
      </c>
      <c r="AT196" s="71" t="str">
        <f t="shared" si="69"/>
        <v>B06</v>
      </c>
      <c r="AU196" s="72"/>
      <c r="AV196" s="202">
        <v>0.70899264549999996</v>
      </c>
      <c r="AW196" s="202">
        <v>124.32254729570001</v>
      </c>
      <c r="AX196" s="65" t="s">
        <v>98</v>
      </c>
      <c r="AY196" s="65" t="s">
        <v>94</v>
      </c>
      <c r="AZ196" s="65" t="s">
        <v>94</v>
      </c>
      <c r="BA196" s="73" t="s">
        <v>77</v>
      </c>
      <c r="BB196" s="65" t="s">
        <v>98</v>
      </c>
      <c r="BC196" s="65">
        <v>31</v>
      </c>
      <c r="BD196" s="65" t="s">
        <v>98</v>
      </c>
      <c r="BE196" s="211" t="str">
        <f t="shared" si="72"/>
        <v>597, POYOWA BESAR,</v>
      </c>
    </row>
    <row r="197" spans="1:57" s="211" customFormat="1" ht="15.75" customHeight="1">
      <c r="A197" s="224"/>
      <c r="B197" s="225"/>
      <c r="C197" s="225"/>
      <c r="D197" s="225"/>
      <c r="E197" s="225"/>
      <c r="F197" s="225"/>
      <c r="G197" s="226"/>
      <c r="H197" s="23">
        <v>6</v>
      </c>
      <c r="I197" s="64" t="str">
        <f t="shared" si="87"/>
        <v>MR.KPBS.P077</v>
      </c>
      <c r="J197" s="64">
        <f t="shared" si="87"/>
        <v>0.70913599999999999</v>
      </c>
      <c r="K197" s="64">
        <f t="shared" si="87"/>
        <v>124.322636</v>
      </c>
      <c r="L197" s="64" t="str">
        <f t="shared" si="87"/>
        <v>JL. RAYA POYOWA BESAR</v>
      </c>
      <c r="M197" s="64" t="str">
        <f t="shared" si="87"/>
        <v>SULAWESI UTARA</v>
      </c>
      <c r="N197" s="65" t="s">
        <v>105</v>
      </c>
      <c r="O197" s="66" t="s">
        <v>118</v>
      </c>
      <c r="P197" s="65" t="s">
        <v>119</v>
      </c>
      <c r="Q197" s="66">
        <v>95717</v>
      </c>
      <c r="R197" s="67"/>
      <c r="S197" s="68"/>
      <c r="T197" s="74"/>
      <c r="U197" s="74"/>
      <c r="V197" s="74"/>
      <c r="W197" s="65" t="s">
        <v>105</v>
      </c>
      <c r="X197" s="64"/>
      <c r="Y197" s="64" t="s">
        <v>106</v>
      </c>
      <c r="Z197" s="64" t="str">
        <f t="shared" si="68"/>
        <v>KELURAHAN POYOWA BESAR SATU KOTAMOBAGU</v>
      </c>
      <c r="AA197" s="65"/>
      <c r="AB197" s="65"/>
      <c r="AC197" s="65" t="s">
        <v>70</v>
      </c>
      <c r="AD197" s="64" t="str">
        <f t="shared" si="88"/>
        <v>POYOWA BESAR</v>
      </c>
      <c r="AE197" s="75"/>
      <c r="AF197" s="75"/>
      <c r="AG197" s="75"/>
      <c r="AH197" s="75"/>
      <c r="AI197" s="69"/>
      <c r="AJ197" s="11" t="s">
        <v>802</v>
      </c>
      <c r="AK197" s="65" t="s">
        <v>96</v>
      </c>
      <c r="AL197" s="65"/>
      <c r="AM197" s="176"/>
      <c r="AN197" s="176"/>
      <c r="AO197" s="176"/>
      <c r="AP197" s="176"/>
      <c r="AQ197" s="177" t="s">
        <v>97</v>
      </c>
      <c r="AR197" s="70" t="str">
        <f t="shared" si="67"/>
        <v>KTG.100.0101</v>
      </c>
      <c r="AS197" s="71" t="str">
        <f t="shared" si="69"/>
        <v>KPBS-2.020</v>
      </c>
      <c r="AT197" s="71" t="str">
        <f t="shared" si="69"/>
        <v>B06</v>
      </c>
      <c r="AU197" s="72"/>
      <c r="AV197" s="202">
        <v>0.70898818590000001</v>
      </c>
      <c r="AW197" s="202">
        <v>124.3224775788</v>
      </c>
      <c r="AX197" s="65" t="s">
        <v>98</v>
      </c>
      <c r="AY197" s="65" t="s">
        <v>94</v>
      </c>
      <c r="AZ197" s="65" t="s">
        <v>94</v>
      </c>
      <c r="BA197" s="73" t="s">
        <v>77</v>
      </c>
      <c r="BB197" s="65" t="s">
        <v>98</v>
      </c>
      <c r="BC197" s="65">
        <v>31</v>
      </c>
      <c r="BD197" s="65" t="s">
        <v>98</v>
      </c>
      <c r="BE197" s="211" t="str">
        <f t="shared" si="72"/>
        <v>596, POYOWA BESAR,</v>
      </c>
    </row>
    <row r="198" spans="1:57" s="211" customFormat="1" ht="15.75" customHeight="1">
      <c r="A198" s="224"/>
      <c r="B198" s="225"/>
      <c r="C198" s="225"/>
      <c r="D198" s="225"/>
      <c r="E198" s="225"/>
      <c r="F198" s="225"/>
      <c r="G198" s="226"/>
      <c r="H198" s="23">
        <v>7</v>
      </c>
      <c r="I198" s="64" t="str">
        <f t="shared" ref="I198:M198" si="89">I197</f>
        <v>MR.KPBS.P077</v>
      </c>
      <c r="J198" s="64">
        <f t="shared" si="89"/>
        <v>0.70913599999999999</v>
      </c>
      <c r="K198" s="64">
        <f t="shared" si="89"/>
        <v>124.322636</v>
      </c>
      <c r="L198" s="64" t="str">
        <f t="shared" si="89"/>
        <v>JL. RAYA POYOWA BESAR</v>
      </c>
      <c r="M198" s="64" t="str">
        <f t="shared" si="89"/>
        <v>SULAWESI UTARA</v>
      </c>
      <c r="N198" s="65" t="s">
        <v>105</v>
      </c>
      <c r="O198" s="66" t="s">
        <v>118</v>
      </c>
      <c r="P198" s="65" t="s">
        <v>119</v>
      </c>
      <c r="Q198" s="66">
        <v>95717</v>
      </c>
      <c r="R198" s="67"/>
      <c r="S198" s="68"/>
      <c r="T198" s="74"/>
      <c r="U198" s="74"/>
      <c r="V198" s="74"/>
      <c r="W198" s="65" t="s">
        <v>105</v>
      </c>
      <c r="X198" s="64"/>
      <c r="Y198" s="64" t="s">
        <v>106</v>
      </c>
      <c r="Z198" s="64" t="str">
        <f t="shared" si="68"/>
        <v>KELURAHAN POYOWA BESAR SATU KOTAMOBAGU</v>
      </c>
      <c r="AA198" s="65"/>
      <c r="AB198" s="65"/>
      <c r="AC198" s="65" t="s">
        <v>70</v>
      </c>
      <c r="AD198" s="64" t="str">
        <f t="shared" si="88"/>
        <v>POYOWA BESAR</v>
      </c>
      <c r="AE198" s="75"/>
      <c r="AF198" s="75"/>
      <c r="AG198" s="75"/>
      <c r="AH198" s="75"/>
      <c r="AI198" s="69"/>
      <c r="AJ198" s="11" t="s">
        <v>803</v>
      </c>
      <c r="AK198" s="65" t="s">
        <v>96</v>
      </c>
      <c r="AL198" s="65"/>
      <c r="AM198" s="176"/>
      <c r="AN198" s="176"/>
      <c r="AO198" s="176"/>
      <c r="AP198" s="176"/>
      <c r="AQ198" s="177" t="s">
        <v>97</v>
      </c>
      <c r="AR198" s="70" t="str">
        <f t="shared" si="67"/>
        <v>KTG.100.0101</v>
      </c>
      <c r="AS198" s="71" t="str">
        <f>AS196</f>
        <v>KPBS-2.020</v>
      </c>
      <c r="AT198" s="71" t="str">
        <f>AT196</f>
        <v>B06</v>
      </c>
      <c r="AU198" s="72"/>
      <c r="AV198" s="202">
        <v>0.70901494330000003</v>
      </c>
      <c r="AW198" s="202">
        <v>124.3223930284</v>
      </c>
      <c r="AX198" s="65" t="s">
        <v>98</v>
      </c>
      <c r="AY198" s="65" t="s">
        <v>94</v>
      </c>
      <c r="AZ198" s="65" t="s">
        <v>94</v>
      </c>
      <c r="BA198" s="73" t="s">
        <v>77</v>
      </c>
      <c r="BB198" s="65" t="s">
        <v>98</v>
      </c>
      <c r="BC198" s="65">
        <v>31</v>
      </c>
      <c r="BD198" s="65" t="s">
        <v>98</v>
      </c>
      <c r="BE198" s="211" t="str">
        <f t="shared" si="72"/>
        <v>595, POYOWA BESAR,</v>
      </c>
    </row>
    <row r="199" spans="1:57" s="211" customFormat="1" ht="15.75" customHeight="1">
      <c r="A199" s="224"/>
      <c r="B199" s="225"/>
      <c r="C199" s="225"/>
      <c r="D199" s="225"/>
      <c r="E199" s="225"/>
      <c r="F199" s="225"/>
      <c r="G199" s="226"/>
      <c r="H199" s="23">
        <v>8</v>
      </c>
      <c r="I199" s="64" t="str">
        <f t="shared" ref="I199:M199" si="90">I198</f>
        <v>MR.KPBS.P077</v>
      </c>
      <c r="J199" s="64">
        <f t="shared" si="90"/>
        <v>0.70913599999999999</v>
      </c>
      <c r="K199" s="64">
        <f t="shared" si="90"/>
        <v>124.322636</v>
      </c>
      <c r="L199" s="64" t="str">
        <f t="shared" si="90"/>
        <v>JL. RAYA POYOWA BESAR</v>
      </c>
      <c r="M199" s="64" t="str">
        <f t="shared" si="90"/>
        <v>SULAWESI UTARA</v>
      </c>
      <c r="N199" s="65" t="s">
        <v>105</v>
      </c>
      <c r="O199" s="66" t="s">
        <v>118</v>
      </c>
      <c r="P199" s="65" t="s">
        <v>119</v>
      </c>
      <c r="Q199" s="66">
        <v>95717</v>
      </c>
      <c r="R199" s="67"/>
      <c r="S199" s="68"/>
      <c r="T199" s="68"/>
      <c r="U199" s="68"/>
      <c r="V199" s="68"/>
      <c r="W199" s="65" t="s">
        <v>105</v>
      </c>
      <c r="X199" s="64"/>
      <c r="Y199" s="64" t="s">
        <v>106</v>
      </c>
      <c r="Z199" s="64" t="str">
        <f t="shared" si="68"/>
        <v>KELURAHAN POYOWA BESAR SATU KOTAMOBAGU</v>
      </c>
      <c r="AA199" s="65"/>
      <c r="AB199" s="65"/>
      <c r="AC199" s="65" t="s">
        <v>70</v>
      </c>
      <c r="AD199" s="64" t="str">
        <f t="shared" si="88"/>
        <v>POYOWA BESAR</v>
      </c>
      <c r="AE199" s="67"/>
      <c r="AF199" s="67"/>
      <c r="AG199" s="67"/>
      <c r="AH199" s="67"/>
      <c r="AI199" s="69"/>
      <c r="AJ199" s="11" t="s">
        <v>804</v>
      </c>
      <c r="AK199" s="65" t="s">
        <v>96</v>
      </c>
      <c r="AL199" s="65"/>
      <c r="AM199" s="65"/>
      <c r="AN199" s="65"/>
      <c r="AO199" s="65"/>
      <c r="AP199" s="65"/>
      <c r="AQ199" s="177" t="s">
        <v>97</v>
      </c>
      <c r="AR199" s="70" t="str">
        <f t="shared" ref="AR199:AR202" si="91">AR198</f>
        <v>KTG.100.0101</v>
      </c>
      <c r="AS199" s="71" t="str">
        <f t="shared" ref="AS199:AT247" si="92">AS198</f>
        <v>KPBS-2.020</v>
      </c>
      <c r="AT199" s="71" t="str">
        <f t="shared" si="92"/>
        <v>B06</v>
      </c>
      <c r="AU199" s="72"/>
      <c r="AV199" s="202">
        <v>0.70931076120000003</v>
      </c>
      <c r="AW199" s="202">
        <v>124.32243456179999</v>
      </c>
      <c r="AX199" s="65" t="s">
        <v>98</v>
      </c>
      <c r="AY199" s="65" t="s">
        <v>94</v>
      </c>
      <c r="AZ199" s="65" t="s">
        <v>94</v>
      </c>
      <c r="BA199" s="73" t="s">
        <v>77</v>
      </c>
      <c r="BB199" s="65" t="s">
        <v>98</v>
      </c>
      <c r="BC199" s="65">
        <v>31</v>
      </c>
      <c r="BD199" s="65" t="s">
        <v>98</v>
      </c>
      <c r="BE199" s="211" t="str">
        <f t="shared" si="72"/>
        <v>592, POYOWA BESAR,</v>
      </c>
    </row>
    <row r="200" spans="1:57" s="211" customFormat="1" ht="15.75" customHeight="1">
      <c r="A200" s="224"/>
      <c r="B200" s="225"/>
      <c r="C200" s="225"/>
      <c r="D200" s="225"/>
      <c r="E200" s="225"/>
      <c r="F200" s="225"/>
      <c r="G200" s="226"/>
      <c r="H200" s="23">
        <v>9</v>
      </c>
      <c r="I200" s="64" t="str">
        <f t="shared" ref="I200:M200" si="93">I199</f>
        <v>MR.KPBS.P077</v>
      </c>
      <c r="J200" s="64">
        <f t="shared" si="93"/>
        <v>0.70913599999999999</v>
      </c>
      <c r="K200" s="64">
        <f t="shared" si="93"/>
        <v>124.322636</v>
      </c>
      <c r="L200" s="64" t="str">
        <f t="shared" si="93"/>
        <v>JL. RAYA POYOWA BESAR</v>
      </c>
      <c r="M200" s="64" t="str">
        <f t="shared" si="93"/>
        <v>SULAWESI UTARA</v>
      </c>
      <c r="N200" s="65" t="s">
        <v>105</v>
      </c>
      <c r="O200" s="66" t="s">
        <v>118</v>
      </c>
      <c r="P200" s="65" t="s">
        <v>119</v>
      </c>
      <c r="Q200" s="66">
        <v>95717</v>
      </c>
      <c r="R200" s="67"/>
      <c r="S200" s="68"/>
      <c r="T200" s="68"/>
      <c r="U200" s="68"/>
      <c r="V200" s="68"/>
      <c r="W200" s="64" t="s">
        <v>105</v>
      </c>
      <c r="X200" s="64"/>
      <c r="Y200" s="64" t="s">
        <v>106</v>
      </c>
      <c r="Z200" s="64" t="str">
        <f t="shared" ref="Z200:Z202" si="94">Z199</f>
        <v>KELURAHAN POYOWA BESAR SATU KOTAMOBAGU</v>
      </c>
      <c r="AA200" s="65"/>
      <c r="AB200" s="65"/>
      <c r="AC200" s="65" t="s">
        <v>70</v>
      </c>
      <c r="AD200" s="64" t="str">
        <f t="shared" si="88"/>
        <v>POYOWA BESAR</v>
      </c>
      <c r="AE200" s="67"/>
      <c r="AF200" s="67"/>
      <c r="AG200" s="67"/>
      <c r="AH200" s="67"/>
      <c r="AI200" s="69"/>
      <c r="AJ200" s="11" t="s">
        <v>805</v>
      </c>
      <c r="AK200" s="65" t="s">
        <v>96</v>
      </c>
      <c r="AL200" s="65"/>
      <c r="AM200" s="65"/>
      <c r="AN200" s="65"/>
      <c r="AO200" s="65"/>
      <c r="AP200" s="65"/>
      <c r="AQ200" s="177" t="s">
        <v>97</v>
      </c>
      <c r="AR200" s="70" t="str">
        <f t="shared" si="91"/>
        <v>KTG.100.0101</v>
      </c>
      <c r="AS200" s="71" t="str">
        <f t="shared" si="92"/>
        <v>KPBS-2.020</v>
      </c>
      <c r="AT200" s="71" t="str">
        <f t="shared" si="92"/>
        <v>B06</v>
      </c>
      <c r="AU200" s="72"/>
      <c r="AV200" s="202">
        <v>0.70930481509999999</v>
      </c>
      <c r="AW200" s="202">
        <v>124.3224998287</v>
      </c>
      <c r="AX200" s="65" t="s">
        <v>98</v>
      </c>
      <c r="AY200" s="65" t="s">
        <v>94</v>
      </c>
      <c r="AZ200" s="65" t="s">
        <v>94</v>
      </c>
      <c r="BA200" s="73" t="s">
        <v>77</v>
      </c>
      <c r="BB200" s="65" t="s">
        <v>98</v>
      </c>
      <c r="BC200" s="65">
        <v>31</v>
      </c>
      <c r="BD200" s="65" t="s">
        <v>98</v>
      </c>
      <c r="BE200" s="211" t="str">
        <f t="shared" si="72"/>
        <v>591, POYOWA BESAR,</v>
      </c>
    </row>
    <row r="201" spans="1:57" s="211" customFormat="1" ht="15.75" customHeight="1">
      <c r="A201" s="224"/>
      <c r="B201" s="225"/>
      <c r="C201" s="225"/>
      <c r="D201" s="225"/>
      <c r="E201" s="225"/>
      <c r="F201" s="225"/>
      <c r="G201" s="226"/>
      <c r="H201" s="23">
        <v>10</v>
      </c>
      <c r="I201" s="64" t="str">
        <f t="shared" ref="I201:M201" si="95">I200</f>
        <v>MR.KPBS.P077</v>
      </c>
      <c r="J201" s="64">
        <f t="shared" si="95"/>
        <v>0.70913599999999999</v>
      </c>
      <c r="K201" s="64">
        <f t="shared" si="95"/>
        <v>124.322636</v>
      </c>
      <c r="L201" s="64" t="str">
        <f t="shared" si="95"/>
        <v>JL. RAYA POYOWA BESAR</v>
      </c>
      <c r="M201" s="64" t="str">
        <f t="shared" si="95"/>
        <v>SULAWESI UTARA</v>
      </c>
      <c r="N201" s="65" t="s">
        <v>105</v>
      </c>
      <c r="O201" s="66" t="s">
        <v>118</v>
      </c>
      <c r="P201" s="65" t="s">
        <v>119</v>
      </c>
      <c r="Q201" s="66">
        <v>95717</v>
      </c>
      <c r="R201" s="67"/>
      <c r="S201" s="68"/>
      <c r="T201" s="68"/>
      <c r="U201" s="68"/>
      <c r="V201" s="68"/>
      <c r="W201" s="64" t="s">
        <v>105</v>
      </c>
      <c r="X201" s="64"/>
      <c r="Y201" s="64" t="s">
        <v>106</v>
      </c>
      <c r="Z201" s="64" t="str">
        <f t="shared" si="94"/>
        <v>KELURAHAN POYOWA BESAR SATU KOTAMOBAGU</v>
      </c>
      <c r="AA201" s="65"/>
      <c r="AB201" s="65"/>
      <c r="AC201" s="65" t="s">
        <v>70</v>
      </c>
      <c r="AD201" s="64" t="str">
        <f t="shared" si="88"/>
        <v>POYOWA BESAR</v>
      </c>
      <c r="AE201" s="67"/>
      <c r="AF201" s="67"/>
      <c r="AG201" s="67"/>
      <c r="AH201" s="67"/>
      <c r="AI201" s="69"/>
      <c r="AJ201" s="11" t="s">
        <v>806</v>
      </c>
      <c r="AK201" s="65" t="s">
        <v>96</v>
      </c>
      <c r="AL201" s="65"/>
      <c r="AM201" s="65"/>
      <c r="AN201" s="65"/>
      <c r="AO201" s="65"/>
      <c r="AP201" s="65"/>
      <c r="AQ201" s="177" t="s">
        <v>97</v>
      </c>
      <c r="AR201" s="70" t="str">
        <f t="shared" si="91"/>
        <v>KTG.100.0101</v>
      </c>
      <c r="AS201" s="71" t="str">
        <f t="shared" si="92"/>
        <v>KPBS-2.020</v>
      </c>
      <c r="AT201" s="71" t="str">
        <f t="shared" si="92"/>
        <v>B06</v>
      </c>
      <c r="AU201" s="72"/>
      <c r="AV201" s="202">
        <v>0.70930630159999997</v>
      </c>
      <c r="AW201" s="202">
        <v>124.3225591623</v>
      </c>
      <c r="AX201" s="65" t="s">
        <v>98</v>
      </c>
      <c r="AY201" s="65" t="s">
        <v>94</v>
      </c>
      <c r="AZ201" s="65" t="s">
        <v>94</v>
      </c>
      <c r="BA201" s="73" t="s">
        <v>77</v>
      </c>
      <c r="BB201" s="65" t="s">
        <v>98</v>
      </c>
      <c r="BC201" s="65">
        <v>31</v>
      </c>
      <c r="BD201" s="65" t="s">
        <v>98</v>
      </c>
      <c r="BE201" s="211" t="str">
        <f t="shared" si="72"/>
        <v>590, POYOWA BESAR,</v>
      </c>
    </row>
    <row r="202" spans="1:57" s="211" customFormat="1" ht="15.75" customHeight="1">
      <c r="A202" s="224"/>
      <c r="B202" s="225"/>
      <c r="C202" s="225"/>
      <c r="D202" s="225"/>
      <c r="E202" s="225"/>
      <c r="F202" s="225"/>
      <c r="G202" s="226"/>
      <c r="H202" s="23">
        <v>11</v>
      </c>
      <c r="I202" s="64" t="str">
        <f t="shared" ref="I202:M202" si="96">I201</f>
        <v>MR.KPBS.P077</v>
      </c>
      <c r="J202" s="64">
        <f t="shared" si="96"/>
        <v>0.70913599999999999</v>
      </c>
      <c r="K202" s="64">
        <f t="shared" si="96"/>
        <v>124.322636</v>
      </c>
      <c r="L202" s="64" t="str">
        <f t="shared" si="96"/>
        <v>JL. RAYA POYOWA BESAR</v>
      </c>
      <c r="M202" s="64" t="str">
        <f t="shared" si="96"/>
        <v>SULAWESI UTARA</v>
      </c>
      <c r="N202" s="65" t="s">
        <v>105</v>
      </c>
      <c r="O202" s="66" t="s">
        <v>118</v>
      </c>
      <c r="P202" s="65" t="s">
        <v>119</v>
      </c>
      <c r="Q202" s="66">
        <v>95717</v>
      </c>
      <c r="R202" s="67"/>
      <c r="S202" s="68"/>
      <c r="T202" s="68"/>
      <c r="U202" s="68"/>
      <c r="V202" s="68"/>
      <c r="W202" s="64" t="s">
        <v>105</v>
      </c>
      <c r="X202" s="64"/>
      <c r="Y202" s="64" t="s">
        <v>106</v>
      </c>
      <c r="Z202" s="64" t="str">
        <f t="shared" si="94"/>
        <v>KELURAHAN POYOWA BESAR SATU KOTAMOBAGU</v>
      </c>
      <c r="AA202" s="65"/>
      <c r="AB202" s="65"/>
      <c r="AC202" s="65" t="s">
        <v>70</v>
      </c>
      <c r="AD202" s="64" t="str">
        <f t="shared" si="88"/>
        <v>POYOWA BESAR</v>
      </c>
      <c r="AE202" s="67"/>
      <c r="AF202" s="67"/>
      <c r="AG202" s="67"/>
      <c r="AH202" s="67"/>
      <c r="AI202" s="69"/>
      <c r="AJ202" s="11" t="s">
        <v>807</v>
      </c>
      <c r="AK202" s="65" t="s">
        <v>96</v>
      </c>
      <c r="AL202" s="65"/>
      <c r="AM202" s="65"/>
      <c r="AN202" s="65"/>
      <c r="AO202" s="65"/>
      <c r="AP202" s="65"/>
      <c r="AQ202" s="177" t="s">
        <v>97</v>
      </c>
      <c r="AR202" s="70" t="str">
        <f t="shared" si="91"/>
        <v>KTG.100.0101</v>
      </c>
      <c r="AS202" s="71" t="str">
        <f t="shared" si="92"/>
        <v>KPBS-2.020</v>
      </c>
      <c r="AT202" s="71" t="str">
        <f t="shared" si="92"/>
        <v>B06</v>
      </c>
      <c r="AU202" s="72"/>
      <c r="AV202" s="202">
        <v>0.70929461930000004</v>
      </c>
      <c r="AW202" s="202">
        <v>124.3226914027</v>
      </c>
      <c r="AX202" s="65" t="s">
        <v>98</v>
      </c>
      <c r="AY202" s="65" t="s">
        <v>94</v>
      </c>
      <c r="AZ202" s="65" t="s">
        <v>94</v>
      </c>
      <c r="BA202" s="73" t="s">
        <v>77</v>
      </c>
      <c r="BB202" s="65" t="s">
        <v>98</v>
      </c>
      <c r="BC202" s="65">
        <v>31</v>
      </c>
      <c r="BD202" s="65" t="s">
        <v>98</v>
      </c>
      <c r="BE202" s="211" t="str">
        <f t="shared" si="72"/>
        <v>589, POYOWA BESAR,</v>
      </c>
    </row>
    <row r="203" spans="1:57" s="211" customFormat="1" ht="15.75" customHeight="1">
      <c r="A203" s="40" t="s">
        <v>78</v>
      </c>
      <c r="B203" s="40">
        <f>B192+1</f>
        <v>15</v>
      </c>
      <c r="C203" s="32" t="s">
        <v>99</v>
      </c>
      <c r="D203" s="32" t="s">
        <v>351</v>
      </c>
      <c r="E203" s="120">
        <v>2</v>
      </c>
      <c r="F203" s="43">
        <f>F193+1</f>
        <v>15</v>
      </c>
      <c r="G203" s="214" t="s">
        <v>83</v>
      </c>
      <c r="H203" s="42">
        <v>1</v>
      </c>
      <c r="I203" s="82" t="s">
        <v>253</v>
      </c>
      <c r="J203" s="83">
        <v>0.70946064850000001</v>
      </c>
      <c r="K203" s="83">
        <v>124.3226309433</v>
      </c>
      <c r="L203" s="113" t="s">
        <v>116</v>
      </c>
      <c r="M203" s="119" t="s">
        <v>117</v>
      </c>
      <c r="N203" s="14" t="s">
        <v>105</v>
      </c>
      <c r="O203" s="84" t="s">
        <v>118</v>
      </c>
      <c r="P203" s="14" t="s">
        <v>119</v>
      </c>
      <c r="Q203" s="84">
        <v>95717</v>
      </c>
      <c r="R203" s="86"/>
      <c r="S203" s="87"/>
      <c r="T203" s="88"/>
      <c r="U203" s="87"/>
      <c r="V203" s="88"/>
      <c r="W203" s="85" t="s">
        <v>105</v>
      </c>
      <c r="X203" s="83"/>
      <c r="Y203" s="119" t="s">
        <v>106</v>
      </c>
      <c r="Z203" s="119" t="str">
        <f t="shared" ref="Z203:Z257" si="97">Z202</f>
        <v>KELURAHAN POYOWA BESAR SATU KOTAMOBAGU</v>
      </c>
      <c r="AA203" s="89"/>
      <c r="AB203" s="89"/>
      <c r="AC203" s="89" t="s">
        <v>70</v>
      </c>
      <c r="AD203" s="113" t="s">
        <v>119</v>
      </c>
      <c r="AE203" s="90"/>
      <c r="AF203" s="90"/>
      <c r="AG203" s="90"/>
      <c r="AH203" s="90"/>
      <c r="AI203" s="91"/>
      <c r="AJ203" s="115" t="s">
        <v>261</v>
      </c>
      <c r="AK203" s="89" t="s">
        <v>96</v>
      </c>
      <c r="AL203" s="95"/>
      <c r="AM203" s="187"/>
      <c r="AN203" s="187"/>
      <c r="AO203" s="187"/>
      <c r="AP203" s="187"/>
      <c r="AQ203" s="188" t="s">
        <v>97</v>
      </c>
      <c r="AR203" s="92" t="str">
        <f t="shared" ref="AR203:AR256" si="98">AR202</f>
        <v>KTG.100.0101</v>
      </c>
      <c r="AS203" s="93" t="str">
        <f>AS192</f>
        <v>KPBS-2.020</v>
      </c>
      <c r="AT203" s="93" t="str">
        <f>G203</f>
        <v>B07</v>
      </c>
      <c r="AU203" s="94"/>
      <c r="AV203" s="203">
        <v>0.70957093900000001</v>
      </c>
      <c r="AW203" s="203">
        <v>124.3228379916</v>
      </c>
      <c r="AX203" s="95" t="s">
        <v>98</v>
      </c>
      <c r="AY203" s="95" t="s">
        <v>94</v>
      </c>
      <c r="AZ203" s="95" t="s">
        <v>94</v>
      </c>
      <c r="BA203" s="96" t="s">
        <v>77</v>
      </c>
      <c r="BB203" s="95" t="s">
        <v>98</v>
      </c>
      <c r="BC203" s="95">
        <v>31</v>
      </c>
      <c r="BD203" s="95" t="s">
        <v>98</v>
      </c>
      <c r="BE203" s="211" t="str">
        <f t="shared" si="72"/>
        <v>762, POYOWA BESAR,</v>
      </c>
    </row>
    <row r="204" spans="1:57" s="211" customFormat="1" ht="15.75" customHeight="1">
      <c r="A204" s="24"/>
      <c r="B204" s="24"/>
      <c r="C204" s="22" t="s">
        <v>99</v>
      </c>
      <c r="D204" s="22" t="s">
        <v>351</v>
      </c>
      <c r="E204" s="32">
        <v>2</v>
      </c>
      <c r="F204" s="25">
        <f>F203+1</f>
        <v>16</v>
      </c>
      <c r="G204" s="235"/>
      <c r="H204" s="23">
        <v>2</v>
      </c>
      <c r="I204" s="64" t="str">
        <f t="shared" ref="I204:M214" si="99">I203</f>
        <v>MR.KPBS.P078</v>
      </c>
      <c r="J204" s="64">
        <f t="shared" si="99"/>
        <v>0.70946064850000001</v>
      </c>
      <c r="K204" s="64">
        <f t="shared" si="99"/>
        <v>124.3226309433</v>
      </c>
      <c r="L204" s="64" t="str">
        <f t="shared" si="99"/>
        <v>JL. RAYA POYOWA BESAR</v>
      </c>
      <c r="M204" s="64" t="str">
        <f t="shared" si="99"/>
        <v>SULAWESI UTARA</v>
      </c>
      <c r="N204" s="65" t="s">
        <v>105</v>
      </c>
      <c r="O204" s="66" t="s">
        <v>118</v>
      </c>
      <c r="P204" s="65" t="s">
        <v>119</v>
      </c>
      <c r="Q204" s="66">
        <v>95717</v>
      </c>
      <c r="R204" s="67"/>
      <c r="S204" s="68"/>
      <c r="T204" s="68"/>
      <c r="U204" s="68"/>
      <c r="V204" s="68"/>
      <c r="W204" s="65" t="s">
        <v>105</v>
      </c>
      <c r="X204" s="64"/>
      <c r="Y204" s="64" t="s">
        <v>106</v>
      </c>
      <c r="Z204" s="64" t="str">
        <f t="shared" si="97"/>
        <v>KELURAHAN POYOWA BESAR SATU KOTAMOBAGU</v>
      </c>
      <c r="AA204" s="65"/>
      <c r="AB204" s="65"/>
      <c r="AC204" s="65" t="s">
        <v>70</v>
      </c>
      <c r="AD204" s="64" t="str">
        <f t="shared" ref="AD204:AD214" si="100">AD203</f>
        <v>POYOWA BESAR</v>
      </c>
      <c r="AE204" s="67"/>
      <c r="AF204" s="67"/>
      <c r="AG204" s="67"/>
      <c r="AH204" s="67"/>
      <c r="AI204" s="69"/>
      <c r="AJ204" s="11" t="s">
        <v>262</v>
      </c>
      <c r="AK204" s="65" t="s">
        <v>96</v>
      </c>
      <c r="AL204" s="65"/>
      <c r="AM204" s="176"/>
      <c r="AN204" s="176"/>
      <c r="AO204" s="176"/>
      <c r="AP204" s="176"/>
      <c r="AQ204" s="177" t="s">
        <v>97</v>
      </c>
      <c r="AR204" s="70" t="str">
        <f t="shared" si="98"/>
        <v>KTG.100.0101</v>
      </c>
      <c r="AS204" s="71" t="str">
        <f t="shared" si="92"/>
        <v>KPBS-2.020</v>
      </c>
      <c r="AT204" s="71" t="str">
        <f t="shared" si="92"/>
        <v>B07</v>
      </c>
      <c r="AU204" s="72"/>
      <c r="AV204" s="202">
        <v>0.70944757520000001</v>
      </c>
      <c r="AW204" s="202">
        <v>124.3225216721</v>
      </c>
      <c r="AX204" s="65" t="s">
        <v>98</v>
      </c>
      <c r="AY204" s="65" t="s">
        <v>94</v>
      </c>
      <c r="AZ204" s="65" t="s">
        <v>94</v>
      </c>
      <c r="BA204" s="73" t="s">
        <v>77</v>
      </c>
      <c r="BB204" s="65" t="s">
        <v>98</v>
      </c>
      <c r="BC204" s="65">
        <v>31</v>
      </c>
      <c r="BD204" s="65" t="s">
        <v>98</v>
      </c>
      <c r="BE204" s="211" t="str">
        <f t="shared" si="72"/>
        <v>760, POYOWA BESAR,</v>
      </c>
    </row>
    <row r="205" spans="1:57" s="211" customFormat="1" ht="15.75" customHeight="1">
      <c r="A205" s="221"/>
      <c r="B205" s="222"/>
      <c r="C205" s="222"/>
      <c r="D205" s="222"/>
      <c r="E205" s="222"/>
      <c r="F205" s="222"/>
      <c r="G205" s="223"/>
      <c r="H205" s="23">
        <v>3</v>
      </c>
      <c r="I205" s="64" t="str">
        <f t="shared" si="99"/>
        <v>MR.KPBS.P078</v>
      </c>
      <c r="J205" s="64">
        <f t="shared" si="99"/>
        <v>0.70946064850000001</v>
      </c>
      <c r="K205" s="64">
        <f t="shared" si="99"/>
        <v>124.3226309433</v>
      </c>
      <c r="L205" s="64" t="str">
        <f t="shared" si="99"/>
        <v>JL. RAYA POYOWA BESAR</v>
      </c>
      <c r="M205" s="64" t="str">
        <f t="shared" si="99"/>
        <v>SULAWESI UTARA</v>
      </c>
      <c r="N205" s="65" t="s">
        <v>105</v>
      </c>
      <c r="O205" s="66" t="s">
        <v>118</v>
      </c>
      <c r="P205" s="65" t="s">
        <v>119</v>
      </c>
      <c r="Q205" s="66">
        <v>95717</v>
      </c>
      <c r="R205" s="67"/>
      <c r="S205" s="68"/>
      <c r="T205" s="68"/>
      <c r="U205" s="68"/>
      <c r="V205" s="68"/>
      <c r="W205" s="65" t="s">
        <v>105</v>
      </c>
      <c r="X205" s="64"/>
      <c r="Y205" s="64" t="s">
        <v>106</v>
      </c>
      <c r="Z205" s="64" t="str">
        <f t="shared" si="97"/>
        <v>KELURAHAN POYOWA BESAR SATU KOTAMOBAGU</v>
      </c>
      <c r="AA205" s="65"/>
      <c r="AB205" s="65"/>
      <c r="AC205" s="65" t="s">
        <v>70</v>
      </c>
      <c r="AD205" s="64" t="str">
        <f t="shared" si="100"/>
        <v>POYOWA BESAR</v>
      </c>
      <c r="AE205" s="67"/>
      <c r="AF205" s="67"/>
      <c r="AG205" s="67"/>
      <c r="AH205" s="67"/>
      <c r="AI205" s="69"/>
      <c r="AJ205" s="11" t="s">
        <v>263</v>
      </c>
      <c r="AK205" s="65" t="s">
        <v>96</v>
      </c>
      <c r="AL205" s="65"/>
      <c r="AM205" s="176"/>
      <c r="AN205" s="176"/>
      <c r="AO205" s="176"/>
      <c r="AP205" s="176"/>
      <c r="AQ205" s="177" t="s">
        <v>97</v>
      </c>
      <c r="AR205" s="70" t="str">
        <f t="shared" si="98"/>
        <v>KTG.100.0101</v>
      </c>
      <c r="AS205" s="71" t="str">
        <f t="shared" si="92"/>
        <v>KPBS-2.020</v>
      </c>
      <c r="AT205" s="71" t="str">
        <f t="shared" si="92"/>
        <v>B07</v>
      </c>
      <c r="AU205" s="72"/>
      <c r="AV205" s="202">
        <v>0.709524092</v>
      </c>
      <c r="AW205" s="202">
        <v>124.3225263467</v>
      </c>
      <c r="AX205" s="65" t="s">
        <v>98</v>
      </c>
      <c r="AY205" s="65" t="s">
        <v>94</v>
      </c>
      <c r="AZ205" s="65" t="s">
        <v>94</v>
      </c>
      <c r="BA205" s="73" t="s">
        <v>77</v>
      </c>
      <c r="BB205" s="65" t="s">
        <v>98</v>
      </c>
      <c r="BC205" s="65">
        <v>31</v>
      </c>
      <c r="BD205" s="65" t="s">
        <v>98</v>
      </c>
      <c r="BE205" s="211" t="str">
        <f t="shared" si="72"/>
        <v>761, POYOWA BESAR,</v>
      </c>
    </row>
    <row r="206" spans="1:57" s="211" customFormat="1" ht="15.75" customHeight="1">
      <c r="A206" s="224"/>
      <c r="B206" s="225"/>
      <c r="C206" s="225"/>
      <c r="D206" s="225"/>
      <c r="E206" s="225"/>
      <c r="F206" s="225"/>
      <c r="G206" s="226"/>
      <c r="H206" s="23">
        <v>4</v>
      </c>
      <c r="I206" s="64" t="str">
        <f t="shared" si="99"/>
        <v>MR.KPBS.P078</v>
      </c>
      <c r="J206" s="64">
        <f t="shared" si="99"/>
        <v>0.70946064850000001</v>
      </c>
      <c r="K206" s="64">
        <f t="shared" si="99"/>
        <v>124.3226309433</v>
      </c>
      <c r="L206" s="64" t="str">
        <f t="shared" si="99"/>
        <v>JL. RAYA POYOWA BESAR</v>
      </c>
      <c r="M206" s="64" t="str">
        <f t="shared" si="99"/>
        <v>SULAWESI UTARA</v>
      </c>
      <c r="N206" s="65" t="s">
        <v>105</v>
      </c>
      <c r="O206" s="66" t="s">
        <v>118</v>
      </c>
      <c r="P206" s="65" t="s">
        <v>119</v>
      </c>
      <c r="Q206" s="66">
        <v>95717</v>
      </c>
      <c r="R206" s="67"/>
      <c r="S206" s="68"/>
      <c r="T206" s="68"/>
      <c r="U206" s="68"/>
      <c r="V206" s="68"/>
      <c r="W206" s="65" t="s">
        <v>105</v>
      </c>
      <c r="X206" s="64"/>
      <c r="Y206" s="64" t="s">
        <v>106</v>
      </c>
      <c r="Z206" s="64" t="str">
        <f t="shared" si="97"/>
        <v>KELURAHAN POYOWA BESAR SATU KOTAMOBAGU</v>
      </c>
      <c r="AA206" s="65"/>
      <c r="AB206" s="65"/>
      <c r="AC206" s="65" t="s">
        <v>70</v>
      </c>
      <c r="AD206" s="64" t="str">
        <f t="shared" si="100"/>
        <v>POYOWA BESAR</v>
      </c>
      <c r="AE206" s="67"/>
      <c r="AF206" s="67"/>
      <c r="AG206" s="67"/>
      <c r="AH206" s="67"/>
      <c r="AI206" s="69"/>
      <c r="AJ206" s="11" t="s">
        <v>973</v>
      </c>
      <c r="AK206" s="65" t="s">
        <v>96</v>
      </c>
      <c r="AL206" s="65"/>
      <c r="AM206" s="176"/>
      <c r="AN206" s="176"/>
      <c r="AO206" s="176"/>
      <c r="AP206" s="176"/>
      <c r="AQ206" s="177" t="s">
        <v>97</v>
      </c>
      <c r="AR206" s="70" t="str">
        <f t="shared" si="98"/>
        <v>KTG.100.0101</v>
      </c>
      <c r="AS206" s="71" t="str">
        <f t="shared" si="92"/>
        <v>KPBS-2.020</v>
      </c>
      <c r="AT206" s="71" t="str">
        <f t="shared" si="92"/>
        <v>B07</v>
      </c>
      <c r="AU206" s="72"/>
      <c r="AV206" s="202">
        <v>0.70950243097632903</v>
      </c>
      <c r="AW206" s="202">
        <v>124.322425036738</v>
      </c>
      <c r="AX206" s="65" t="s">
        <v>98</v>
      </c>
      <c r="AY206" s="65" t="s">
        <v>94</v>
      </c>
      <c r="AZ206" s="65" t="s">
        <v>94</v>
      </c>
      <c r="BA206" s="73" t="s">
        <v>77</v>
      </c>
      <c r="BB206" s="65" t="s">
        <v>98</v>
      </c>
      <c r="BC206" s="65">
        <v>31</v>
      </c>
      <c r="BD206" s="65" t="s">
        <v>98</v>
      </c>
      <c r="BE206" s="211" t="str">
        <f t="shared" si="72"/>
        <v>761B, POYOWA BESAR,</v>
      </c>
    </row>
    <row r="207" spans="1:57" s="211" customFormat="1" ht="15.75" customHeight="1">
      <c r="A207" s="224"/>
      <c r="B207" s="225"/>
      <c r="C207" s="225"/>
      <c r="D207" s="225"/>
      <c r="E207" s="225"/>
      <c r="F207" s="225"/>
      <c r="G207" s="226"/>
      <c r="H207" s="23">
        <v>5</v>
      </c>
      <c r="I207" s="64" t="str">
        <f t="shared" si="99"/>
        <v>MR.KPBS.P078</v>
      </c>
      <c r="J207" s="64">
        <f t="shared" si="99"/>
        <v>0.70946064850000001</v>
      </c>
      <c r="K207" s="64">
        <f t="shared" si="99"/>
        <v>124.3226309433</v>
      </c>
      <c r="L207" s="64" t="str">
        <f t="shared" si="99"/>
        <v>JL. RAYA POYOWA BESAR</v>
      </c>
      <c r="M207" s="64" t="str">
        <f t="shared" si="99"/>
        <v>SULAWESI UTARA</v>
      </c>
      <c r="N207" s="65" t="s">
        <v>105</v>
      </c>
      <c r="O207" s="66" t="s">
        <v>118</v>
      </c>
      <c r="P207" s="65" t="s">
        <v>119</v>
      </c>
      <c r="Q207" s="66">
        <v>95717</v>
      </c>
      <c r="R207" s="67"/>
      <c r="S207" s="68"/>
      <c r="T207" s="68"/>
      <c r="U207" s="68"/>
      <c r="V207" s="68"/>
      <c r="W207" s="65" t="s">
        <v>105</v>
      </c>
      <c r="X207" s="64"/>
      <c r="Y207" s="64" t="s">
        <v>106</v>
      </c>
      <c r="Z207" s="64" t="str">
        <f t="shared" si="97"/>
        <v>KELURAHAN POYOWA BESAR SATU KOTAMOBAGU</v>
      </c>
      <c r="AA207" s="65"/>
      <c r="AB207" s="65"/>
      <c r="AC207" s="65" t="s">
        <v>70</v>
      </c>
      <c r="AD207" s="64" t="str">
        <f t="shared" si="100"/>
        <v>POYOWA BESAR</v>
      </c>
      <c r="AE207" s="67"/>
      <c r="AF207" s="67"/>
      <c r="AG207" s="67"/>
      <c r="AH207" s="67"/>
      <c r="AI207" s="69"/>
      <c r="AJ207" s="11" t="s">
        <v>264</v>
      </c>
      <c r="AK207" s="65" t="s">
        <v>96</v>
      </c>
      <c r="AL207" s="65"/>
      <c r="AM207" s="176"/>
      <c r="AN207" s="176"/>
      <c r="AO207" s="176"/>
      <c r="AP207" s="176"/>
      <c r="AQ207" s="177" t="s">
        <v>97</v>
      </c>
      <c r="AR207" s="70" t="str">
        <f t="shared" si="98"/>
        <v>KTG.100.0101</v>
      </c>
      <c r="AS207" s="71" t="str">
        <f t="shared" si="92"/>
        <v>KPBS-2.020</v>
      </c>
      <c r="AT207" s="71" t="str">
        <f t="shared" si="92"/>
        <v>B07</v>
      </c>
      <c r="AU207" s="72"/>
      <c r="AV207" s="202">
        <v>0.709595015</v>
      </c>
      <c r="AW207" s="202">
        <v>124.3225247269</v>
      </c>
      <c r="AX207" s="65" t="s">
        <v>98</v>
      </c>
      <c r="AY207" s="65" t="s">
        <v>94</v>
      </c>
      <c r="AZ207" s="65" t="s">
        <v>94</v>
      </c>
      <c r="BA207" s="73" t="s">
        <v>77</v>
      </c>
      <c r="BB207" s="65" t="s">
        <v>98</v>
      </c>
      <c r="BC207" s="65">
        <v>31</v>
      </c>
      <c r="BD207" s="65" t="s">
        <v>98</v>
      </c>
      <c r="BE207" s="211" t="str">
        <f t="shared" si="72"/>
        <v>761A, POYOWA BESAR,</v>
      </c>
    </row>
    <row r="208" spans="1:57" s="211" customFormat="1" ht="15.75" customHeight="1">
      <c r="A208" s="224"/>
      <c r="B208" s="225"/>
      <c r="C208" s="225"/>
      <c r="D208" s="225"/>
      <c r="E208" s="225"/>
      <c r="F208" s="225"/>
      <c r="G208" s="226"/>
      <c r="H208" s="23">
        <v>6</v>
      </c>
      <c r="I208" s="64" t="str">
        <f t="shared" si="99"/>
        <v>MR.KPBS.P078</v>
      </c>
      <c r="J208" s="64">
        <f t="shared" si="99"/>
        <v>0.70946064850000001</v>
      </c>
      <c r="K208" s="64">
        <f t="shared" si="99"/>
        <v>124.3226309433</v>
      </c>
      <c r="L208" s="64" t="str">
        <f t="shared" si="99"/>
        <v>JL. RAYA POYOWA BESAR</v>
      </c>
      <c r="M208" s="64" t="str">
        <f t="shared" si="99"/>
        <v>SULAWESI UTARA</v>
      </c>
      <c r="N208" s="65" t="s">
        <v>105</v>
      </c>
      <c r="O208" s="66" t="s">
        <v>118</v>
      </c>
      <c r="P208" s="65" t="s">
        <v>119</v>
      </c>
      <c r="Q208" s="66">
        <v>95717</v>
      </c>
      <c r="R208" s="67"/>
      <c r="S208" s="68"/>
      <c r="T208" s="68"/>
      <c r="U208" s="68"/>
      <c r="V208" s="68"/>
      <c r="W208" s="65" t="s">
        <v>105</v>
      </c>
      <c r="X208" s="64"/>
      <c r="Y208" s="64" t="s">
        <v>106</v>
      </c>
      <c r="Z208" s="64" t="str">
        <f t="shared" si="97"/>
        <v>KELURAHAN POYOWA BESAR SATU KOTAMOBAGU</v>
      </c>
      <c r="AA208" s="65"/>
      <c r="AB208" s="65"/>
      <c r="AC208" s="65" t="s">
        <v>70</v>
      </c>
      <c r="AD208" s="64" t="str">
        <f t="shared" si="100"/>
        <v>POYOWA BESAR</v>
      </c>
      <c r="AE208" s="67"/>
      <c r="AF208" s="67"/>
      <c r="AG208" s="67"/>
      <c r="AH208" s="67"/>
      <c r="AI208" s="69"/>
      <c r="AJ208" s="11" t="s">
        <v>265</v>
      </c>
      <c r="AK208" s="65" t="s">
        <v>96</v>
      </c>
      <c r="AL208" s="65"/>
      <c r="AM208" s="176"/>
      <c r="AN208" s="176"/>
      <c r="AO208" s="176"/>
      <c r="AP208" s="176"/>
      <c r="AQ208" s="177" t="s">
        <v>97</v>
      </c>
      <c r="AR208" s="70" t="str">
        <f t="shared" si="98"/>
        <v>KTG.100.0101</v>
      </c>
      <c r="AS208" s="71" t="str">
        <f t="shared" si="92"/>
        <v>KPBS-2.020</v>
      </c>
      <c r="AT208" s="71" t="str">
        <f t="shared" si="92"/>
        <v>B07</v>
      </c>
      <c r="AU208" s="72"/>
      <c r="AV208" s="202">
        <v>0.70966619460000002</v>
      </c>
      <c r="AW208" s="202">
        <v>124.3224546684</v>
      </c>
      <c r="AX208" s="65" t="s">
        <v>98</v>
      </c>
      <c r="AY208" s="65" t="s">
        <v>94</v>
      </c>
      <c r="AZ208" s="65" t="s">
        <v>94</v>
      </c>
      <c r="BA208" s="73" t="s">
        <v>77</v>
      </c>
      <c r="BB208" s="65" t="s">
        <v>98</v>
      </c>
      <c r="BC208" s="65">
        <v>31</v>
      </c>
      <c r="BD208" s="65" t="s">
        <v>98</v>
      </c>
      <c r="BE208" s="211" t="str">
        <f t="shared" si="72"/>
        <v>764, POYOWA BESAR,</v>
      </c>
    </row>
    <row r="209" spans="1:57" s="211" customFormat="1" ht="15.75" customHeight="1">
      <c r="A209" s="224"/>
      <c r="B209" s="225"/>
      <c r="C209" s="225"/>
      <c r="D209" s="225"/>
      <c r="E209" s="225"/>
      <c r="F209" s="225"/>
      <c r="G209" s="226"/>
      <c r="H209" s="23">
        <v>7</v>
      </c>
      <c r="I209" s="64" t="str">
        <f t="shared" si="99"/>
        <v>MR.KPBS.P078</v>
      </c>
      <c r="J209" s="64">
        <f t="shared" si="99"/>
        <v>0.70946064850000001</v>
      </c>
      <c r="K209" s="64">
        <f t="shared" si="99"/>
        <v>124.3226309433</v>
      </c>
      <c r="L209" s="64" t="str">
        <f t="shared" si="99"/>
        <v>JL. RAYA POYOWA BESAR</v>
      </c>
      <c r="M209" s="64" t="str">
        <f t="shared" si="99"/>
        <v>SULAWESI UTARA</v>
      </c>
      <c r="N209" s="65" t="s">
        <v>105</v>
      </c>
      <c r="O209" s="66" t="s">
        <v>118</v>
      </c>
      <c r="P209" s="65" t="s">
        <v>119</v>
      </c>
      <c r="Q209" s="66">
        <v>95717</v>
      </c>
      <c r="R209" s="67"/>
      <c r="S209" s="68"/>
      <c r="T209" s="68"/>
      <c r="U209" s="68"/>
      <c r="V209" s="68"/>
      <c r="W209" s="65" t="s">
        <v>105</v>
      </c>
      <c r="X209" s="64"/>
      <c r="Y209" s="64" t="s">
        <v>106</v>
      </c>
      <c r="Z209" s="64" t="str">
        <f t="shared" si="97"/>
        <v>KELURAHAN POYOWA BESAR SATU KOTAMOBAGU</v>
      </c>
      <c r="AA209" s="65"/>
      <c r="AB209" s="65"/>
      <c r="AC209" s="65" t="s">
        <v>70</v>
      </c>
      <c r="AD209" s="64" t="str">
        <f t="shared" si="100"/>
        <v>POYOWA BESAR</v>
      </c>
      <c r="AE209" s="67"/>
      <c r="AF209" s="67"/>
      <c r="AG209" s="67"/>
      <c r="AH209" s="67"/>
      <c r="AI209" s="69"/>
      <c r="AJ209" s="11" t="s">
        <v>808</v>
      </c>
      <c r="AK209" s="65" t="s">
        <v>96</v>
      </c>
      <c r="AL209" s="65"/>
      <c r="AM209" s="176"/>
      <c r="AN209" s="176"/>
      <c r="AO209" s="176"/>
      <c r="AP209" s="176"/>
      <c r="AQ209" s="177" t="s">
        <v>97</v>
      </c>
      <c r="AR209" s="70" t="str">
        <f t="shared" si="98"/>
        <v>KTG.100.0101</v>
      </c>
      <c r="AS209" s="71" t="str">
        <f t="shared" si="92"/>
        <v>KPBS-2.020</v>
      </c>
      <c r="AT209" s="71" t="str">
        <f t="shared" si="92"/>
        <v>B07</v>
      </c>
      <c r="AU209" s="72"/>
      <c r="AV209" s="202">
        <v>0.70959285707920094</v>
      </c>
      <c r="AW209" s="202">
        <v>124.322437549873</v>
      </c>
      <c r="AX209" s="65" t="s">
        <v>98</v>
      </c>
      <c r="AY209" s="65" t="s">
        <v>94</v>
      </c>
      <c r="AZ209" s="65" t="s">
        <v>94</v>
      </c>
      <c r="BA209" s="73" t="s">
        <v>77</v>
      </c>
      <c r="BB209" s="65" t="s">
        <v>98</v>
      </c>
      <c r="BC209" s="65">
        <v>31</v>
      </c>
      <c r="BD209" s="65" t="s">
        <v>98</v>
      </c>
      <c r="BE209" s="211" t="str">
        <f t="shared" si="72"/>
        <v>764A, POYOWA BESAR,</v>
      </c>
    </row>
    <row r="210" spans="1:57" s="211" customFormat="1" ht="15.75" customHeight="1">
      <c r="A210" s="224"/>
      <c r="B210" s="225"/>
      <c r="C210" s="225"/>
      <c r="D210" s="225"/>
      <c r="E210" s="225"/>
      <c r="F210" s="225"/>
      <c r="G210" s="226"/>
      <c r="H210" s="23">
        <v>8</v>
      </c>
      <c r="I210" s="64" t="str">
        <f t="shared" si="99"/>
        <v>MR.KPBS.P078</v>
      </c>
      <c r="J210" s="64">
        <f t="shared" si="99"/>
        <v>0.70946064850000001</v>
      </c>
      <c r="K210" s="64">
        <f t="shared" si="99"/>
        <v>124.3226309433</v>
      </c>
      <c r="L210" s="64" t="str">
        <f t="shared" si="99"/>
        <v>JL. RAYA POYOWA BESAR</v>
      </c>
      <c r="M210" s="64" t="str">
        <f t="shared" si="99"/>
        <v>SULAWESI UTARA</v>
      </c>
      <c r="N210" s="65" t="s">
        <v>105</v>
      </c>
      <c r="O210" s="66" t="s">
        <v>118</v>
      </c>
      <c r="P210" s="65" t="s">
        <v>119</v>
      </c>
      <c r="Q210" s="66">
        <v>95717</v>
      </c>
      <c r="R210" s="67"/>
      <c r="S210" s="68"/>
      <c r="T210" s="74"/>
      <c r="U210" s="74"/>
      <c r="V210" s="74"/>
      <c r="W210" s="65" t="s">
        <v>105</v>
      </c>
      <c r="X210" s="64"/>
      <c r="Y210" s="64" t="s">
        <v>106</v>
      </c>
      <c r="Z210" s="64" t="str">
        <f t="shared" si="97"/>
        <v>KELURAHAN POYOWA BESAR SATU KOTAMOBAGU</v>
      </c>
      <c r="AA210" s="65"/>
      <c r="AB210" s="65"/>
      <c r="AC210" s="65" t="s">
        <v>70</v>
      </c>
      <c r="AD210" s="64" t="str">
        <f t="shared" si="100"/>
        <v>POYOWA BESAR</v>
      </c>
      <c r="AE210" s="75"/>
      <c r="AF210" s="75"/>
      <c r="AG210" s="75"/>
      <c r="AH210" s="75"/>
      <c r="AI210" s="69"/>
      <c r="AJ210" s="11" t="s">
        <v>266</v>
      </c>
      <c r="AK210" s="65" t="s">
        <v>96</v>
      </c>
      <c r="AL210" s="65"/>
      <c r="AM210" s="176"/>
      <c r="AN210" s="176"/>
      <c r="AO210" s="176"/>
      <c r="AP210" s="176"/>
      <c r="AQ210" s="186" t="s">
        <v>97</v>
      </c>
      <c r="AR210" s="70" t="str">
        <f t="shared" si="98"/>
        <v>KTG.100.0101</v>
      </c>
      <c r="AS210" s="71" t="str">
        <f t="shared" si="92"/>
        <v>KPBS-2.020</v>
      </c>
      <c r="AT210" s="71" t="str">
        <f t="shared" si="92"/>
        <v>B07</v>
      </c>
      <c r="AU210" s="72"/>
      <c r="AV210" s="202">
        <v>0.70971928790000005</v>
      </c>
      <c r="AW210" s="202">
        <v>124.3224733671</v>
      </c>
      <c r="AX210" s="65" t="s">
        <v>98</v>
      </c>
      <c r="AY210" s="65" t="s">
        <v>94</v>
      </c>
      <c r="AZ210" s="65" t="s">
        <v>94</v>
      </c>
      <c r="BA210" s="73" t="s">
        <v>77</v>
      </c>
      <c r="BB210" s="65" t="s">
        <v>98</v>
      </c>
      <c r="BC210" s="65">
        <v>31</v>
      </c>
      <c r="BD210" s="65" t="s">
        <v>98</v>
      </c>
      <c r="BE210" s="211" t="str">
        <f t="shared" si="72"/>
        <v>765, POYOWA BESAR,</v>
      </c>
    </row>
    <row r="211" spans="1:57" s="211" customFormat="1" ht="15.75" customHeight="1">
      <c r="A211" s="224"/>
      <c r="B211" s="225"/>
      <c r="C211" s="225"/>
      <c r="D211" s="225"/>
      <c r="E211" s="225"/>
      <c r="F211" s="225"/>
      <c r="G211" s="226"/>
      <c r="H211" s="23">
        <v>9</v>
      </c>
      <c r="I211" s="64" t="str">
        <f t="shared" si="99"/>
        <v>MR.KPBS.P078</v>
      </c>
      <c r="J211" s="64">
        <f t="shared" si="99"/>
        <v>0.70946064850000001</v>
      </c>
      <c r="K211" s="64">
        <f t="shared" si="99"/>
        <v>124.3226309433</v>
      </c>
      <c r="L211" s="64" t="str">
        <f t="shared" si="99"/>
        <v>JL. RAYA POYOWA BESAR</v>
      </c>
      <c r="M211" s="64" t="str">
        <f t="shared" si="99"/>
        <v>SULAWESI UTARA</v>
      </c>
      <c r="N211" s="65" t="s">
        <v>105</v>
      </c>
      <c r="O211" s="66" t="s">
        <v>118</v>
      </c>
      <c r="P211" s="65" t="s">
        <v>119</v>
      </c>
      <c r="Q211" s="66">
        <v>95717</v>
      </c>
      <c r="R211" s="67"/>
      <c r="S211" s="68"/>
      <c r="T211" s="74"/>
      <c r="U211" s="74"/>
      <c r="V211" s="74"/>
      <c r="W211" s="65" t="s">
        <v>105</v>
      </c>
      <c r="X211" s="64"/>
      <c r="Y211" s="64" t="s">
        <v>106</v>
      </c>
      <c r="Z211" s="64" t="str">
        <f t="shared" si="97"/>
        <v>KELURAHAN POYOWA BESAR SATU KOTAMOBAGU</v>
      </c>
      <c r="AA211" s="65"/>
      <c r="AB211" s="65"/>
      <c r="AC211" s="65" t="s">
        <v>70</v>
      </c>
      <c r="AD211" s="64" t="str">
        <f t="shared" si="100"/>
        <v>POYOWA BESAR</v>
      </c>
      <c r="AE211" s="75"/>
      <c r="AF211" s="75"/>
      <c r="AG211" s="75"/>
      <c r="AH211" s="75"/>
      <c r="AI211" s="69"/>
      <c r="AJ211" s="11" t="s">
        <v>267</v>
      </c>
      <c r="AK211" s="65" t="s">
        <v>96</v>
      </c>
      <c r="AL211" s="65"/>
      <c r="AM211" s="176"/>
      <c r="AN211" s="176"/>
      <c r="AO211" s="176"/>
      <c r="AP211" s="176"/>
      <c r="AQ211" s="186" t="s">
        <v>97</v>
      </c>
      <c r="AR211" s="70" t="str">
        <f t="shared" si="98"/>
        <v>KTG.100.0101</v>
      </c>
      <c r="AS211" s="71" t="str">
        <f t="shared" si="92"/>
        <v>KPBS-2.020</v>
      </c>
      <c r="AT211" s="71" t="str">
        <f t="shared" si="92"/>
        <v>B07</v>
      </c>
      <c r="AU211" s="72"/>
      <c r="AV211" s="202">
        <v>0.70989886820000003</v>
      </c>
      <c r="AW211" s="202">
        <v>124.3224936239</v>
      </c>
      <c r="AX211" s="65" t="s">
        <v>98</v>
      </c>
      <c r="AY211" s="65" t="s">
        <v>94</v>
      </c>
      <c r="AZ211" s="65" t="s">
        <v>94</v>
      </c>
      <c r="BA211" s="73" t="s">
        <v>77</v>
      </c>
      <c r="BB211" s="65" t="s">
        <v>98</v>
      </c>
      <c r="BC211" s="65">
        <v>31</v>
      </c>
      <c r="BD211" s="65" t="s">
        <v>98</v>
      </c>
      <c r="BE211" s="211" t="str">
        <f t="shared" si="72"/>
        <v>766, POYOWA BESAR,</v>
      </c>
    </row>
    <row r="212" spans="1:57" s="211" customFormat="1" ht="15.75" customHeight="1">
      <c r="A212" s="224"/>
      <c r="B212" s="225"/>
      <c r="C212" s="225"/>
      <c r="D212" s="225"/>
      <c r="E212" s="225"/>
      <c r="F212" s="225"/>
      <c r="G212" s="226"/>
      <c r="H212" s="23">
        <v>10</v>
      </c>
      <c r="I212" s="64" t="str">
        <f t="shared" si="99"/>
        <v>MR.KPBS.P078</v>
      </c>
      <c r="J212" s="64">
        <f t="shared" si="99"/>
        <v>0.70946064850000001</v>
      </c>
      <c r="K212" s="64">
        <f t="shared" si="99"/>
        <v>124.3226309433</v>
      </c>
      <c r="L212" s="64" t="str">
        <f t="shared" si="99"/>
        <v>JL. RAYA POYOWA BESAR</v>
      </c>
      <c r="M212" s="64" t="str">
        <f t="shared" si="99"/>
        <v>SULAWESI UTARA</v>
      </c>
      <c r="N212" s="65" t="s">
        <v>105</v>
      </c>
      <c r="O212" s="66" t="s">
        <v>118</v>
      </c>
      <c r="P212" s="65" t="s">
        <v>119</v>
      </c>
      <c r="Q212" s="66">
        <v>95717</v>
      </c>
      <c r="R212" s="67"/>
      <c r="S212" s="68"/>
      <c r="T212" s="74"/>
      <c r="U212" s="74"/>
      <c r="V212" s="74"/>
      <c r="W212" s="65" t="s">
        <v>105</v>
      </c>
      <c r="X212" s="64"/>
      <c r="Y212" s="64" t="s">
        <v>106</v>
      </c>
      <c r="Z212" s="64" t="str">
        <f t="shared" si="97"/>
        <v>KELURAHAN POYOWA BESAR SATU KOTAMOBAGU</v>
      </c>
      <c r="AA212" s="65"/>
      <c r="AB212" s="65"/>
      <c r="AC212" s="65" t="s">
        <v>70</v>
      </c>
      <c r="AD212" s="64" t="str">
        <f t="shared" si="100"/>
        <v>POYOWA BESAR</v>
      </c>
      <c r="AE212" s="75"/>
      <c r="AF212" s="75"/>
      <c r="AG212" s="75"/>
      <c r="AH212" s="75"/>
      <c r="AI212" s="69"/>
      <c r="AJ212" s="11" t="s">
        <v>268</v>
      </c>
      <c r="AK212" s="65" t="s">
        <v>96</v>
      </c>
      <c r="AL212" s="65"/>
      <c r="AM212" s="176"/>
      <c r="AN212" s="176"/>
      <c r="AO212" s="176"/>
      <c r="AP212" s="176"/>
      <c r="AQ212" s="186" t="s">
        <v>97</v>
      </c>
      <c r="AR212" s="70" t="str">
        <f t="shared" si="98"/>
        <v>KTG.100.0101</v>
      </c>
      <c r="AS212" s="71" t="str">
        <f t="shared" si="92"/>
        <v>KPBS-2.020</v>
      </c>
      <c r="AT212" s="71" t="str">
        <f t="shared" si="92"/>
        <v>B07</v>
      </c>
      <c r="AU212" s="72"/>
      <c r="AV212" s="202">
        <v>0.70986299389999996</v>
      </c>
      <c r="AW212" s="202">
        <v>124.3226477816</v>
      </c>
      <c r="AX212" s="65" t="s">
        <v>98</v>
      </c>
      <c r="AY212" s="65" t="s">
        <v>94</v>
      </c>
      <c r="AZ212" s="65" t="s">
        <v>94</v>
      </c>
      <c r="BA212" s="73" t="s">
        <v>77</v>
      </c>
      <c r="BB212" s="65" t="s">
        <v>98</v>
      </c>
      <c r="BC212" s="65">
        <v>31</v>
      </c>
      <c r="BD212" s="65" t="s">
        <v>98</v>
      </c>
      <c r="BE212" s="211" t="str">
        <f t="shared" si="72"/>
        <v>767, POYOWA BESAR,</v>
      </c>
    </row>
    <row r="213" spans="1:57" s="211" customFormat="1" ht="15.75" customHeight="1">
      <c r="A213" s="224"/>
      <c r="B213" s="225"/>
      <c r="C213" s="225"/>
      <c r="D213" s="225"/>
      <c r="E213" s="225"/>
      <c r="F213" s="225"/>
      <c r="G213" s="226"/>
      <c r="H213" s="23">
        <v>11</v>
      </c>
      <c r="I213" s="64" t="str">
        <f t="shared" si="99"/>
        <v>MR.KPBS.P078</v>
      </c>
      <c r="J213" s="64">
        <f t="shared" si="99"/>
        <v>0.70946064850000001</v>
      </c>
      <c r="K213" s="64">
        <f t="shared" si="99"/>
        <v>124.3226309433</v>
      </c>
      <c r="L213" s="64" t="str">
        <f t="shared" si="99"/>
        <v>JL. RAYA POYOWA BESAR</v>
      </c>
      <c r="M213" s="64" t="str">
        <f t="shared" si="99"/>
        <v>SULAWESI UTARA</v>
      </c>
      <c r="N213" s="65" t="s">
        <v>105</v>
      </c>
      <c r="O213" s="66" t="s">
        <v>118</v>
      </c>
      <c r="P213" s="65" t="s">
        <v>119</v>
      </c>
      <c r="Q213" s="66">
        <v>95717</v>
      </c>
      <c r="R213" s="67"/>
      <c r="S213" s="68"/>
      <c r="T213" s="68"/>
      <c r="U213" s="68"/>
      <c r="V213" s="68"/>
      <c r="W213" s="65" t="s">
        <v>105</v>
      </c>
      <c r="X213" s="64"/>
      <c r="Y213" s="64" t="s">
        <v>106</v>
      </c>
      <c r="Z213" s="64" t="str">
        <f t="shared" si="97"/>
        <v>KELURAHAN POYOWA BESAR SATU KOTAMOBAGU</v>
      </c>
      <c r="AA213" s="65"/>
      <c r="AB213" s="65"/>
      <c r="AC213" s="65" t="s">
        <v>70</v>
      </c>
      <c r="AD213" s="64" t="str">
        <f t="shared" si="100"/>
        <v>POYOWA BESAR</v>
      </c>
      <c r="AE213" s="67"/>
      <c r="AF213" s="67"/>
      <c r="AG213" s="67"/>
      <c r="AH213" s="67"/>
      <c r="AI213" s="69"/>
      <c r="AJ213" s="11" t="s">
        <v>269</v>
      </c>
      <c r="AK213" s="65" t="s">
        <v>96</v>
      </c>
      <c r="AL213" s="65"/>
      <c r="AM213" s="176"/>
      <c r="AN213" s="176"/>
      <c r="AO213" s="176"/>
      <c r="AP213" s="176"/>
      <c r="AQ213" s="186" t="s">
        <v>97</v>
      </c>
      <c r="AR213" s="70" t="str">
        <f t="shared" si="98"/>
        <v>KTG.100.0101</v>
      </c>
      <c r="AS213" s="71" t="str">
        <f t="shared" si="92"/>
        <v>KPBS-2.020</v>
      </c>
      <c r="AT213" s="71" t="str">
        <f t="shared" si="92"/>
        <v>B07</v>
      </c>
      <c r="AU213" s="72"/>
      <c r="AV213" s="202">
        <v>0.70966462699999899</v>
      </c>
      <c r="AW213" s="202">
        <v>124.3228457828</v>
      </c>
      <c r="AX213" s="65" t="s">
        <v>98</v>
      </c>
      <c r="AY213" s="65" t="s">
        <v>94</v>
      </c>
      <c r="AZ213" s="65" t="s">
        <v>94</v>
      </c>
      <c r="BA213" s="73" t="s">
        <v>77</v>
      </c>
      <c r="BB213" s="65" t="s">
        <v>98</v>
      </c>
      <c r="BC213" s="65">
        <v>31</v>
      </c>
      <c r="BD213" s="65" t="s">
        <v>98</v>
      </c>
      <c r="BE213" s="211" t="str">
        <f t="shared" si="72"/>
        <v>763, POYOWA BESAR,</v>
      </c>
    </row>
    <row r="214" spans="1:57" s="211" customFormat="1" ht="15.75" customHeight="1">
      <c r="A214" s="207"/>
      <c r="B214" s="208"/>
      <c r="C214" s="208"/>
      <c r="D214" s="208"/>
      <c r="E214" s="208"/>
      <c r="F214" s="208"/>
      <c r="G214" s="208"/>
      <c r="H214" s="23">
        <v>12</v>
      </c>
      <c r="I214" s="64" t="str">
        <f t="shared" si="99"/>
        <v>MR.KPBS.P078</v>
      </c>
      <c r="J214" s="64">
        <f t="shared" si="99"/>
        <v>0.70946064850000001</v>
      </c>
      <c r="K214" s="64">
        <f t="shared" si="99"/>
        <v>124.3226309433</v>
      </c>
      <c r="L214" s="64" t="str">
        <f t="shared" si="99"/>
        <v>JL. RAYA POYOWA BESAR</v>
      </c>
      <c r="M214" s="64" t="str">
        <f t="shared" si="99"/>
        <v>SULAWESI UTARA</v>
      </c>
      <c r="N214" s="65" t="s">
        <v>105</v>
      </c>
      <c r="O214" s="66" t="s">
        <v>118</v>
      </c>
      <c r="P214" s="65" t="s">
        <v>119</v>
      </c>
      <c r="Q214" s="66">
        <v>95717</v>
      </c>
      <c r="R214" s="67"/>
      <c r="S214" s="68"/>
      <c r="T214" s="68"/>
      <c r="U214" s="68"/>
      <c r="V214" s="68"/>
      <c r="W214" s="65" t="s">
        <v>105</v>
      </c>
      <c r="X214" s="64"/>
      <c r="Y214" s="64" t="s">
        <v>106</v>
      </c>
      <c r="Z214" s="64" t="str">
        <f t="shared" si="97"/>
        <v>KELURAHAN POYOWA BESAR SATU KOTAMOBAGU</v>
      </c>
      <c r="AA214" s="65"/>
      <c r="AB214" s="65"/>
      <c r="AC214" s="65" t="s">
        <v>70</v>
      </c>
      <c r="AD214" s="64" t="str">
        <f t="shared" si="100"/>
        <v>POYOWA BESAR</v>
      </c>
      <c r="AE214" s="67"/>
      <c r="AF214" s="67"/>
      <c r="AG214" s="67"/>
      <c r="AH214" s="67"/>
      <c r="AI214" s="69"/>
      <c r="AJ214" s="11" t="s">
        <v>270</v>
      </c>
      <c r="AK214" s="65" t="s">
        <v>96</v>
      </c>
      <c r="AL214" s="65"/>
      <c r="AM214" s="176"/>
      <c r="AN214" s="176"/>
      <c r="AO214" s="176"/>
      <c r="AP214" s="176"/>
      <c r="AQ214" s="186" t="s">
        <v>97</v>
      </c>
      <c r="AR214" s="70" t="str">
        <f t="shared" si="98"/>
        <v>KTG.100.0101</v>
      </c>
      <c r="AS214" s="71" t="str">
        <f t="shared" si="92"/>
        <v>KPBS-2.020</v>
      </c>
      <c r="AT214" s="71" t="str">
        <f t="shared" si="92"/>
        <v>B07</v>
      </c>
      <c r="AU214" s="72"/>
      <c r="AV214" s="202">
        <v>0.70942083860000005</v>
      </c>
      <c r="AW214" s="202">
        <v>124.3227281561</v>
      </c>
      <c r="AX214" s="65" t="s">
        <v>98</v>
      </c>
      <c r="AY214" s="65" t="s">
        <v>94</v>
      </c>
      <c r="AZ214" s="65" t="s">
        <v>94</v>
      </c>
      <c r="BA214" s="73" t="s">
        <v>77</v>
      </c>
      <c r="BB214" s="65" t="s">
        <v>98</v>
      </c>
      <c r="BC214" s="65">
        <v>31</v>
      </c>
      <c r="BD214" s="65" t="s">
        <v>98</v>
      </c>
      <c r="BE214" s="211" t="str">
        <f t="shared" ref="BE214" si="101">AJ214&amp;", "&amp;AD214&amp;","&amp;AI214</f>
        <v>760A, POYOWA BESAR,</v>
      </c>
    </row>
    <row r="215" spans="1:57" s="211" customFormat="1" ht="15.75" customHeight="1">
      <c r="A215" s="40" t="s">
        <v>78</v>
      </c>
      <c r="B215" s="40">
        <f>B203+1</f>
        <v>16</v>
      </c>
      <c r="C215" s="32" t="s">
        <v>99</v>
      </c>
      <c r="D215" s="32" t="s">
        <v>351</v>
      </c>
      <c r="E215" s="120">
        <v>2</v>
      </c>
      <c r="F215" s="43">
        <f>F204+1</f>
        <v>17</v>
      </c>
      <c r="G215" s="214" t="s">
        <v>84</v>
      </c>
      <c r="H215" s="42">
        <v>1</v>
      </c>
      <c r="I215" s="82" t="s">
        <v>337</v>
      </c>
      <c r="J215" s="83">
        <v>0.70860135700000004</v>
      </c>
      <c r="K215" s="83">
        <v>124.3229501751</v>
      </c>
      <c r="L215" s="113" t="s">
        <v>116</v>
      </c>
      <c r="M215" s="119" t="str">
        <f t="shared" ref="M215" si="102">M213</f>
        <v>SULAWESI UTARA</v>
      </c>
      <c r="N215" s="14" t="s">
        <v>105</v>
      </c>
      <c r="O215" s="84" t="s">
        <v>118</v>
      </c>
      <c r="P215" s="14" t="s">
        <v>119</v>
      </c>
      <c r="Q215" s="84">
        <v>95717</v>
      </c>
      <c r="R215" s="86"/>
      <c r="S215" s="87"/>
      <c r="T215" s="88"/>
      <c r="U215" s="87"/>
      <c r="V215" s="88"/>
      <c r="W215" s="85" t="s">
        <v>105</v>
      </c>
      <c r="X215" s="83"/>
      <c r="Y215" s="119" t="s">
        <v>106</v>
      </c>
      <c r="Z215" s="119" t="str">
        <f>Z213</f>
        <v>KELURAHAN POYOWA BESAR SATU KOTAMOBAGU</v>
      </c>
      <c r="AA215" s="89"/>
      <c r="AB215" s="89"/>
      <c r="AC215" s="89" t="s">
        <v>70</v>
      </c>
      <c r="AD215" s="113" t="s">
        <v>119</v>
      </c>
      <c r="AE215" s="90"/>
      <c r="AF215" s="90"/>
      <c r="AG215" s="90"/>
      <c r="AH215" s="90"/>
      <c r="AI215" s="91"/>
      <c r="AJ215" s="115" t="s">
        <v>809</v>
      </c>
      <c r="AK215" s="89" t="s">
        <v>96</v>
      </c>
      <c r="AL215" s="95"/>
      <c r="AM215" s="187"/>
      <c r="AN215" s="187"/>
      <c r="AO215" s="187"/>
      <c r="AP215" s="187"/>
      <c r="AQ215" s="188" t="s">
        <v>97</v>
      </c>
      <c r="AR215" s="92" t="str">
        <f>AR213</f>
        <v>KTG.100.0101</v>
      </c>
      <c r="AS215" s="93" t="str">
        <f>AS203</f>
        <v>KPBS-2.020</v>
      </c>
      <c r="AT215" s="93" t="str">
        <f>G215</f>
        <v>B08</v>
      </c>
      <c r="AU215" s="94"/>
      <c r="AV215" s="203">
        <v>0.70856079019999996</v>
      </c>
      <c r="AW215" s="203">
        <v>124.3230532037</v>
      </c>
      <c r="AX215" s="95" t="s">
        <v>98</v>
      </c>
      <c r="AY215" s="95" t="s">
        <v>94</v>
      </c>
      <c r="AZ215" s="95" t="s">
        <v>94</v>
      </c>
      <c r="BA215" s="96" t="s">
        <v>77</v>
      </c>
      <c r="BB215" s="95" t="s">
        <v>98</v>
      </c>
      <c r="BC215" s="95">
        <v>31</v>
      </c>
      <c r="BD215" s="95" t="s">
        <v>98</v>
      </c>
      <c r="BE215" s="211" t="str">
        <f t="shared" ref="BE215:BE265" si="103">AJ215&amp;", "&amp;AD215&amp;","&amp;AI215</f>
        <v>614, POYOWA BESAR,</v>
      </c>
    </row>
    <row r="216" spans="1:57" s="211" customFormat="1" ht="15.75" customHeight="1">
      <c r="A216" s="24"/>
      <c r="B216" s="24"/>
      <c r="C216" s="22" t="s">
        <v>99</v>
      </c>
      <c r="D216" s="22" t="s">
        <v>351</v>
      </c>
      <c r="E216" s="32">
        <v>2</v>
      </c>
      <c r="F216" s="25">
        <f>F215+1</f>
        <v>18</v>
      </c>
      <c r="G216" s="235"/>
      <c r="H216" s="23">
        <v>2</v>
      </c>
      <c r="I216" s="64" t="str">
        <f t="shared" ref="I216:M230" si="104">I215</f>
        <v>MR.KPBS.P080</v>
      </c>
      <c r="J216" s="64">
        <f t="shared" si="104"/>
        <v>0.70860135700000004</v>
      </c>
      <c r="K216" s="64">
        <f t="shared" si="104"/>
        <v>124.3229501751</v>
      </c>
      <c r="L216" s="64" t="str">
        <f t="shared" si="104"/>
        <v>JL. RAYA POYOWA BESAR</v>
      </c>
      <c r="M216" s="64" t="str">
        <f t="shared" si="104"/>
        <v>SULAWESI UTARA</v>
      </c>
      <c r="N216" s="65" t="s">
        <v>105</v>
      </c>
      <c r="O216" s="66" t="s">
        <v>118</v>
      </c>
      <c r="P216" s="65" t="s">
        <v>119</v>
      </c>
      <c r="Q216" s="66">
        <v>95717</v>
      </c>
      <c r="R216" s="67"/>
      <c r="S216" s="68"/>
      <c r="T216" s="68"/>
      <c r="U216" s="68"/>
      <c r="V216" s="68"/>
      <c r="W216" s="65" t="s">
        <v>105</v>
      </c>
      <c r="X216" s="64"/>
      <c r="Y216" s="64" t="s">
        <v>106</v>
      </c>
      <c r="Z216" s="64" t="str">
        <f t="shared" si="97"/>
        <v>KELURAHAN POYOWA BESAR SATU KOTAMOBAGU</v>
      </c>
      <c r="AA216" s="65"/>
      <c r="AB216" s="65"/>
      <c r="AC216" s="65" t="s">
        <v>70</v>
      </c>
      <c r="AD216" s="64" t="str">
        <f t="shared" ref="AD216:AD230" si="105">AD215</f>
        <v>POYOWA BESAR</v>
      </c>
      <c r="AE216" s="67"/>
      <c r="AF216" s="67"/>
      <c r="AG216" s="67"/>
      <c r="AH216" s="67"/>
      <c r="AI216" s="69"/>
      <c r="AJ216" s="11" t="s">
        <v>810</v>
      </c>
      <c r="AK216" s="65" t="s">
        <v>96</v>
      </c>
      <c r="AL216" s="65"/>
      <c r="AM216" s="176"/>
      <c r="AN216" s="176"/>
      <c r="AO216" s="176"/>
      <c r="AP216" s="176"/>
      <c r="AQ216" s="177" t="s">
        <v>97</v>
      </c>
      <c r="AR216" s="70" t="str">
        <f t="shared" si="98"/>
        <v>KTG.100.0101</v>
      </c>
      <c r="AS216" s="71" t="str">
        <f t="shared" si="92"/>
        <v>KPBS-2.020</v>
      </c>
      <c r="AT216" s="71" t="str">
        <f t="shared" si="92"/>
        <v>B08</v>
      </c>
      <c r="AU216" s="72"/>
      <c r="AV216" s="202">
        <v>0.70869613369999995</v>
      </c>
      <c r="AW216" s="202">
        <v>124.3228084421</v>
      </c>
      <c r="AX216" s="65" t="s">
        <v>98</v>
      </c>
      <c r="AY216" s="65" t="s">
        <v>94</v>
      </c>
      <c r="AZ216" s="65" t="s">
        <v>94</v>
      </c>
      <c r="BA216" s="73" t="s">
        <v>77</v>
      </c>
      <c r="BB216" s="65" t="s">
        <v>98</v>
      </c>
      <c r="BC216" s="65">
        <v>31</v>
      </c>
      <c r="BD216" s="65" t="s">
        <v>98</v>
      </c>
      <c r="BE216" s="211" t="str">
        <f t="shared" si="103"/>
        <v>605, POYOWA BESAR,</v>
      </c>
    </row>
    <row r="217" spans="1:57" s="211" customFormat="1" ht="15.75" customHeight="1">
      <c r="A217" s="229"/>
      <c r="B217" s="230"/>
      <c r="C217" s="230"/>
      <c r="D217" s="230"/>
      <c r="E217" s="230"/>
      <c r="F217" s="230"/>
      <c r="G217" s="231"/>
      <c r="H217" s="23">
        <v>3</v>
      </c>
      <c r="I217" s="64" t="str">
        <f t="shared" si="104"/>
        <v>MR.KPBS.P080</v>
      </c>
      <c r="J217" s="64">
        <f t="shared" si="104"/>
        <v>0.70860135700000004</v>
      </c>
      <c r="K217" s="64">
        <f t="shared" si="104"/>
        <v>124.3229501751</v>
      </c>
      <c r="L217" s="64" t="str">
        <f t="shared" si="104"/>
        <v>JL. RAYA POYOWA BESAR</v>
      </c>
      <c r="M217" s="64" t="str">
        <f t="shared" si="104"/>
        <v>SULAWESI UTARA</v>
      </c>
      <c r="N217" s="65" t="s">
        <v>105</v>
      </c>
      <c r="O217" s="66" t="s">
        <v>118</v>
      </c>
      <c r="P217" s="65" t="s">
        <v>119</v>
      </c>
      <c r="Q217" s="66">
        <v>95717</v>
      </c>
      <c r="R217" s="67"/>
      <c r="S217" s="68"/>
      <c r="T217" s="68"/>
      <c r="U217" s="68"/>
      <c r="V217" s="68"/>
      <c r="W217" s="65" t="s">
        <v>105</v>
      </c>
      <c r="X217" s="64"/>
      <c r="Y217" s="64" t="s">
        <v>106</v>
      </c>
      <c r="Z217" s="64" t="str">
        <f t="shared" si="97"/>
        <v>KELURAHAN POYOWA BESAR SATU KOTAMOBAGU</v>
      </c>
      <c r="AA217" s="65"/>
      <c r="AB217" s="65"/>
      <c r="AC217" s="65" t="s">
        <v>70</v>
      </c>
      <c r="AD217" s="64" t="str">
        <f t="shared" si="105"/>
        <v>POYOWA BESAR</v>
      </c>
      <c r="AE217" s="67"/>
      <c r="AF217" s="67"/>
      <c r="AG217" s="67"/>
      <c r="AH217" s="67"/>
      <c r="AI217" s="69"/>
      <c r="AJ217" s="11" t="s">
        <v>811</v>
      </c>
      <c r="AK217" s="65" t="s">
        <v>96</v>
      </c>
      <c r="AL217" s="65"/>
      <c r="AM217" s="176"/>
      <c r="AN217" s="176"/>
      <c r="AO217" s="176"/>
      <c r="AP217" s="176"/>
      <c r="AQ217" s="177" t="s">
        <v>97</v>
      </c>
      <c r="AR217" s="70" t="str">
        <f t="shared" si="98"/>
        <v>KTG.100.0101</v>
      </c>
      <c r="AS217" s="71" t="str">
        <f t="shared" si="92"/>
        <v>KPBS-2.020</v>
      </c>
      <c r="AT217" s="71" t="str">
        <f t="shared" si="92"/>
        <v>B08</v>
      </c>
      <c r="AU217" s="72"/>
      <c r="AV217" s="202">
        <v>0.70871984799999999</v>
      </c>
      <c r="AW217" s="202">
        <v>124.3230576536</v>
      </c>
      <c r="AX217" s="65" t="s">
        <v>98</v>
      </c>
      <c r="AY217" s="65" t="s">
        <v>94</v>
      </c>
      <c r="AZ217" s="65" t="s">
        <v>94</v>
      </c>
      <c r="BA217" s="73" t="s">
        <v>77</v>
      </c>
      <c r="BB217" s="65" t="s">
        <v>98</v>
      </c>
      <c r="BC217" s="65">
        <v>31</v>
      </c>
      <c r="BD217" s="65" t="s">
        <v>98</v>
      </c>
      <c r="BE217" s="211" t="str">
        <f t="shared" si="103"/>
        <v>612, POYOWA BESAR,</v>
      </c>
    </row>
    <row r="218" spans="1:57" s="211" customFormat="1" ht="15.75" customHeight="1">
      <c r="A218" s="232"/>
      <c r="B218" s="233"/>
      <c r="C218" s="233"/>
      <c r="D218" s="233"/>
      <c r="E218" s="233"/>
      <c r="F218" s="233"/>
      <c r="G218" s="234"/>
      <c r="H218" s="23">
        <v>4</v>
      </c>
      <c r="I218" s="64" t="str">
        <f t="shared" si="104"/>
        <v>MR.KPBS.P080</v>
      </c>
      <c r="J218" s="64">
        <f t="shared" si="104"/>
        <v>0.70860135700000004</v>
      </c>
      <c r="K218" s="64">
        <f t="shared" si="104"/>
        <v>124.3229501751</v>
      </c>
      <c r="L218" s="64" t="str">
        <f t="shared" si="104"/>
        <v>JL. RAYA POYOWA BESAR</v>
      </c>
      <c r="M218" s="64" t="str">
        <f t="shared" si="104"/>
        <v>SULAWESI UTARA</v>
      </c>
      <c r="N218" s="65" t="s">
        <v>105</v>
      </c>
      <c r="O218" s="66" t="s">
        <v>118</v>
      </c>
      <c r="P218" s="65" t="s">
        <v>119</v>
      </c>
      <c r="Q218" s="66">
        <v>95717</v>
      </c>
      <c r="R218" s="67"/>
      <c r="S218" s="68"/>
      <c r="T218" s="68"/>
      <c r="U218" s="68"/>
      <c r="V218" s="68"/>
      <c r="W218" s="65" t="s">
        <v>105</v>
      </c>
      <c r="X218" s="64"/>
      <c r="Y218" s="64" t="s">
        <v>106</v>
      </c>
      <c r="Z218" s="64" t="str">
        <f t="shared" si="97"/>
        <v>KELURAHAN POYOWA BESAR SATU KOTAMOBAGU</v>
      </c>
      <c r="AA218" s="65"/>
      <c r="AB218" s="65"/>
      <c r="AC218" s="65" t="s">
        <v>70</v>
      </c>
      <c r="AD218" s="64" t="str">
        <f t="shared" si="105"/>
        <v>POYOWA BESAR</v>
      </c>
      <c r="AE218" s="67"/>
      <c r="AF218" s="67"/>
      <c r="AG218" s="67"/>
      <c r="AH218" s="67"/>
      <c r="AI218" s="69"/>
      <c r="AJ218" s="11" t="s">
        <v>812</v>
      </c>
      <c r="AK218" s="65" t="s">
        <v>96</v>
      </c>
      <c r="AL218" s="65"/>
      <c r="AM218" s="176"/>
      <c r="AN218" s="176"/>
      <c r="AO218" s="176"/>
      <c r="AP218" s="176"/>
      <c r="AQ218" s="177" t="s">
        <v>97</v>
      </c>
      <c r="AR218" s="70" t="str">
        <f t="shared" si="98"/>
        <v>KTG.100.0101</v>
      </c>
      <c r="AS218" s="71" t="str">
        <f t="shared" si="92"/>
        <v>KPBS-2.020</v>
      </c>
      <c r="AT218" s="71" t="str">
        <f t="shared" si="92"/>
        <v>B08</v>
      </c>
      <c r="AU218" s="72"/>
      <c r="AV218" s="202">
        <v>0.70864105619999995</v>
      </c>
      <c r="AW218" s="202">
        <v>124.323072487</v>
      </c>
      <c r="AX218" s="65" t="s">
        <v>98</v>
      </c>
      <c r="AY218" s="65" t="s">
        <v>94</v>
      </c>
      <c r="AZ218" s="65" t="s">
        <v>94</v>
      </c>
      <c r="BA218" s="73" t="s">
        <v>77</v>
      </c>
      <c r="BB218" s="65" t="s">
        <v>98</v>
      </c>
      <c r="BC218" s="65">
        <v>31</v>
      </c>
      <c r="BD218" s="65" t="s">
        <v>98</v>
      </c>
      <c r="BE218" s="211" t="str">
        <f t="shared" si="103"/>
        <v>613, POYOWA BESAR,</v>
      </c>
    </row>
    <row r="219" spans="1:57" s="211" customFormat="1" ht="15.75" customHeight="1">
      <c r="A219" s="232"/>
      <c r="B219" s="233"/>
      <c r="C219" s="233"/>
      <c r="D219" s="233"/>
      <c r="E219" s="233"/>
      <c r="F219" s="233"/>
      <c r="G219" s="234"/>
      <c r="H219" s="23">
        <v>5</v>
      </c>
      <c r="I219" s="64" t="str">
        <f t="shared" si="104"/>
        <v>MR.KPBS.P080</v>
      </c>
      <c r="J219" s="64">
        <f t="shared" si="104"/>
        <v>0.70860135700000004</v>
      </c>
      <c r="K219" s="64">
        <f t="shared" si="104"/>
        <v>124.3229501751</v>
      </c>
      <c r="L219" s="64" t="str">
        <f t="shared" si="104"/>
        <v>JL. RAYA POYOWA BESAR</v>
      </c>
      <c r="M219" s="64" t="str">
        <f t="shared" si="104"/>
        <v>SULAWESI UTARA</v>
      </c>
      <c r="N219" s="65" t="s">
        <v>105</v>
      </c>
      <c r="O219" s="66" t="s">
        <v>118</v>
      </c>
      <c r="P219" s="65" t="s">
        <v>119</v>
      </c>
      <c r="Q219" s="66">
        <v>95717</v>
      </c>
      <c r="R219" s="67"/>
      <c r="S219" s="68"/>
      <c r="T219" s="68"/>
      <c r="U219" s="68"/>
      <c r="V219" s="68"/>
      <c r="W219" s="65" t="s">
        <v>105</v>
      </c>
      <c r="X219" s="64"/>
      <c r="Y219" s="64" t="s">
        <v>106</v>
      </c>
      <c r="Z219" s="64" t="str">
        <f t="shared" si="97"/>
        <v>KELURAHAN POYOWA BESAR SATU KOTAMOBAGU</v>
      </c>
      <c r="AA219" s="65"/>
      <c r="AB219" s="65"/>
      <c r="AC219" s="65" t="s">
        <v>70</v>
      </c>
      <c r="AD219" s="64" t="str">
        <f t="shared" si="105"/>
        <v>POYOWA BESAR</v>
      </c>
      <c r="AE219" s="67"/>
      <c r="AF219" s="67"/>
      <c r="AG219" s="67"/>
      <c r="AH219" s="67"/>
      <c r="AI219" s="69"/>
      <c r="AJ219" s="11" t="s">
        <v>813</v>
      </c>
      <c r="AK219" s="65" t="s">
        <v>96</v>
      </c>
      <c r="AL219" s="65"/>
      <c r="AM219" s="176"/>
      <c r="AN219" s="176"/>
      <c r="AO219" s="176"/>
      <c r="AP219" s="176"/>
      <c r="AQ219" s="177" t="s">
        <v>97</v>
      </c>
      <c r="AR219" s="70" t="str">
        <f t="shared" si="98"/>
        <v>KTG.100.0101</v>
      </c>
      <c r="AS219" s="71" t="str">
        <f t="shared" si="92"/>
        <v>KPBS-2.020</v>
      </c>
      <c r="AT219" s="71" t="str">
        <f t="shared" si="92"/>
        <v>B08</v>
      </c>
      <c r="AU219" s="72"/>
      <c r="AV219" s="202">
        <v>0.70859207719999895</v>
      </c>
      <c r="AW219" s="202">
        <v>124.3227669087</v>
      </c>
      <c r="AX219" s="65" t="s">
        <v>98</v>
      </c>
      <c r="AY219" s="65" t="s">
        <v>94</v>
      </c>
      <c r="AZ219" s="65" t="s">
        <v>94</v>
      </c>
      <c r="BA219" s="73" t="s">
        <v>77</v>
      </c>
      <c r="BB219" s="65" t="s">
        <v>98</v>
      </c>
      <c r="BC219" s="65">
        <v>31</v>
      </c>
      <c r="BD219" s="65" t="s">
        <v>98</v>
      </c>
      <c r="BE219" s="211" t="str">
        <f t="shared" si="103"/>
        <v>606, POYOWA BESAR,</v>
      </c>
    </row>
    <row r="220" spans="1:57" s="211" customFormat="1" ht="15.75" customHeight="1">
      <c r="A220" s="232"/>
      <c r="B220" s="233"/>
      <c r="C220" s="233"/>
      <c r="D220" s="233"/>
      <c r="E220" s="233"/>
      <c r="F220" s="233"/>
      <c r="G220" s="234"/>
      <c r="H220" s="23">
        <v>6</v>
      </c>
      <c r="I220" s="64" t="str">
        <f t="shared" si="104"/>
        <v>MR.KPBS.P080</v>
      </c>
      <c r="J220" s="64">
        <f t="shared" si="104"/>
        <v>0.70860135700000004</v>
      </c>
      <c r="K220" s="64">
        <f t="shared" si="104"/>
        <v>124.3229501751</v>
      </c>
      <c r="L220" s="64" t="str">
        <f t="shared" si="104"/>
        <v>JL. RAYA POYOWA BESAR</v>
      </c>
      <c r="M220" s="64" t="str">
        <f t="shared" si="104"/>
        <v>SULAWESI UTARA</v>
      </c>
      <c r="N220" s="65" t="s">
        <v>105</v>
      </c>
      <c r="O220" s="66" t="s">
        <v>118</v>
      </c>
      <c r="P220" s="65" t="s">
        <v>119</v>
      </c>
      <c r="Q220" s="66">
        <v>95717</v>
      </c>
      <c r="R220" s="67"/>
      <c r="S220" s="68"/>
      <c r="T220" s="68"/>
      <c r="U220" s="68"/>
      <c r="V220" s="68"/>
      <c r="W220" s="65" t="s">
        <v>105</v>
      </c>
      <c r="X220" s="64"/>
      <c r="Y220" s="64" t="s">
        <v>106</v>
      </c>
      <c r="Z220" s="64" t="str">
        <f t="shared" si="97"/>
        <v>KELURAHAN POYOWA BESAR SATU KOTAMOBAGU</v>
      </c>
      <c r="AA220" s="65"/>
      <c r="AB220" s="65"/>
      <c r="AC220" s="65" t="s">
        <v>70</v>
      </c>
      <c r="AD220" s="64" t="str">
        <f t="shared" si="105"/>
        <v>POYOWA BESAR</v>
      </c>
      <c r="AE220" s="67"/>
      <c r="AF220" s="67"/>
      <c r="AG220" s="67"/>
      <c r="AH220" s="67"/>
      <c r="AI220" s="69"/>
      <c r="AJ220" s="11" t="s">
        <v>814</v>
      </c>
      <c r="AK220" s="65" t="s">
        <v>96</v>
      </c>
      <c r="AL220" s="65"/>
      <c r="AM220" s="176"/>
      <c r="AN220" s="176"/>
      <c r="AO220" s="176"/>
      <c r="AP220" s="176"/>
      <c r="AQ220" s="177" t="s">
        <v>97</v>
      </c>
      <c r="AR220" s="70" t="str">
        <f t="shared" si="98"/>
        <v>KTG.100.0101</v>
      </c>
      <c r="AS220" s="71" t="str">
        <f t="shared" si="92"/>
        <v>KPBS-2.020</v>
      </c>
      <c r="AT220" s="71" t="str">
        <f t="shared" si="92"/>
        <v>B08</v>
      </c>
      <c r="AU220" s="72"/>
      <c r="AV220" s="202">
        <v>0.70851173489999997</v>
      </c>
      <c r="AW220" s="202">
        <v>124.3230368869</v>
      </c>
      <c r="AX220" s="65" t="s">
        <v>98</v>
      </c>
      <c r="AY220" s="65" t="s">
        <v>94</v>
      </c>
      <c r="AZ220" s="65" t="s">
        <v>94</v>
      </c>
      <c r="BA220" s="73" t="s">
        <v>77</v>
      </c>
      <c r="BB220" s="65" t="s">
        <v>98</v>
      </c>
      <c r="BC220" s="65">
        <v>31</v>
      </c>
      <c r="BD220" s="65" t="s">
        <v>98</v>
      </c>
      <c r="BE220" s="211" t="str">
        <f t="shared" si="103"/>
        <v>615, POYOWA BESAR,</v>
      </c>
    </row>
    <row r="221" spans="1:57" s="211" customFormat="1" ht="15.75" customHeight="1">
      <c r="A221" s="232"/>
      <c r="B221" s="233"/>
      <c r="C221" s="233"/>
      <c r="D221" s="233"/>
      <c r="E221" s="233"/>
      <c r="F221" s="233"/>
      <c r="G221" s="234"/>
      <c r="H221" s="23">
        <v>7</v>
      </c>
      <c r="I221" s="64" t="str">
        <f t="shared" si="104"/>
        <v>MR.KPBS.P080</v>
      </c>
      <c r="J221" s="64">
        <f t="shared" si="104"/>
        <v>0.70860135700000004</v>
      </c>
      <c r="K221" s="64">
        <f t="shared" si="104"/>
        <v>124.3229501751</v>
      </c>
      <c r="L221" s="64" t="str">
        <f t="shared" si="104"/>
        <v>JL. RAYA POYOWA BESAR</v>
      </c>
      <c r="M221" s="64" t="str">
        <f t="shared" si="104"/>
        <v>SULAWESI UTARA</v>
      </c>
      <c r="N221" s="65" t="s">
        <v>105</v>
      </c>
      <c r="O221" s="66" t="s">
        <v>118</v>
      </c>
      <c r="P221" s="65" t="s">
        <v>119</v>
      </c>
      <c r="Q221" s="66">
        <v>95717</v>
      </c>
      <c r="R221" s="67"/>
      <c r="S221" s="68"/>
      <c r="T221" s="68"/>
      <c r="U221" s="68"/>
      <c r="V221" s="68"/>
      <c r="W221" s="65" t="s">
        <v>105</v>
      </c>
      <c r="X221" s="64"/>
      <c r="Y221" s="64" t="s">
        <v>106</v>
      </c>
      <c r="Z221" s="64" t="str">
        <f t="shared" si="97"/>
        <v>KELURAHAN POYOWA BESAR SATU KOTAMOBAGU</v>
      </c>
      <c r="AA221" s="65"/>
      <c r="AB221" s="65"/>
      <c r="AC221" s="65" t="s">
        <v>70</v>
      </c>
      <c r="AD221" s="64" t="str">
        <f t="shared" si="105"/>
        <v>POYOWA BESAR</v>
      </c>
      <c r="AE221" s="67"/>
      <c r="AF221" s="67"/>
      <c r="AG221" s="67"/>
      <c r="AH221" s="67"/>
      <c r="AI221" s="69"/>
      <c r="AJ221" s="11" t="s">
        <v>815</v>
      </c>
      <c r="AK221" s="65" t="s">
        <v>96</v>
      </c>
      <c r="AL221" s="65"/>
      <c r="AM221" s="176"/>
      <c r="AN221" s="176"/>
      <c r="AO221" s="176"/>
      <c r="AP221" s="176"/>
      <c r="AQ221" s="177" t="s">
        <v>97</v>
      </c>
      <c r="AR221" s="70" t="str">
        <f t="shared" si="98"/>
        <v>KTG.100.0101</v>
      </c>
      <c r="AS221" s="71" t="str">
        <f t="shared" si="92"/>
        <v>KPBS-2.020</v>
      </c>
      <c r="AT221" s="71" t="str">
        <f t="shared" si="92"/>
        <v>B08</v>
      </c>
      <c r="AU221" s="72"/>
      <c r="AV221" s="202">
        <v>0.70851900270000001</v>
      </c>
      <c r="AW221" s="202">
        <v>124.3227416841</v>
      </c>
      <c r="AX221" s="65" t="s">
        <v>98</v>
      </c>
      <c r="AY221" s="65" t="s">
        <v>94</v>
      </c>
      <c r="AZ221" s="65" t="s">
        <v>94</v>
      </c>
      <c r="BA221" s="73" t="s">
        <v>77</v>
      </c>
      <c r="BB221" s="65" t="s">
        <v>98</v>
      </c>
      <c r="BC221" s="65">
        <v>31</v>
      </c>
      <c r="BD221" s="65" t="s">
        <v>98</v>
      </c>
      <c r="BE221" s="211" t="str">
        <f t="shared" si="103"/>
        <v>607, POYOWA BESAR,</v>
      </c>
    </row>
    <row r="222" spans="1:57" s="211" customFormat="1" ht="15.75" customHeight="1">
      <c r="A222" s="232"/>
      <c r="B222" s="233"/>
      <c r="C222" s="233"/>
      <c r="D222" s="233"/>
      <c r="E222" s="233"/>
      <c r="F222" s="233"/>
      <c r="G222" s="234"/>
      <c r="H222" s="23">
        <v>8</v>
      </c>
      <c r="I222" s="64" t="str">
        <f t="shared" si="104"/>
        <v>MR.KPBS.P080</v>
      </c>
      <c r="J222" s="64">
        <f t="shared" si="104"/>
        <v>0.70860135700000004</v>
      </c>
      <c r="K222" s="64">
        <f t="shared" si="104"/>
        <v>124.3229501751</v>
      </c>
      <c r="L222" s="64" t="str">
        <f t="shared" si="104"/>
        <v>JL. RAYA POYOWA BESAR</v>
      </c>
      <c r="M222" s="64" t="str">
        <f t="shared" si="104"/>
        <v>SULAWESI UTARA</v>
      </c>
      <c r="N222" s="65" t="s">
        <v>105</v>
      </c>
      <c r="O222" s="66" t="s">
        <v>118</v>
      </c>
      <c r="P222" s="65" t="s">
        <v>119</v>
      </c>
      <c r="Q222" s="66">
        <v>95717</v>
      </c>
      <c r="R222" s="67"/>
      <c r="S222" s="68"/>
      <c r="T222" s="68"/>
      <c r="U222" s="68"/>
      <c r="V222" s="68"/>
      <c r="W222" s="65" t="s">
        <v>105</v>
      </c>
      <c r="X222" s="64"/>
      <c r="Y222" s="64" t="s">
        <v>106</v>
      </c>
      <c r="Z222" s="64" t="str">
        <f t="shared" si="97"/>
        <v>KELURAHAN POYOWA BESAR SATU KOTAMOBAGU</v>
      </c>
      <c r="AA222" s="65"/>
      <c r="AB222" s="65"/>
      <c r="AC222" s="65" t="s">
        <v>70</v>
      </c>
      <c r="AD222" s="64" t="str">
        <f t="shared" si="105"/>
        <v>POYOWA BESAR</v>
      </c>
      <c r="AE222" s="67"/>
      <c r="AF222" s="67"/>
      <c r="AG222" s="67"/>
      <c r="AH222" s="67"/>
      <c r="AI222" s="69"/>
      <c r="AJ222" s="11" t="s">
        <v>816</v>
      </c>
      <c r="AK222" s="65" t="s">
        <v>96</v>
      </c>
      <c r="AL222" s="65"/>
      <c r="AM222" s="176"/>
      <c r="AN222" s="176"/>
      <c r="AO222" s="176"/>
      <c r="AP222" s="176"/>
      <c r="AQ222" s="177" t="s">
        <v>97</v>
      </c>
      <c r="AR222" s="70" t="str">
        <f t="shared" si="98"/>
        <v>KTG.100.0101</v>
      </c>
      <c r="AS222" s="71" t="str">
        <f t="shared" si="92"/>
        <v>KPBS-2.020</v>
      </c>
      <c r="AT222" s="71" t="str">
        <f t="shared" si="92"/>
        <v>B08</v>
      </c>
      <c r="AU222" s="72"/>
      <c r="AV222" s="202">
        <v>0.70844604280000001</v>
      </c>
      <c r="AW222" s="202">
        <v>124.3230665537</v>
      </c>
      <c r="AX222" s="65" t="s">
        <v>98</v>
      </c>
      <c r="AY222" s="65" t="s">
        <v>94</v>
      </c>
      <c r="AZ222" s="65" t="s">
        <v>94</v>
      </c>
      <c r="BA222" s="73" t="s">
        <v>77</v>
      </c>
      <c r="BB222" s="65" t="s">
        <v>98</v>
      </c>
      <c r="BC222" s="65">
        <v>31</v>
      </c>
      <c r="BD222" s="65" t="s">
        <v>98</v>
      </c>
      <c r="BE222" s="211" t="str">
        <f t="shared" si="103"/>
        <v>616, POYOWA BESAR,</v>
      </c>
    </row>
    <row r="223" spans="1:57" s="211" customFormat="1" ht="15.75" customHeight="1">
      <c r="A223" s="232"/>
      <c r="B223" s="233"/>
      <c r="C223" s="233"/>
      <c r="D223" s="233"/>
      <c r="E223" s="233"/>
      <c r="F223" s="233"/>
      <c r="G223" s="234"/>
      <c r="H223" s="23">
        <v>9</v>
      </c>
      <c r="I223" s="64" t="str">
        <f t="shared" si="104"/>
        <v>MR.KPBS.P080</v>
      </c>
      <c r="J223" s="64">
        <f t="shared" si="104"/>
        <v>0.70860135700000004</v>
      </c>
      <c r="K223" s="64">
        <f t="shared" si="104"/>
        <v>124.3229501751</v>
      </c>
      <c r="L223" s="64" t="str">
        <f t="shared" si="104"/>
        <v>JL. RAYA POYOWA BESAR</v>
      </c>
      <c r="M223" s="64" t="str">
        <f t="shared" si="104"/>
        <v>SULAWESI UTARA</v>
      </c>
      <c r="N223" s="65" t="s">
        <v>105</v>
      </c>
      <c r="O223" s="66" t="s">
        <v>118</v>
      </c>
      <c r="P223" s="65" t="s">
        <v>119</v>
      </c>
      <c r="Q223" s="66">
        <v>95717</v>
      </c>
      <c r="R223" s="67"/>
      <c r="S223" s="68"/>
      <c r="T223" s="68"/>
      <c r="U223" s="68"/>
      <c r="V223" s="68"/>
      <c r="W223" s="65" t="s">
        <v>105</v>
      </c>
      <c r="X223" s="64"/>
      <c r="Y223" s="64" t="s">
        <v>106</v>
      </c>
      <c r="Z223" s="64" t="str">
        <f t="shared" si="97"/>
        <v>KELURAHAN POYOWA BESAR SATU KOTAMOBAGU</v>
      </c>
      <c r="AA223" s="65"/>
      <c r="AB223" s="65"/>
      <c r="AC223" s="65" t="s">
        <v>70</v>
      </c>
      <c r="AD223" s="64" t="str">
        <f t="shared" si="105"/>
        <v>POYOWA BESAR</v>
      </c>
      <c r="AE223" s="67"/>
      <c r="AF223" s="67"/>
      <c r="AG223" s="67"/>
      <c r="AH223" s="67"/>
      <c r="AI223" s="69"/>
      <c r="AJ223" s="11" t="s">
        <v>817</v>
      </c>
      <c r="AK223" s="65" t="s">
        <v>96</v>
      </c>
      <c r="AL223" s="65"/>
      <c r="AM223" s="176"/>
      <c r="AN223" s="176"/>
      <c r="AO223" s="176"/>
      <c r="AP223" s="176"/>
      <c r="AQ223" s="177" t="s">
        <v>97</v>
      </c>
      <c r="AR223" s="70" t="str">
        <f t="shared" si="98"/>
        <v>KTG.100.0101</v>
      </c>
      <c r="AS223" s="71" t="str">
        <f t="shared" si="92"/>
        <v>KPBS-2.020</v>
      </c>
      <c r="AT223" s="71" t="str">
        <f t="shared" si="92"/>
        <v>B08</v>
      </c>
      <c r="AU223" s="72"/>
      <c r="AV223" s="202">
        <v>0.70841333929999895</v>
      </c>
      <c r="AW223" s="202">
        <v>124.3229968369</v>
      </c>
      <c r="AX223" s="65" t="s">
        <v>98</v>
      </c>
      <c r="AY223" s="65" t="s">
        <v>94</v>
      </c>
      <c r="AZ223" s="65" t="s">
        <v>94</v>
      </c>
      <c r="BA223" s="73" t="s">
        <v>77</v>
      </c>
      <c r="BB223" s="65" t="s">
        <v>98</v>
      </c>
      <c r="BC223" s="65">
        <v>31</v>
      </c>
      <c r="BD223" s="65" t="s">
        <v>98</v>
      </c>
      <c r="BE223" s="211" t="str">
        <f t="shared" si="103"/>
        <v>617, POYOWA BESAR,</v>
      </c>
    </row>
    <row r="224" spans="1:57" s="211" customFormat="1" ht="15.75" customHeight="1">
      <c r="A224" s="232"/>
      <c r="B224" s="233"/>
      <c r="C224" s="233"/>
      <c r="D224" s="233"/>
      <c r="E224" s="233"/>
      <c r="F224" s="233"/>
      <c r="G224" s="234"/>
      <c r="H224" s="23">
        <v>10</v>
      </c>
      <c r="I224" s="64" t="str">
        <f t="shared" si="104"/>
        <v>MR.KPBS.P080</v>
      </c>
      <c r="J224" s="64">
        <f t="shared" si="104"/>
        <v>0.70860135700000004</v>
      </c>
      <c r="K224" s="64">
        <f t="shared" si="104"/>
        <v>124.3229501751</v>
      </c>
      <c r="L224" s="64" t="str">
        <f t="shared" si="104"/>
        <v>JL. RAYA POYOWA BESAR</v>
      </c>
      <c r="M224" s="64" t="str">
        <f t="shared" si="104"/>
        <v>SULAWESI UTARA</v>
      </c>
      <c r="N224" s="65" t="s">
        <v>105</v>
      </c>
      <c r="O224" s="66" t="s">
        <v>118</v>
      </c>
      <c r="P224" s="65" t="s">
        <v>119</v>
      </c>
      <c r="Q224" s="66">
        <v>95717</v>
      </c>
      <c r="R224" s="67"/>
      <c r="S224" s="68"/>
      <c r="T224" s="68"/>
      <c r="U224" s="68"/>
      <c r="V224" s="68"/>
      <c r="W224" s="65" t="s">
        <v>105</v>
      </c>
      <c r="X224" s="64"/>
      <c r="Y224" s="64" t="s">
        <v>106</v>
      </c>
      <c r="Z224" s="64" t="str">
        <f t="shared" si="97"/>
        <v>KELURAHAN POYOWA BESAR SATU KOTAMOBAGU</v>
      </c>
      <c r="AA224" s="65"/>
      <c r="AB224" s="65"/>
      <c r="AC224" s="65" t="s">
        <v>70</v>
      </c>
      <c r="AD224" s="64" t="str">
        <f t="shared" si="105"/>
        <v>POYOWA BESAR</v>
      </c>
      <c r="AE224" s="67"/>
      <c r="AF224" s="67"/>
      <c r="AG224" s="67"/>
      <c r="AH224" s="67"/>
      <c r="AI224" s="69"/>
      <c r="AJ224" s="11" t="s">
        <v>818</v>
      </c>
      <c r="AK224" s="65" t="s">
        <v>96</v>
      </c>
      <c r="AL224" s="65"/>
      <c r="AM224" s="176"/>
      <c r="AN224" s="176"/>
      <c r="AO224" s="176"/>
      <c r="AP224" s="176"/>
      <c r="AQ224" s="177" t="s">
        <v>97</v>
      </c>
      <c r="AR224" s="70" t="str">
        <f t="shared" si="98"/>
        <v>KTG.100.0101</v>
      </c>
      <c r="AS224" s="71" t="str">
        <f t="shared" si="92"/>
        <v>KPBS-2.020</v>
      </c>
      <c r="AT224" s="71" t="str">
        <f t="shared" si="92"/>
        <v>B08</v>
      </c>
      <c r="AU224" s="72"/>
      <c r="AV224" s="202">
        <v>0.70842832479999995</v>
      </c>
      <c r="AW224" s="202">
        <v>124.32275948420001</v>
      </c>
      <c r="AX224" s="65" t="s">
        <v>98</v>
      </c>
      <c r="AY224" s="65" t="s">
        <v>94</v>
      </c>
      <c r="AZ224" s="65" t="s">
        <v>94</v>
      </c>
      <c r="BA224" s="73" t="s">
        <v>77</v>
      </c>
      <c r="BB224" s="65" t="s">
        <v>98</v>
      </c>
      <c r="BC224" s="65">
        <v>31</v>
      </c>
      <c r="BD224" s="65" t="s">
        <v>98</v>
      </c>
      <c r="BE224" s="211" t="str">
        <f t="shared" si="103"/>
        <v>608, POYOWA BESAR,</v>
      </c>
    </row>
    <row r="225" spans="1:57" s="211" customFormat="1" ht="15.75" customHeight="1">
      <c r="A225" s="232"/>
      <c r="B225" s="233"/>
      <c r="C225" s="233"/>
      <c r="D225" s="233"/>
      <c r="E225" s="233"/>
      <c r="F225" s="233"/>
      <c r="G225" s="234"/>
      <c r="H225" s="23">
        <v>11</v>
      </c>
      <c r="I225" s="64" t="str">
        <f t="shared" si="104"/>
        <v>MR.KPBS.P080</v>
      </c>
      <c r="J225" s="64">
        <f t="shared" si="104"/>
        <v>0.70860135700000004</v>
      </c>
      <c r="K225" s="64">
        <f t="shared" si="104"/>
        <v>124.3229501751</v>
      </c>
      <c r="L225" s="64" t="str">
        <f t="shared" si="104"/>
        <v>JL. RAYA POYOWA BESAR</v>
      </c>
      <c r="M225" s="64" t="str">
        <f t="shared" si="104"/>
        <v>SULAWESI UTARA</v>
      </c>
      <c r="N225" s="65" t="s">
        <v>105</v>
      </c>
      <c r="O225" s="66" t="s">
        <v>118</v>
      </c>
      <c r="P225" s="65" t="s">
        <v>119</v>
      </c>
      <c r="Q225" s="66">
        <v>95717</v>
      </c>
      <c r="R225" s="67"/>
      <c r="S225" s="68"/>
      <c r="T225" s="68"/>
      <c r="U225" s="68"/>
      <c r="V225" s="68"/>
      <c r="W225" s="65" t="s">
        <v>105</v>
      </c>
      <c r="X225" s="64"/>
      <c r="Y225" s="64" t="s">
        <v>106</v>
      </c>
      <c r="Z225" s="64" t="str">
        <f t="shared" si="97"/>
        <v>KELURAHAN POYOWA BESAR SATU KOTAMOBAGU</v>
      </c>
      <c r="AA225" s="65"/>
      <c r="AB225" s="65"/>
      <c r="AC225" s="65" t="s">
        <v>70</v>
      </c>
      <c r="AD225" s="64" t="str">
        <f t="shared" si="105"/>
        <v>POYOWA BESAR</v>
      </c>
      <c r="AE225" s="67"/>
      <c r="AF225" s="67"/>
      <c r="AG225" s="67"/>
      <c r="AH225" s="67"/>
      <c r="AI225" s="69"/>
      <c r="AJ225" s="11" t="s">
        <v>819</v>
      </c>
      <c r="AK225" s="65" t="s">
        <v>96</v>
      </c>
      <c r="AL225" s="65"/>
      <c r="AM225" s="176"/>
      <c r="AN225" s="176"/>
      <c r="AO225" s="176"/>
      <c r="AP225" s="176"/>
      <c r="AQ225" s="177" t="s">
        <v>97</v>
      </c>
      <c r="AR225" s="70" t="str">
        <f t="shared" si="98"/>
        <v>KTG.100.0101</v>
      </c>
      <c r="AS225" s="71" t="str">
        <f t="shared" si="92"/>
        <v>KPBS-2.020</v>
      </c>
      <c r="AT225" s="71" t="str">
        <f t="shared" si="92"/>
        <v>B08</v>
      </c>
      <c r="AU225" s="72"/>
      <c r="AV225" s="202">
        <v>0.70835982450000001</v>
      </c>
      <c r="AW225" s="202">
        <v>124.3229745867</v>
      </c>
      <c r="AX225" s="65" t="s">
        <v>98</v>
      </c>
      <c r="AY225" s="65" t="s">
        <v>94</v>
      </c>
      <c r="AZ225" s="65" t="s">
        <v>94</v>
      </c>
      <c r="BA225" s="73" t="s">
        <v>77</v>
      </c>
      <c r="BB225" s="65" t="s">
        <v>98</v>
      </c>
      <c r="BC225" s="65">
        <v>31</v>
      </c>
      <c r="BD225" s="65" t="s">
        <v>98</v>
      </c>
      <c r="BE225" s="211" t="str">
        <f t="shared" si="103"/>
        <v>618, POYOWA BESAR,</v>
      </c>
    </row>
    <row r="226" spans="1:57" s="211" customFormat="1" ht="15.75" customHeight="1">
      <c r="A226" s="232"/>
      <c r="B226" s="233"/>
      <c r="C226" s="233"/>
      <c r="D226" s="233"/>
      <c r="E226" s="233"/>
      <c r="F226" s="233"/>
      <c r="G226" s="234"/>
      <c r="H226" s="23">
        <v>12</v>
      </c>
      <c r="I226" s="64" t="str">
        <f t="shared" si="104"/>
        <v>MR.KPBS.P080</v>
      </c>
      <c r="J226" s="64">
        <f t="shared" si="104"/>
        <v>0.70860135700000004</v>
      </c>
      <c r="K226" s="64">
        <f t="shared" si="104"/>
        <v>124.3229501751</v>
      </c>
      <c r="L226" s="64" t="str">
        <f t="shared" si="104"/>
        <v>JL. RAYA POYOWA BESAR</v>
      </c>
      <c r="M226" s="64" t="str">
        <f t="shared" si="104"/>
        <v>SULAWESI UTARA</v>
      </c>
      <c r="N226" s="65" t="s">
        <v>105</v>
      </c>
      <c r="O226" s="66" t="s">
        <v>118</v>
      </c>
      <c r="P226" s="65" t="s">
        <v>119</v>
      </c>
      <c r="Q226" s="66">
        <v>95717</v>
      </c>
      <c r="R226" s="67"/>
      <c r="S226" s="68"/>
      <c r="T226" s="68"/>
      <c r="U226" s="68"/>
      <c r="V226" s="68"/>
      <c r="W226" s="65" t="s">
        <v>105</v>
      </c>
      <c r="X226" s="64"/>
      <c r="Y226" s="64" t="s">
        <v>106</v>
      </c>
      <c r="Z226" s="64" t="str">
        <f t="shared" si="97"/>
        <v>KELURAHAN POYOWA BESAR SATU KOTAMOBAGU</v>
      </c>
      <c r="AA226" s="65"/>
      <c r="AB226" s="65"/>
      <c r="AC226" s="65" t="s">
        <v>70</v>
      </c>
      <c r="AD226" s="64" t="str">
        <f t="shared" si="105"/>
        <v>POYOWA BESAR</v>
      </c>
      <c r="AE226" s="67"/>
      <c r="AF226" s="67"/>
      <c r="AG226" s="67"/>
      <c r="AH226" s="67"/>
      <c r="AI226" s="69"/>
      <c r="AJ226" s="11" t="s">
        <v>820</v>
      </c>
      <c r="AK226" s="65" t="s">
        <v>96</v>
      </c>
      <c r="AL226" s="65"/>
      <c r="AM226" s="176"/>
      <c r="AN226" s="176"/>
      <c r="AO226" s="176"/>
      <c r="AP226" s="176"/>
      <c r="AQ226" s="177" t="s">
        <v>97</v>
      </c>
      <c r="AR226" s="70" t="str">
        <f t="shared" si="98"/>
        <v>KTG.100.0101</v>
      </c>
      <c r="AS226" s="71" t="str">
        <f t="shared" si="92"/>
        <v>KPBS-2.020</v>
      </c>
      <c r="AT226" s="71" t="str">
        <f t="shared" si="92"/>
        <v>B08</v>
      </c>
      <c r="AU226" s="72"/>
      <c r="AV226" s="202">
        <v>0.70835822869999998</v>
      </c>
      <c r="AW226" s="202">
        <v>124.3227016317</v>
      </c>
      <c r="AX226" s="65" t="s">
        <v>98</v>
      </c>
      <c r="AY226" s="65" t="s">
        <v>94</v>
      </c>
      <c r="AZ226" s="65" t="s">
        <v>94</v>
      </c>
      <c r="BA226" s="73" t="s">
        <v>77</v>
      </c>
      <c r="BB226" s="65" t="s">
        <v>98</v>
      </c>
      <c r="BC226" s="65">
        <v>31</v>
      </c>
      <c r="BD226" s="65" t="s">
        <v>98</v>
      </c>
      <c r="BE226" s="211" t="str">
        <f t="shared" si="103"/>
        <v>609, POYOWA BESAR,</v>
      </c>
    </row>
    <row r="227" spans="1:57" s="211" customFormat="1" ht="15.75" customHeight="1">
      <c r="A227" s="232"/>
      <c r="B227" s="233"/>
      <c r="C227" s="233"/>
      <c r="D227" s="233"/>
      <c r="E227" s="233"/>
      <c r="F227" s="233"/>
      <c r="G227" s="234"/>
      <c r="H227" s="23">
        <v>13</v>
      </c>
      <c r="I227" s="64" t="str">
        <f t="shared" si="104"/>
        <v>MR.KPBS.P080</v>
      </c>
      <c r="J227" s="64">
        <f t="shared" si="104"/>
        <v>0.70860135700000004</v>
      </c>
      <c r="K227" s="64">
        <f t="shared" si="104"/>
        <v>124.3229501751</v>
      </c>
      <c r="L227" s="64" t="str">
        <f t="shared" si="104"/>
        <v>JL. RAYA POYOWA BESAR</v>
      </c>
      <c r="M227" s="64" t="str">
        <f t="shared" si="104"/>
        <v>SULAWESI UTARA</v>
      </c>
      <c r="N227" s="65" t="s">
        <v>105</v>
      </c>
      <c r="O227" s="66" t="s">
        <v>118</v>
      </c>
      <c r="P227" s="65" t="s">
        <v>119</v>
      </c>
      <c r="Q227" s="66">
        <v>95717</v>
      </c>
      <c r="R227" s="67"/>
      <c r="S227" s="68"/>
      <c r="T227" s="68"/>
      <c r="U227" s="68"/>
      <c r="V227" s="68"/>
      <c r="W227" s="65" t="s">
        <v>105</v>
      </c>
      <c r="X227" s="64"/>
      <c r="Y227" s="64" t="s">
        <v>106</v>
      </c>
      <c r="Z227" s="64" t="str">
        <f t="shared" si="97"/>
        <v>KELURAHAN POYOWA BESAR SATU KOTAMOBAGU</v>
      </c>
      <c r="AA227" s="65"/>
      <c r="AB227" s="65"/>
      <c r="AC227" s="65" t="s">
        <v>70</v>
      </c>
      <c r="AD227" s="64" t="str">
        <f t="shared" si="105"/>
        <v>POYOWA BESAR</v>
      </c>
      <c r="AE227" s="67"/>
      <c r="AF227" s="67"/>
      <c r="AG227" s="67"/>
      <c r="AH227" s="67"/>
      <c r="AI227" s="69"/>
      <c r="AJ227" s="11" t="s">
        <v>821</v>
      </c>
      <c r="AK227" s="65" t="s">
        <v>96</v>
      </c>
      <c r="AL227" s="65"/>
      <c r="AM227" s="176"/>
      <c r="AN227" s="176"/>
      <c r="AO227" s="176"/>
      <c r="AP227" s="176"/>
      <c r="AQ227" s="177" t="s">
        <v>97</v>
      </c>
      <c r="AR227" s="70" t="str">
        <f t="shared" si="98"/>
        <v>KTG.100.0101</v>
      </c>
      <c r="AS227" s="71" t="str">
        <f t="shared" si="92"/>
        <v>KPBS-2.020</v>
      </c>
      <c r="AT227" s="71" t="str">
        <f t="shared" si="92"/>
        <v>B08</v>
      </c>
      <c r="AU227" s="72"/>
      <c r="AV227" s="202">
        <v>0.70830185019999903</v>
      </c>
      <c r="AW227" s="202">
        <v>124.3229923869</v>
      </c>
      <c r="AX227" s="65" t="s">
        <v>98</v>
      </c>
      <c r="AY227" s="65" t="s">
        <v>94</v>
      </c>
      <c r="AZ227" s="65" t="s">
        <v>94</v>
      </c>
      <c r="BA227" s="73" t="s">
        <v>77</v>
      </c>
      <c r="BB227" s="65" t="s">
        <v>98</v>
      </c>
      <c r="BC227" s="65">
        <v>31</v>
      </c>
      <c r="BD227" s="65" t="s">
        <v>98</v>
      </c>
      <c r="BE227" s="211" t="str">
        <f t="shared" si="103"/>
        <v>619, POYOWA BESAR,</v>
      </c>
    </row>
    <row r="228" spans="1:57" s="211" customFormat="1" ht="15.75" customHeight="1">
      <c r="A228" s="232"/>
      <c r="B228" s="233"/>
      <c r="C228" s="233"/>
      <c r="D228" s="233"/>
      <c r="E228" s="233"/>
      <c r="F228" s="233"/>
      <c r="G228" s="234"/>
      <c r="H228" s="23">
        <v>14</v>
      </c>
      <c r="I228" s="64" t="str">
        <f t="shared" si="104"/>
        <v>MR.KPBS.P080</v>
      </c>
      <c r="J228" s="64">
        <f t="shared" si="104"/>
        <v>0.70860135700000004</v>
      </c>
      <c r="K228" s="64">
        <f t="shared" si="104"/>
        <v>124.3229501751</v>
      </c>
      <c r="L228" s="64" t="str">
        <f t="shared" si="104"/>
        <v>JL. RAYA POYOWA BESAR</v>
      </c>
      <c r="M228" s="64" t="str">
        <f t="shared" si="104"/>
        <v>SULAWESI UTARA</v>
      </c>
      <c r="N228" s="65" t="s">
        <v>105</v>
      </c>
      <c r="O228" s="66" t="s">
        <v>118</v>
      </c>
      <c r="P228" s="65" t="s">
        <v>119</v>
      </c>
      <c r="Q228" s="66">
        <v>95717</v>
      </c>
      <c r="R228" s="67"/>
      <c r="S228" s="68"/>
      <c r="T228" s="74"/>
      <c r="U228" s="74"/>
      <c r="V228" s="74"/>
      <c r="W228" s="65" t="s">
        <v>105</v>
      </c>
      <c r="X228" s="64"/>
      <c r="Y228" s="64" t="s">
        <v>106</v>
      </c>
      <c r="Z228" s="64" t="str">
        <f t="shared" si="97"/>
        <v>KELURAHAN POYOWA BESAR SATU KOTAMOBAGU</v>
      </c>
      <c r="AA228" s="65"/>
      <c r="AB228" s="65"/>
      <c r="AC228" s="65" t="s">
        <v>70</v>
      </c>
      <c r="AD228" s="64" t="str">
        <f t="shared" si="105"/>
        <v>POYOWA BESAR</v>
      </c>
      <c r="AE228" s="75"/>
      <c r="AF228" s="75"/>
      <c r="AG228" s="75"/>
      <c r="AH228" s="75"/>
      <c r="AI228" s="69"/>
      <c r="AJ228" s="11" t="s">
        <v>822</v>
      </c>
      <c r="AK228" s="65" t="s">
        <v>96</v>
      </c>
      <c r="AL228" s="65"/>
      <c r="AM228" s="176"/>
      <c r="AN228" s="176"/>
      <c r="AO228" s="176"/>
      <c r="AP228" s="176"/>
      <c r="AQ228" s="186" t="s">
        <v>97</v>
      </c>
      <c r="AR228" s="70" t="str">
        <f t="shared" si="98"/>
        <v>KTG.100.0101</v>
      </c>
      <c r="AS228" s="71" t="str">
        <f t="shared" si="92"/>
        <v>KPBS-2.020</v>
      </c>
      <c r="AT228" s="71" t="str">
        <f t="shared" si="92"/>
        <v>B08</v>
      </c>
      <c r="AU228" s="72"/>
      <c r="AV228" s="202">
        <v>0.70823019760000006</v>
      </c>
      <c r="AW228" s="202">
        <v>124.3229819872</v>
      </c>
      <c r="AX228" s="65" t="s">
        <v>98</v>
      </c>
      <c r="AY228" s="65" t="s">
        <v>94</v>
      </c>
      <c r="AZ228" s="65" t="s">
        <v>94</v>
      </c>
      <c r="BA228" s="73" t="s">
        <v>77</v>
      </c>
      <c r="BB228" s="65" t="s">
        <v>98</v>
      </c>
      <c r="BC228" s="65">
        <v>31</v>
      </c>
      <c r="BD228" s="65" t="s">
        <v>98</v>
      </c>
      <c r="BE228" s="211" t="str">
        <f t="shared" si="103"/>
        <v>620, POYOWA BESAR,</v>
      </c>
    </row>
    <row r="229" spans="1:57" s="211" customFormat="1" ht="15.75" customHeight="1">
      <c r="A229" s="232"/>
      <c r="B229" s="233"/>
      <c r="C229" s="233"/>
      <c r="D229" s="233"/>
      <c r="E229" s="233"/>
      <c r="F229" s="233"/>
      <c r="G229" s="234"/>
      <c r="H229" s="23">
        <v>15</v>
      </c>
      <c r="I229" s="64" t="str">
        <f t="shared" si="104"/>
        <v>MR.KPBS.P080</v>
      </c>
      <c r="J229" s="64">
        <f t="shared" si="104"/>
        <v>0.70860135700000004</v>
      </c>
      <c r="K229" s="64">
        <f t="shared" si="104"/>
        <v>124.3229501751</v>
      </c>
      <c r="L229" s="64" t="str">
        <f t="shared" si="104"/>
        <v>JL. RAYA POYOWA BESAR</v>
      </c>
      <c r="M229" s="64" t="str">
        <f t="shared" si="104"/>
        <v>SULAWESI UTARA</v>
      </c>
      <c r="N229" s="65" t="s">
        <v>105</v>
      </c>
      <c r="O229" s="66" t="s">
        <v>118</v>
      </c>
      <c r="P229" s="65" t="s">
        <v>119</v>
      </c>
      <c r="Q229" s="66">
        <v>95717</v>
      </c>
      <c r="R229" s="67"/>
      <c r="S229" s="68"/>
      <c r="T229" s="68"/>
      <c r="U229" s="68"/>
      <c r="V229" s="68"/>
      <c r="W229" s="65" t="s">
        <v>105</v>
      </c>
      <c r="X229" s="64"/>
      <c r="Y229" s="64" t="s">
        <v>106</v>
      </c>
      <c r="Z229" s="64" t="str">
        <f t="shared" si="97"/>
        <v>KELURAHAN POYOWA BESAR SATU KOTAMOBAGU</v>
      </c>
      <c r="AA229" s="65"/>
      <c r="AB229" s="65"/>
      <c r="AC229" s="65" t="s">
        <v>70</v>
      </c>
      <c r="AD229" s="64" t="str">
        <f t="shared" si="105"/>
        <v>POYOWA BESAR</v>
      </c>
      <c r="AE229" s="67"/>
      <c r="AF229" s="67"/>
      <c r="AG229" s="67"/>
      <c r="AH229" s="67"/>
      <c r="AI229" s="69"/>
      <c r="AJ229" s="11" t="s">
        <v>823</v>
      </c>
      <c r="AK229" s="65" t="s">
        <v>96</v>
      </c>
      <c r="AL229" s="65"/>
      <c r="AM229" s="65"/>
      <c r="AN229" s="65"/>
      <c r="AO229" s="65"/>
      <c r="AP229" s="65"/>
      <c r="AQ229" s="177" t="s">
        <v>97</v>
      </c>
      <c r="AR229" s="70" t="str">
        <f t="shared" si="98"/>
        <v>KTG.100.0101</v>
      </c>
      <c r="AS229" s="71" t="str">
        <f t="shared" si="92"/>
        <v>KPBS-2.020</v>
      </c>
      <c r="AT229" s="71" t="str">
        <f t="shared" si="92"/>
        <v>B08</v>
      </c>
      <c r="AU229" s="72"/>
      <c r="AV229" s="202">
        <v>0.70826855850000003</v>
      </c>
      <c r="AW229" s="202">
        <v>124.32270013749999</v>
      </c>
      <c r="AX229" s="65" t="s">
        <v>98</v>
      </c>
      <c r="AY229" s="65" t="s">
        <v>94</v>
      </c>
      <c r="AZ229" s="65" t="s">
        <v>94</v>
      </c>
      <c r="BA229" s="73" t="s">
        <v>77</v>
      </c>
      <c r="BB229" s="65" t="s">
        <v>98</v>
      </c>
      <c r="BC229" s="65">
        <v>31</v>
      </c>
      <c r="BD229" s="65" t="s">
        <v>98</v>
      </c>
      <c r="BE229" s="211" t="str">
        <f t="shared" si="103"/>
        <v>622, POYOWA BESAR,</v>
      </c>
    </row>
    <row r="230" spans="1:57" s="211" customFormat="1" ht="15.75" customHeight="1">
      <c r="A230" s="232"/>
      <c r="B230" s="233"/>
      <c r="C230" s="233"/>
      <c r="D230" s="233"/>
      <c r="E230" s="233"/>
      <c r="F230" s="233"/>
      <c r="G230" s="234"/>
      <c r="H230" s="23">
        <v>16</v>
      </c>
      <c r="I230" s="64" t="str">
        <f t="shared" si="104"/>
        <v>MR.KPBS.P080</v>
      </c>
      <c r="J230" s="64">
        <f t="shared" si="104"/>
        <v>0.70860135700000004</v>
      </c>
      <c r="K230" s="64">
        <f t="shared" si="104"/>
        <v>124.3229501751</v>
      </c>
      <c r="L230" s="64" t="str">
        <f t="shared" si="104"/>
        <v>JL. RAYA POYOWA BESAR</v>
      </c>
      <c r="M230" s="64" t="str">
        <f t="shared" si="104"/>
        <v>SULAWESI UTARA</v>
      </c>
      <c r="N230" s="65" t="s">
        <v>105</v>
      </c>
      <c r="O230" s="66" t="s">
        <v>118</v>
      </c>
      <c r="P230" s="65" t="s">
        <v>119</v>
      </c>
      <c r="Q230" s="66">
        <v>95717</v>
      </c>
      <c r="R230" s="67"/>
      <c r="S230" s="68"/>
      <c r="T230" s="68"/>
      <c r="U230" s="68"/>
      <c r="V230" s="68"/>
      <c r="W230" s="64" t="s">
        <v>105</v>
      </c>
      <c r="X230" s="64"/>
      <c r="Y230" s="64" t="s">
        <v>106</v>
      </c>
      <c r="Z230" s="64" t="str">
        <f t="shared" si="97"/>
        <v>KELURAHAN POYOWA BESAR SATU KOTAMOBAGU</v>
      </c>
      <c r="AA230" s="65"/>
      <c r="AB230" s="65"/>
      <c r="AC230" s="65" t="s">
        <v>70</v>
      </c>
      <c r="AD230" s="64" t="str">
        <f t="shared" si="105"/>
        <v>POYOWA BESAR</v>
      </c>
      <c r="AE230" s="67"/>
      <c r="AF230" s="67"/>
      <c r="AG230" s="67"/>
      <c r="AH230" s="67"/>
      <c r="AI230" s="69"/>
      <c r="AJ230" s="11" t="s">
        <v>824</v>
      </c>
      <c r="AK230" s="65" t="s">
        <v>96</v>
      </c>
      <c r="AL230" s="65"/>
      <c r="AM230" s="65"/>
      <c r="AN230" s="65"/>
      <c r="AO230" s="65"/>
      <c r="AP230" s="65"/>
      <c r="AQ230" s="177" t="s">
        <v>97</v>
      </c>
      <c r="AR230" s="70" t="str">
        <f t="shared" si="98"/>
        <v>KTG.100.0101</v>
      </c>
      <c r="AS230" s="71" t="str">
        <f t="shared" si="92"/>
        <v>KPBS-2.020</v>
      </c>
      <c r="AT230" s="71" t="str">
        <f t="shared" si="92"/>
        <v>B08</v>
      </c>
      <c r="AU230" s="72"/>
      <c r="AV230" s="202">
        <v>0.70820165889999998</v>
      </c>
      <c r="AW230" s="202">
        <v>124.3227105208</v>
      </c>
      <c r="AX230" s="65" t="s">
        <v>98</v>
      </c>
      <c r="AY230" s="65" t="s">
        <v>94</v>
      </c>
      <c r="AZ230" s="65" t="s">
        <v>94</v>
      </c>
      <c r="BA230" s="73" t="s">
        <v>77</v>
      </c>
      <c r="BB230" s="65" t="s">
        <v>98</v>
      </c>
      <c r="BC230" s="65">
        <v>31</v>
      </c>
      <c r="BD230" s="65" t="s">
        <v>98</v>
      </c>
      <c r="BE230" s="211" t="str">
        <f t="shared" si="103"/>
        <v>623, POYOWA BESAR,</v>
      </c>
    </row>
    <row r="231" spans="1:57" s="211" customFormat="1" ht="15.75" customHeight="1">
      <c r="A231" s="40" t="s">
        <v>100</v>
      </c>
      <c r="B231" s="40">
        <f>B215+1</f>
        <v>17</v>
      </c>
      <c r="C231" s="32" t="s">
        <v>99</v>
      </c>
      <c r="D231" s="32" t="s">
        <v>351</v>
      </c>
      <c r="E231" s="120">
        <v>2</v>
      </c>
      <c r="F231" s="43">
        <f>F216+1</f>
        <v>19</v>
      </c>
      <c r="G231" s="214" t="s">
        <v>89</v>
      </c>
      <c r="H231" s="146">
        <v>1</v>
      </c>
      <c r="I231" s="119" t="s">
        <v>254</v>
      </c>
      <c r="J231" s="119">
        <v>0.70815593290000001</v>
      </c>
      <c r="K231" s="119">
        <v>124.3228381074</v>
      </c>
      <c r="L231" s="113" t="s">
        <v>116</v>
      </c>
      <c r="M231" s="119" t="str">
        <f t="shared" ref="M231" si="106">M230</f>
        <v>SULAWESI UTARA</v>
      </c>
      <c r="N231" s="14" t="s">
        <v>105</v>
      </c>
      <c r="O231" s="84" t="s">
        <v>118</v>
      </c>
      <c r="P231" s="14" t="s">
        <v>119</v>
      </c>
      <c r="Q231" s="84">
        <v>95717</v>
      </c>
      <c r="R231" s="147"/>
      <c r="S231" s="148"/>
      <c r="T231" s="148"/>
      <c r="U231" s="148"/>
      <c r="V231" s="148"/>
      <c r="W231" s="14" t="s">
        <v>105</v>
      </c>
      <c r="X231" s="119"/>
      <c r="Y231" s="119" t="s">
        <v>106</v>
      </c>
      <c r="Z231" s="119" t="str">
        <f t="shared" si="97"/>
        <v>KELURAHAN POYOWA BESAR SATU KOTAMOBAGU</v>
      </c>
      <c r="AA231" s="14"/>
      <c r="AB231" s="14"/>
      <c r="AC231" s="14" t="s">
        <v>70</v>
      </c>
      <c r="AD231" s="113" t="s">
        <v>119</v>
      </c>
      <c r="AE231" s="147"/>
      <c r="AF231" s="147"/>
      <c r="AG231" s="147"/>
      <c r="AH231" s="147"/>
      <c r="AI231" s="149"/>
      <c r="AJ231" s="115" t="s">
        <v>825</v>
      </c>
      <c r="AK231" s="14" t="s">
        <v>96</v>
      </c>
      <c r="AL231" s="14"/>
      <c r="AM231" s="197"/>
      <c r="AN231" s="197"/>
      <c r="AO231" s="197"/>
      <c r="AP231" s="197"/>
      <c r="AQ231" s="198" t="s">
        <v>97</v>
      </c>
      <c r="AR231" s="92" t="str">
        <f t="shared" si="98"/>
        <v>KTG.100.0101</v>
      </c>
      <c r="AS231" s="150" t="str">
        <f>AS215</f>
        <v>KPBS-2.020</v>
      </c>
      <c r="AT231" s="150" t="str">
        <f>G231</f>
        <v>B09</v>
      </c>
      <c r="AU231" s="151"/>
      <c r="AV231" s="203">
        <v>0.70804558029999898</v>
      </c>
      <c r="AW231" s="203">
        <v>124.3229122549</v>
      </c>
      <c r="AX231" s="14" t="s">
        <v>98</v>
      </c>
      <c r="AY231" s="14" t="s">
        <v>94</v>
      </c>
      <c r="AZ231" s="14" t="s">
        <v>94</v>
      </c>
      <c r="BA231" s="96" t="s">
        <v>77</v>
      </c>
      <c r="BB231" s="14" t="s">
        <v>98</v>
      </c>
      <c r="BC231" s="14">
        <v>31</v>
      </c>
      <c r="BD231" s="14" t="s">
        <v>98</v>
      </c>
      <c r="BE231" s="211" t="str">
        <f t="shared" si="103"/>
        <v>627, POYOWA BESAR,</v>
      </c>
    </row>
    <row r="232" spans="1:57" s="211" customFormat="1" ht="15.75" customHeight="1">
      <c r="A232" s="24"/>
      <c r="B232" s="24"/>
      <c r="C232" s="22" t="s">
        <v>99</v>
      </c>
      <c r="D232" s="22" t="s">
        <v>351</v>
      </c>
      <c r="E232" s="32">
        <v>2</v>
      </c>
      <c r="F232" s="25">
        <f>F231+1</f>
        <v>20</v>
      </c>
      <c r="G232" s="235"/>
      <c r="H232" s="23">
        <v>2</v>
      </c>
      <c r="I232" s="64" t="str">
        <f t="shared" ref="I232:M242" si="107">I231</f>
        <v>MR.KPBS.P082</v>
      </c>
      <c r="J232" s="64">
        <f t="shared" si="107"/>
        <v>0.70815593290000001</v>
      </c>
      <c r="K232" s="64">
        <f t="shared" si="107"/>
        <v>124.3228381074</v>
      </c>
      <c r="L232" s="64" t="str">
        <f t="shared" si="107"/>
        <v>JL. RAYA POYOWA BESAR</v>
      </c>
      <c r="M232" s="64" t="str">
        <f t="shared" si="107"/>
        <v>SULAWESI UTARA</v>
      </c>
      <c r="N232" s="65" t="s">
        <v>105</v>
      </c>
      <c r="O232" s="66" t="s">
        <v>118</v>
      </c>
      <c r="P232" s="65" t="s">
        <v>119</v>
      </c>
      <c r="Q232" s="66">
        <v>95717</v>
      </c>
      <c r="R232" s="67"/>
      <c r="S232" s="68"/>
      <c r="T232" s="68"/>
      <c r="U232" s="68"/>
      <c r="V232" s="68"/>
      <c r="W232" s="65" t="s">
        <v>105</v>
      </c>
      <c r="X232" s="64"/>
      <c r="Y232" s="64" t="s">
        <v>106</v>
      </c>
      <c r="Z232" s="64" t="str">
        <f t="shared" si="97"/>
        <v>KELURAHAN POYOWA BESAR SATU KOTAMOBAGU</v>
      </c>
      <c r="AA232" s="65"/>
      <c r="AB232" s="65"/>
      <c r="AC232" s="65" t="s">
        <v>70</v>
      </c>
      <c r="AD232" s="64" t="str">
        <f t="shared" ref="AD232:AD242" si="108">AD231</f>
        <v>POYOWA BESAR</v>
      </c>
      <c r="AE232" s="67"/>
      <c r="AF232" s="67"/>
      <c r="AG232" s="67"/>
      <c r="AH232" s="67"/>
      <c r="AI232" s="69"/>
      <c r="AJ232" s="11" t="s">
        <v>826</v>
      </c>
      <c r="AK232" s="65" t="s">
        <v>96</v>
      </c>
      <c r="AL232" s="65"/>
      <c r="AM232" s="176"/>
      <c r="AN232" s="176"/>
      <c r="AO232" s="176"/>
      <c r="AP232" s="176"/>
      <c r="AQ232" s="177" t="s">
        <v>97</v>
      </c>
      <c r="AR232" s="70" t="str">
        <f t="shared" si="98"/>
        <v>KTG.100.0101</v>
      </c>
      <c r="AS232" s="71" t="str">
        <f t="shared" si="92"/>
        <v>KPBS-2.020</v>
      </c>
      <c r="AT232" s="71" t="str">
        <f t="shared" si="92"/>
        <v>B09</v>
      </c>
      <c r="AU232" s="72"/>
      <c r="AV232" s="202">
        <v>0.70816627730000004</v>
      </c>
      <c r="AW232" s="202">
        <v>124.3229582539</v>
      </c>
      <c r="AX232" s="65" t="s">
        <v>98</v>
      </c>
      <c r="AY232" s="65" t="s">
        <v>94</v>
      </c>
      <c r="AZ232" s="65" t="s">
        <v>94</v>
      </c>
      <c r="BA232" s="73" t="s">
        <v>77</v>
      </c>
      <c r="BB232" s="65" t="s">
        <v>98</v>
      </c>
      <c r="BC232" s="65">
        <v>31</v>
      </c>
      <c r="BD232" s="65" t="s">
        <v>98</v>
      </c>
      <c r="BE232" s="211" t="str">
        <f t="shared" si="103"/>
        <v>621, POYOWA BESAR,</v>
      </c>
    </row>
    <row r="233" spans="1:57" s="211" customFormat="1" ht="15.75" customHeight="1">
      <c r="A233" s="222"/>
      <c r="B233" s="222"/>
      <c r="C233" s="222"/>
      <c r="D233" s="222"/>
      <c r="E233" s="222"/>
      <c r="F233" s="222"/>
      <c r="G233" s="223"/>
      <c r="H233" s="23">
        <v>3</v>
      </c>
      <c r="I233" s="64" t="str">
        <f t="shared" si="107"/>
        <v>MR.KPBS.P082</v>
      </c>
      <c r="J233" s="64">
        <f t="shared" si="107"/>
        <v>0.70815593290000001</v>
      </c>
      <c r="K233" s="64">
        <f t="shared" si="107"/>
        <v>124.3228381074</v>
      </c>
      <c r="L233" s="64" t="str">
        <f t="shared" si="107"/>
        <v>JL. RAYA POYOWA BESAR</v>
      </c>
      <c r="M233" s="64" t="str">
        <f t="shared" si="107"/>
        <v>SULAWESI UTARA</v>
      </c>
      <c r="N233" s="65" t="s">
        <v>105</v>
      </c>
      <c r="O233" s="66" t="s">
        <v>118</v>
      </c>
      <c r="P233" s="65" t="s">
        <v>119</v>
      </c>
      <c r="Q233" s="66">
        <v>95717</v>
      </c>
      <c r="R233" s="67"/>
      <c r="S233" s="68"/>
      <c r="T233" s="68"/>
      <c r="U233" s="68"/>
      <c r="V233" s="68"/>
      <c r="W233" s="65" t="s">
        <v>105</v>
      </c>
      <c r="X233" s="64"/>
      <c r="Y233" s="64" t="s">
        <v>106</v>
      </c>
      <c r="Z233" s="64" t="str">
        <f t="shared" si="97"/>
        <v>KELURAHAN POYOWA BESAR SATU KOTAMOBAGU</v>
      </c>
      <c r="AA233" s="65"/>
      <c r="AB233" s="65"/>
      <c r="AC233" s="65" t="s">
        <v>70</v>
      </c>
      <c r="AD233" s="64" t="str">
        <f t="shared" si="108"/>
        <v>POYOWA BESAR</v>
      </c>
      <c r="AE233" s="67"/>
      <c r="AF233" s="67"/>
      <c r="AG233" s="67"/>
      <c r="AH233" s="67"/>
      <c r="AI233" s="69"/>
      <c r="AJ233" s="11" t="s">
        <v>827</v>
      </c>
      <c r="AK233" s="65" t="s">
        <v>96</v>
      </c>
      <c r="AL233" s="65"/>
      <c r="AM233" s="176"/>
      <c r="AN233" s="176"/>
      <c r="AO233" s="176"/>
      <c r="AP233" s="176"/>
      <c r="AQ233" s="177" t="s">
        <v>97</v>
      </c>
      <c r="AR233" s="70" t="str">
        <f t="shared" si="98"/>
        <v>KTG.100.0101</v>
      </c>
      <c r="AS233" s="71" t="str">
        <f t="shared" si="92"/>
        <v>KPBS-2.020</v>
      </c>
      <c r="AT233" s="71" t="str">
        <f t="shared" si="92"/>
        <v>B09</v>
      </c>
      <c r="AU233" s="72"/>
      <c r="AV233" s="202">
        <v>0.70811247369999897</v>
      </c>
      <c r="AW233" s="202">
        <v>124.3229315384</v>
      </c>
      <c r="AX233" s="65" t="s">
        <v>98</v>
      </c>
      <c r="AY233" s="65" t="s">
        <v>94</v>
      </c>
      <c r="AZ233" s="65" t="s">
        <v>94</v>
      </c>
      <c r="BA233" s="73" t="s">
        <v>77</v>
      </c>
      <c r="BB233" s="65" t="s">
        <v>98</v>
      </c>
      <c r="BC233" s="65">
        <v>31</v>
      </c>
      <c r="BD233" s="65" t="s">
        <v>98</v>
      </c>
      <c r="BE233" s="211" t="str">
        <f t="shared" si="103"/>
        <v>625, POYOWA BESAR,</v>
      </c>
    </row>
    <row r="234" spans="1:57" s="211" customFormat="1" ht="15.75" customHeight="1">
      <c r="A234" s="225"/>
      <c r="B234" s="225"/>
      <c r="C234" s="225"/>
      <c r="D234" s="225"/>
      <c r="E234" s="225"/>
      <c r="F234" s="225"/>
      <c r="G234" s="226"/>
      <c r="H234" s="23">
        <v>4</v>
      </c>
      <c r="I234" s="64" t="str">
        <f t="shared" si="107"/>
        <v>MR.KPBS.P082</v>
      </c>
      <c r="J234" s="64">
        <f t="shared" si="107"/>
        <v>0.70815593290000001</v>
      </c>
      <c r="K234" s="64">
        <f t="shared" si="107"/>
        <v>124.3228381074</v>
      </c>
      <c r="L234" s="64" t="str">
        <f t="shared" si="107"/>
        <v>JL. RAYA POYOWA BESAR</v>
      </c>
      <c r="M234" s="64" t="str">
        <f t="shared" si="107"/>
        <v>SULAWESI UTARA</v>
      </c>
      <c r="N234" s="65" t="s">
        <v>105</v>
      </c>
      <c r="O234" s="66" t="s">
        <v>118</v>
      </c>
      <c r="P234" s="65" t="s">
        <v>119</v>
      </c>
      <c r="Q234" s="66">
        <v>95717</v>
      </c>
      <c r="R234" s="67"/>
      <c r="S234" s="68"/>
      <c r="T234" s="68"/>
      <c r="U234" s="68"/>
      <c r="V234" s="68"/>
      <c r="W234" s="65" t="s">
        <v>105</v>
      </c>
      <c r="X234" s="64"/>
      <c r="Y234" s="64" t="s">
        <v>106</v>
      </c>
      <c r="Z234" s="64" t="str">
        <f t="shared" si="97"/>
        <v>KELURAHAN POYOWA BESAR SATU KOTAMOBAGU</v>
      </c>
      <c r="AA234" s="65"/>
      <c r="AB234" s="65"/>
      <c r="AC234" s="65" t="s">
        <v>70</v>
      </c>
      <c r="AD234" s="64" t="str">
        <f t="shared" si="108"/>
        <v>POYOWA BESAR</v>
      </c>
      <c r="AE234" s="67"/>
      <c r="AF234" s="67"/>
      <c r="AG234" s="67"/>
      <c r="AH234" s="67"/>
      <c r="AI234" s="69"/>
      <c r="AJ234" s="11" t="s">
        <v>828</v>
      </c>
      <c r="AK234" s="65" t="s">
        <v>96</v>
      </c>
      <c r="AL234" s="65"/>
      <c r="AM234" s="176"/>
      <c r="AN234" s="176"/>
      <c r="AO234" s="176"/>
      <c r="AP234" s="176"/>
      <c r="AQ234" s="177" t="s">
        <v>97</v>
      </c>
      <c r="AR234" s="70" t="str">
        <f t="shared" si="98"/>
        <v>KTG.100.0101</v>
      </c>
      <c r="AS234" s="71" t="str">
        <f t="shared" si="92"/>
        <v>KPBS-2.020</v>
      </c>
      <c r="AT234" s="71" t="str">
        <f t="shared" si="92"/>
        <v>B09</v>
      </c>
      <c r="AU234" s="72"/>
      <c r="AV234" s="202">
        <v>0.70812139289999998</v>
      </c>
      <c r="AW234" s="202">
        <v>124.3226942041</v>
      </c>
      <c r="AX234" s="65" t="s">
        <v>98</v>
      </c>
      <c r="AY234" s="65" t="s">
        <v>94</v>
      </c>
      <c r="AZ234" s="65" t="s">
        <v>94</v>
      </c>
      <c r="BA234" s="73" t="s">
        <v>77</v>
      </c>
      <c r="BB234" s="65" t="s">
        <v>98</v>
      </c>
      <c r="BC234" s="65">
        <v>31</v>
      </c>
      <c r="BD234" s="65" t="s">
        <v>98</v>
      </c>
      <c r="BE234" s="211" t="str">
        <f t="shared" si="103"/>
        <v>624, POYOWA BESAR,</v>
      </c>
    </row>
    <row r="235" spans="1:57" s="211" customFormat="1" ht="15.75" customHeight="1">
      <c r="A235" s="225"/>
      <c r="B235" s="225"/>
      <c r="C235" s="225"/>
      <c r="D235" s="225"/>
      <c r="E235" s="225"/>
      <c r="F235" s="225"/>
      <c r="G235" s="226"/>
      <c r="H235" s="23">
        <v>5</v>
      </c>
      <c r="I235" s="64" t="str">
        <f t="shared" si="107"/>
        <v>MR.KPBS.P082</v>
      </c>
      <c r="J235" s="64">
        <f t="shared" si="107"/>
        <v>0.70815593290000001</v>
      </c>
      <c r="K235" s="64">
        <f t="shared" si="107"/>
        <v>124.3228381074</v>
      </c>
      <c r="L235" s="64" t="str">
        <f t="shared" si="107"/>
        <v>JL. RAYA POYOWA BESAR</v>
      </c>
      <c r="M235" s="64" t="str">
        <f t="shared" si="107"/>
        <v>SULAWESI UTARA</v>
      </c>
      <c r="N235" s="65" t="s">
        <v>105</v>
      </c>
      <c r="O235" s="66" t="s">
        <v>118</v>
      </c>
      <c r="P235" s="65" t="s">
        <v>119</v>
      </c>
      <c r="Q235" s="66">
        <v>95717</v>
      </c>
      <c r="R235" s="67"/>
      <c r="S235" s="68"/>
      <c r="T235" s="68"/>
      <c r="U235" s="68"/>
      <c r="V235" s="68"/>
      <c r="W235" s="65" t="s">
        <v>105</v>
      </c>
      <c r="X235" s="64"/>
      <c r="Y235" s="64" t="s">
        <v>106</v>
      </c>
      <c r="Z235" s="64" t="str">
        <f t="shared" si="97"/>
        <v>KELURAHAN POYOWA BESAR SATU KOTAMOBAGU</v>
      </c>
      <c r="AA235" s="65"/>
      <c r="AB235" s="65"/>
      <c r="AC235" s="65" t="s">
        <v>70</v>
      </c>
      <c r="AD235" s="64" t="str">
        <f t="shared" si="108"/>
        <v>POYOWA BESAR</v>
      </c>
      <c r="AE235" s="67"/>
      <c r="AF235" s="67"/>
      <c r="AG235" s="67"/>
      <c r="AH235" s="67"/>
      <c r="AI235" s="69"/>
      <c r="AJ235" s="11" t="s">
        <v>829</v>
      </c>
      <c r="AK235" s="65" t="s">
        <v>96</v>
      </c>
      <c r="AL235" s="65"/>
      <c r="AM235" s="176"/>
      <c r="AN235" s="176"/>
      <c r="AO235" s="176"/>
      <c r="AP235" s="176"/>
      <c r="AQ235" s="177" t="s">
        <v>97</v>
      </c>
      <c r="AR235" s="70" t="str">
        <f t="shared" si="98"/>
        <v>KTG.100.0101</v>
      </c>
      <c r="AS235" s="71" t="str">
        <f t="shared" si="92"/>
        <v>KPBS-2.020</v>
      </c>
      <c r="AT235" s="71" t="str">
        <f t="shared" si="92"/>
        <v>B09</v>
      </c>
      <c r="AU235" s="72"/>
      <c r="AV235" s="202">
        <v>0.70804112060000002</v>
      </c>
      <c r="AW235" s="202">
        <v>124.3227105209</v>
      </c>
      <c r="AX235" s="65" t="s">
        <v>98</v>
      </c>
      <c r="AY235" s="65" t="s">
        <v>94</v>
      </c>
      <c r="AZ235" s="65" t="s">
        <v>94</v>
      </c>
      <c r="BA235" s="73" t="s">
        <v>77</v>
      </c>
      <c r="BB235" s="65" t="s">
        <v>98</v>
      </c>
      <c r="BC235" s="65">
        <v>31</v>
      </c>
      <c r="BD235" s="65" t="s">
        <v>98</v>
      </c>
      <c r="BE235" s="211" t="str">
        <f t="shared" si="103"/>
        <v>626, POYOWA BESAR,</v>
      </c>
    </row>
    <row r="236" spans="1:57" s="211" customFormat="1" ht="15.75" customHeight="1">
      <c r="A236" s="225"/>
      <c r="B236" s="225"/>
      <c r="C236" s="225"/>
      <c r="D236" s="225"/>
      <c r="E236" s="225"/>
      <c r="F236" s="225"/>
      <c r="G236" s="226"/>
      <c r="H236" s="23">
        <v>6</v>
      </c>
      <c r="I236" s="64" t="str">
        <f t="shared" si="107"/>
        <v>MR.KPBS.P082</v>
      </c>
      <c r="J236" s="64">
        <f t="shared" si="107"/>
        <v>0.70815593290000001</v>
      </c>
      <c r="K236" s="64">
        <f t="shared" si="107"/>
        <v>124.3228381074</v>
      </c>
      <c r="L236" s="64" t="str">
        <f t="shared" si="107"/>
        <v>JL. RAYA POYOWA BESAR</v>
      </c>
      <c r="M236" s="64" t="str">
        <f t="shared" si="107"/>
        <v>SULAWESI UTARA</v>
      </c>
      <c r="N236" s="65" t="s">
        <v>105</v>
      </c>
      <c r="O236" s="66" t="s">
        <v>118</v>
      </c>
      <c r="P236" s="65" t="s">
        <v>119</v>
      </c>
      <c r="Q236" s="66">
        <v>95717</v>
      </c>
      <c r="R236" s="67"/>
      <c r="S236" s="68"/>
      <c r="T236" s="74"/>
      <c r="U236" s="74"/>
      <c r="V236" s="74"/>
      <c r="W236" s="65" t="s">
        <v>105</v>
      </c>
      <c r="X236" s="64"/>
      <c r="Y236" s="64" t="s">
        <v>106</v>
      </c>
      <c r="Z236" s="64" t="str">
        <f t="shared" si="97"/>
        <v>KELURAHAN POYOWA BESAR SATU KOTAMOBAGU</v>
      </c>
      <c r="AA236" s="65"/>
      <c r="AB236" s="65"/>
      <c r="AC236" s="65" t="s">
        <v>70</v>
      </c>
      <c r="AD236" s="64" t="str">
        <f t="shared" si="108"/>
        <v>POYOWA BESAR</v>
      </c>
      <c r="AE236" s="75"/>
      <c r="AF236" s="75"/>
      <c r="AG236" s="75"/>
      <c r="AH236" s="75"/>
      <c r="AI236" s="69"/>
      <c r="AJ236" s="11" t="s">
        <v>830</v>
      </c>
      <c r="AK236" s="65" t="s">
        <v>96</v>
      </c>
      <c r="AL236" s="65"/>
      <c r="AM236" s="176"/>
      <c r="AN236" s="176"/>
      <c r="AO236" s="176"/>
      <c r="AP236" s="176"/>
      <c r="AQ236" s="186" t="s">
        <v>97</v>
      </c>
      <c r="AR236" s="70" t="str">
        <f t="shared" si="98"/>
        <v>KTG.100.0101</v>
      </c>
      <c r="AS236" s="71" t="str">
        <f t="shared" si="92"/>
        <v>KPBS-2.020</v>
      </c>
      <c r="AT236" s="71" t="str">
        <f t="shared" si="92"/>
        <v>B09</v>
      </c>
      <c r="AU236" s="72"/>
      <c r="AV236" s="202">
        <v>0.70798463280000001</v>
      </c>
      <c r="AW236" s="202">
        <v>124.3228781382</v>
      </c>
      <c r="AX236" s="65" t="s">
        <v>98</v>
      </c>
      <c r="AY236" s="65" t="s">
        <v>94</v>
      </c>
      <c r="AZ236" s="65" t="s">
        <v>94</v>
      </c>
      <c r="BA236" s="73" t="s">
        <v>77</v>
      </c>
      <c r="BB236" s="65" t="s">
        <v>98</v>
      </c>
      <c r="BC236" s="65">
        <v>31</v>
      </c>
      <c r="BD236" s="65" t="s">
        <v>98</v>
      </c>
      <c r="BE236" s="211" t="str">
        <f t="shared" si="103"/>
        <v>629, POYOWA BESAR,</v>
      </c>
    </row>
    <row r="237" spans="1:57" s="211" customFormat="1" ht="15.75" customHeight="1">
      <c r="A237" s="225"/>
      <c r="B237" s="225"/>
      <c r="C237" s="225"/>
      <c r="D237" s="225"/>
      <c r="E237" s="225"/>
      <c r="F237" s="225"/>
      <c r="G237" s="226"/>
      <c r="H237" s="23">
        <v>7</v>
      </c>
      <c r="I237" s="64" t="str">
        <f t="shared" si="107"/>
        <v>MR.KPBS.P082</v>
      </c>
      <c r="J237" s="64">
        <f t="shared" si="107"/>
        <v>0.70815593290000001</v>
      </c>
      <c r="K237" s="64">
        <f t="shared" si="107"/>
        <v>124.3228381074</v>
      </c>
      <c r="L237" s="64" t="str">
        <f t="shared" si="107"/>
        <v>JL. RAYA POYOWA BESAR</v>
      </c>
      <c r="M237" s="64" t="str">
        <f t="shared" si="107"/>
        <v>SULAWESI UTARA</v>
      </c>
      <c r="N237" s="65" t="s">
        <v>105</v>
      </c>
      <c r="O237" s="66" t="s">
        <v>118</v>
      </c>
      <c r="P237" s="65" t="s">
        <v>119</v>
      </c>
      <c r="Q237" s="66">
        <v>95717</v>
      </c>
      <c r="R237" s="67"/>
      <c r="S237" s="68"/>
      <c r="T237" s="68"/>
      <c r="U237" s="68"/>
      <c r="V237" s="68"/>
      <c r="W237" s="65" t="s">
        <v>105</v>
      </c>
      <c r="X237" s="64"/>
      <c r="Y237" s="64" t="s">
        <v>106</v>
      </c>
      <c r="Z237" s="64" t="str">
        <f t="shared" si="97"/>
        <v>KELURAHAN POYOWA BESAR SATU KOTAMOBAGU</v>
      </c>
      <c r="AA237" s="65"/>
      <c r="AB237" s="65"/>
      <c r="AC237" s="65" t="s">
        <v>70</v>
      </c>
      <c r="AD237" s="64" t="str">
        <f t="shared" si="108"/>
        <v>POYOWA BESAR</v>
      </c>
      <c r="AE237" s="67"/>
      <c r="AF237" s="67"/>
      <c r="AG237" s="67"/>
      <c r="AH237" s="67"/>
      <c r="AI237" s="69"/>
      <c r="AJ237" s="11" t="s">
        <v>831</v>
      </c>
      <c r="AK237" s="65" t="s">
        <v>96</v>
      </c>
      <c r="AL237" s="65"/>
      <c r="AM237" s="65"/>
      <c r="AN237" s="65"/>
      <c r="AO237" s="65"/>
      <c r="AP237" s="65"/>
      <c r="AQ237" s="177" t="s">
        <v>97</v>
      </c>
      <c r="AR237" s="70" t="str">
        <f t="shared" si="98"/>
        <v>KTG.100.0101</v>
      </c>
      <c r="AS237" s="71" t="str">
        <f t="shared" si="92"/>
        <v>KPBS-2.020</v>
      </c>
      <c r="AT237" s="71" t="str">
        <f t="shared" si="92"/>
        <v>B09</v>
      </c>
      <c r="AU237" s="72"/>
      <c r="AV237" s="202">
        <v>0.70796233500000005</v>
      </c>
      <c r="AW237" s="202">
        <v>124.32270162090001</v>
      </c>
      <c r="AX237" s="65" t="s">
        <v>98</v>
      </c>
      <c r="AY237" s="65" t="s">
        <v>94</v>
      </c>
      <c r="AZ237" s="65" t="s">
        <v>94</v>
      </c>
      <c r="BA237" s="73" t="s">
        <v>77</v>
      </c>
      <c r="BB237" s="65" t="s">
        <v>98</v>
      </c>
      <c r="BC237" s="65">
        <v>31</v>
      </c>
      <c r="BD237" s="65" t="s">
        <v>98</v>
      </c>
      <c r="BE237" s="211" t="str">
        <f t="shared" si="103"/>
        <v>628, POYOWA BESAR,</v>
      </c>
    </row>
    <row r="238" spans="1:57" s="211" customFormat="1" ht="15.75" customHeight="1">
      <c r="A238" s="225"/>
      <c r="B238" s="225"/>
      <c r="C238" s="225"/>
      <c r="D238" s="225"/>
      <c r="E238" s="225"/>
      <c r="F238" s="225"/>
      <c r="G238" s="226"/>
      <c r="H238" s="23">
        <v>8</v>
      </c>
      <c r="I238" s="64" t="str">
        <f t="shared" si="107"/>
        <v>MR.KPBS.P082</v>
      </c>
      <c r="J238" s="64">
        <f t="shared" si="107"/>
        <v>0.70815593290000001</v>
      </c>
      <c r="K238" s="64">
        <f t="shared" si="107"/>
        <v>124.3228381074</v>
      </c>
      <c r="L238" s="64" t="str">
        <f t="shared" si="107"/>
        <v>JL. RAYA POYOWA BESAR</v>
      </c>
      <c r="M238" s="64" t="str">
        <f t="shared" si="107"/>
        <v>SULAWESI UTARA</v>
      </c>
      <c r="N238" s="65" t="s">
        <v>105</v>
      </c>
      <c r="O238" s="66" t="s">
        <v>118</v>
      </c>
      <c r="P238" s="65" t="s">
        <v>119</v>
      </c>
      <c r="Q238" s="66">
        <v>95717</v>
      </c>
      <c r="R238" s="67"/>
      <c r="S238" s="68"/>
      <c r="T238" s="68"/>
      <c r="U238" s="68"/>
      <c r="V238" s="68"/>
      <c r="W238" s="64" t="s">
        <v>105</v>
      </c>
      <c r="X238" s="64"/>
      <c r="Y238" s="64" t="s">
        <v>106</v>
      </c>
      <c r="Z238" s="64" t="str">
        <f t="shared" si="97"/>
        <v>KELURAHAN POYOWA BESAR SATU KOTAMOBAGU</v>
      </c>
      <c r="AA238" s="65"/>
      <c r="AB238" s="65"/>
      <c r="AC238" s="65" t="s">
        <v>70</v>
      </c>
      <c r="AD238" s="64" t="str">
        <f t="shared" si="108"/>
        <v>POYOWA BESAR</v>
      </c>
      <c r="AE238" s="67"/>
      <c r="AF238" s="67"/>
      <c r="AG238" s="67"/>
      <c r="AH238" s="67"/>
      <c r="AI238" s="69"/>
      <c r="AJ238" s="11" t="s">
        <v>832</v>
      </c>
      <c r="AK238" s="65" t="s">
        <v>96</v>
      </c>
      <c r="AL238" s="65"/>
      <c r="AM238" s="65"/>
      <c r="AN238" s="65"/>
      <c r="AO238" s="65"/>
      <c r="AP238" s="65"/>
      <c r="AQ238" s="177" t="s">
        <v>97</v>
      </c>
      <c r="AR238" s="70" t="str">
        <f t="shared" si="98"/>
        <v>KTG.100.0101</v>
      </c>
      <c r="AS238" s="71" t="str">
        <f t="shared" si="92"/>
        <v>KPBS-2.020</v>
      </c>
      <c r="AT238" s="71" t="str">
        <f t="shared" si="92"/>
        <v>B09</v>
      </c>
      <c r="AU238" s="72"/>
      <c r="AV238" s="202">
        <v>0.70789543539999999</v>
      </c>
      <c r="AW238" s="202">
        <v>124.3228825882</v>
      </c>
      <c r="AX238" s="65" t="s">
        <v>98</v>
      </c>
      <c r="AY238" s="65" t="s">
        <v>94</v>
      </c>
      <c r="AZ238" s="65" t="s">
        <v>94</v>
      </c>
      <c r="BA238" s="73" t="s">
        <v>77</v>
      </c>
      <c r="BB238" s="65" t="s">
        <v>98</v>
      </c>
      <c r="BC238" s="65">
        <v>31</v>
      </c>
      <c r="BD238" s="65" t="s">
        <v>98</v>
      </c>
      <c r="BE238" s="211" t="str">
        <f t="shared" si="103"/>
        <v>631, POYOWA BESAR,</v>
      </c>
    </row>
    <row r="239" spans="1:57" s="211" customFormat="1" ht="15.75" customHeight="1">
      <c r="A239" s="225"/>
      <c r="B239" s="225"/>
      <c r="C239" s="225"/>
      <c r="D239" s="225"/>
      <c r="E239" s="225"/>
      <c r="F239" s="225"/>
      <c r="G239" s="226"/>
      <c r="H239" s="23">
        <v>9</v>
      </c>
      <c r="I239" s="64" t="str">
        <f t="shared" si="107"/>
        <v>MR.KPBS.P082</v>
      </c>
      <c r="J239" s="64">
        <f t="shared" si="107"/>
        <v>0.70815593290000001</v>
      </c>
      <c r="K239" s="64">
        <f t="shared" si="107"/>
        <v>124.3228381074</v>
      </c>
      <c r="L239" s="64" t="str">
        <f t="shared" si="107"/>
        <v>JL. RAYA POYOWA BESAR</v>
      </c>
      <c r="M239" s="64" t="str">
        <f t="shared" si="107"/>
        <v>SULAWESI UTARA</v>
      </c>
      <c r="N239" s="65" t="s">
        <v>105</v>
      </c>
      <c r="O239" s="66" t="s">
        <v>118</v>
      </c>
      <c r="P239" s="65" t="s">
        <v>119</v>
      </c>
      <c r="Q239" s="66">
        <v>95717</v>
      </c>
      <c r="R239" s="67"/>
      <c r="S239" s="68"/>
      <c r="T239" s="68"/>
      <c r="U239" s="68"/>
      <c r="V239" s="68"/>
      <c r="W239" s="64" t="s">
        <v>105</v>
      </c>
      <c r="X239" s="64"/>
      <c r="Y239" s="64" t="s">
        <v>106</v>
      </c>
      <c r="Z239" s="64" t="str">
        <f t="shared" si="97"/>
        <v>KELURAHAN POYOWA BESAR SATU KOTAMOBAGU</v>
      </c>
      <c r="AA239" s="65"/>
      <c r="AB239" s="65"/>
      <c r="AC239" s="65" t="s">
        <v>70</v>
      </c>
      <c r="AD239" s="64" t="str">
        <f t="shared" si="108"/>
        <v>POYOWA BESAR</v>
      </c>
      <c r="AE239" s="67"/>
      <c r="AF239" s="67"/>
      <c r="AG239" s="67"/>
      <c r="AH239" s="67"/>
      <c r="AI239" s="69"/>
      <c r="AJ239" s="11" t="s">
        <v>833</v>
      </c>
      <c r="AK239" s="65" t="s">
        <v>96</v>
      </c>
      <c r="AL239" s="65"/>
      <c r="AM239" s="65"/>
      <c r="AN239" s="65"/>
      <c r="AO239" s="65"/>
      <c r="AP239" s="65"/>
      <c r="AQ239" s="177" t="s">
        <v>97</v>
      </c>
      <c r="AR239" s="70" t="str">
        <f t="shared" si="98"/>
        <v>KTG.100.0101</v>
      </c>
      <c r="AS239" s="71" t="str">
        <f t="shared" si="92"/>
        <v>KPBS-2.020</v>
      </c>
      <c r="AT239" s="71" t="str">
        <f t="shared" si="92"/>
        <v>B09</v>
      </c>
      <c r="AU239" s="72"/>
      <c r="AV239" s="202">
        <v>0.7078761106</v>
      </c>
      <c r="AW239" s="202">
        <v>124.322539937</v>
      </c>
      <c r="AX239" s="65" t="s">
        <v>98</v>
      </c>
      <c r="AY239" s="65" t="s">
        <v>94</v>
      </c>
      <c r="AZ239" s="65" t="s">
        <v>94</v>
      </c>
      <c r="BA239" s="73" t="s">
        <v>77</v>
      </c>
      <c r="BB239" s="65" t="s">
        <v>98</v>
      </c>
      <c r="BC239" s="65">
        <v>31</v>
      </c>
      <c r="BD239" s="65" t="s">
        <v>98</v>
      </c>
      <c r="BE239" s="211" t="str">
        <f t="shared" si="103"/>
        <v>630, POYOWA BESAR,</v>
      </c>
    </row>
    <row r="240" spans="1:57" s="211" customFormat="1" ht="15.75" customHeight="1">
      <c r="A240" s="225"/>
      <c r="B240" s="225"/>
      <c r="C240" s="225"/>
      <c r="D240" s="225"/>
      <c r="E240" s="225"/>
      <c r="F240" s="225"/>
      <c r="G240" s="226"/>
      <c r="H240" s="23">
        <v>10</v>
      </c>
      <c r="I240" s="64" t="str">
        <f t="shared" si="107"/>
        <v>MR.KPBS.P082</v>
      </c>
      <c r="J240" s="64">
        <f t="shared" si="107"/>
        <v>0.70815593290000001</v>
      </c>
      <c r="K240" s="64">
        <f t="shared" si="107"/>
        <v>124.3228381074</v>
      </c>
      <c r="L240" s="64" t="str">
        <f t="shared" si="107"/>
        <v>JL. RAYA POYOWA BESAR</v>
      </c>
      <c r="M240" s="64" t="str">
        <f t="shared" si="107"/>
        <v>SULAWESI UTARA</v>
      </c>
      <c r="N240" s="65" t="s">
        <v>105</v>
      </c>
      <c r="O240" s="66" t="s">
        <v>118</v>
      </c>
      <c r="P240" s="65" t="s">
        <v>119</v>
      </c>
      <c r="Q240" s="66">
        <v>95717</v>
      </c>
      <c r="R240" s="67"/>
      <c r="S240" s="68"/>
      <c r="T240" s="68"/>
      <c r="U240" s="68"/>
      <c r="V240" s="68"/>
      <c r="W240" s="64" t="s">
        <v>105</v>
      </c>
      <c r="X240" s="64"/>
      <c r="Y240" s="64" t="s">
        <v>106</v>
      </c>
      <c r="Z240" s="64" t="str">
        <f t="shared" si="97"/>
        <v>KELURAHAN POYOWA BESAR SATU KOTAMOBAGU</v>
      </c>
      <c r="AA240" s="65"/>
      <c r="AB240" s="65"/>
      <c r="AC240" s="65" t="s">
        <v>70</v>
      </c>
      <c r="AD240" s="64" t="str">
        <f t="shared" si="108"/>
        <v>POYOWA BESAR</v>
      </c>
      <c r="AE240" s="67"/>
      <c r="AF240" s="67"/>
      <c r="AG240" s="67"/>
      <c r="AH240" s="67"/>
      <c r="AI240" s="69"/>
      <c r="AJ240" s="11" t="s">
        <v>834</v>
      </c>
      <c r="AK240" s="65" t="s">
        <v>96</v>
      </c>
      <c r="AL240" s="65"/>
      <c r="AM240" s="65"/>
      <c r="AN240" s="65"/>
      <c r="AO240" s="65"/>
      <c r="AP240" s="65"/>
      <c r="AQ240" s="177" t="s">
        <v>97</v>
      </c>
      <c r="AR240" s="70" t="str">
        <f t="shared" si="98"/>
        <v>KTG.100.0101</v>
      </c>
      <c r="AS240" s="71" t="str">
        <f t="shared" si="92"/>
        <v>KPBS-2.020</v>
      </c>
      <c r="AT240" s="71" t="str">
        <f t="shared" si="92"/>
        <v>B09</v>
      </c>
      <c r="AU240" s="72"/>
      <c r="AV240" s="202">
        <v>0.70777354059999997</v>
      </c>
      <c r="AW240" s="202">
        <v>124.3228321547</v>
      </c>
      <c r="AX240" s="65" t="s">
        <v>98</v>
      </c>
      <c r="AY240" s="65" t="s">
        <v>94</v>
      </c>
      <c r="AZ240" s="65" t="s">
        <v>94</v>
      </c>
      <c r="BA240" s="73" t="s">
        <v>77</v>
      </c>
      <c r="BB240" s="65" t="s">
        <v>98</v>
      </c>
      <c r="BC240" s="65">
        <v>31</v>
      </c>
      <c r="BD240" s="65" t="s">
        <v>98</v>
      </c>
      <c r="BE240" s="211" t="str">
        <f t="shared" si="103"/>
        <v>633, POYOWA BESAR,</v>
      </c>
    </row>
    <row r="241" spans="1:57" s="211" customFormat="1" ht="15.75" customHeight="1">
      <c r="A241" s="225"/>
      <c r="B241" s="225"/>
      <c r="C241" s="225"/>
      <c r="D241" s="225"/>
      <c r="E241" s="225"/>
      <c r="F241" s="225"/>
      <c r="G241" s="226"/>
      <c r="H241" s="23">
        <v>11</v>
      </c>
      <c r="I241" s="64" t="str">
        <f t="shared" si="107"/>
        <v>MR.KPBS.P082</v>
      </c>
      <c r="J241" s="64">
        <f t="shared" si="107"/>
        <v>0.70815593290000001</v>
      </c>
      <c r="K241" s="64">
        <f t="shared" si="107"/>
        <v>124.3228381074</v>
      </c>
      <c r="L241" s="64" t="str">
        <f t="shared" si="107"/>
        <v>JL. RAYA POYOWA BESAR</v>
      </c>
      <c r="M241" s="64" t="str">
        <f t="shared" si="107"/>
        <v>SULAWESI UTARA</v>
      </c>
      <c r="N241" s="65" t="s">
        <v>105</v>
      </c>
      <c r="O241" s="66" t="s">
        <v>118</v>
      </c>
      <c r="P241" s="65" t="s">
        <v>119</v>
      </c>
      <c r="Q241" s="66">
        <v>95717</v>
      </c>
      <c r="R241" s="66"/>
      <c r="S241" s="66"/>
      <c r="T241" s="66"/>
      <c r="U241" s="66"/>
      <c r="V241" s="66"/>
      <c r="W241" s="64" t="s">
        <v>105</v>
      </c>
      <c r="X241" s="64"/>
      <c r="Y241" s="64" t="s">
        <v>106</v>
      </c>
      <c r="Z241" s="64" t="str">
        <f t="shared" si="97"/>
        <v>KELURAHAN POYOWA BESAR SATU KOTAMOBAGU</v>
      </c>
      <c r="AA241" s="65"/>
      <c r="AB241" s="65"/>
      <c r="AC241" s="65" t="s">
        <v>70</v>
      </c>
      <c r="AD241" s="64" t="str">
        <f t="shared" si="108"/>
        <v>POYOWA BESAR</v>
      </c>
      <c r="AE241" s="66"/>
      <c r="AF241" s="66"/>
      <c r="AG241" s="66"/>
      <c r="AH241" s="66"/>
      <c r="AI241" s="69"/>
      <c r="AJ241" s="11" t="s">
        <v>835</v>
      </c>
      <c r="AK241" s="178" t="s">
        <v>96</v>
      </c>
      <c r="AL241" s="178"/>
      <c r="AM241" s="178"/>
      <c r="AN241" s="178"/>
      <c r="AO241" s="178"/>
      <c r="AP241" s="178"/>
      <c r="AQ241" s="179" t="s">
        <v>97</v>
      </c>
      <c r="AR241" s="70" t="str">
        <f t="shared" si="98"/>
        <v>KTG.100.0101</v>
      </c>
      <c r="AS241" s="71" t="str">
        <f t="shared" si="92"/>
        <v>KPBS-2.020</v>
      </c>
      <c r="AT241" s="71" t="str">
        <f t="shared" si="92"/>
        <v>B09</v>
      </c>
      <c r="AU241" s="72"/>
      <c r="AV241" s="202">
        <v>0.70775124269999901</v>
      </c>
      <c r="AW241" s="202">
        <v>124.3226022373</v>
      </c>
      <c r="AX241" s="65" t="s">
        <v>98</v>
      </c>
      <c r="AY241" s="65" t="s">
        <v>94</v>
      </c>
      <c r="AZ241" s="65" t="s">
        <v>94</v>
      </c>
      <c r="BA241" s="73" t="s">
        <v>77</v>
      </c>
      <c r="BB241" s="65" t="s">
        <v>98</v>
      </c>
      <c r="BC241" s="65">
        <v>31</v>
      </c>
      <c r="BD241" s="65" t="s">
        <v>98</v>
      </c>
      <c r="BE241" s="211" t="str">
        <f t="shared" si="103"/>
        <v>632, POYOWA BESAR,</v>
      </c>
    </row>
    <row r="242" spans="1:57" s="211" customFormat="1" ht="15.75" customHeight="1">
      <c r="A242" s="225"/>
      <c r="B242" s="225"/>
      <c r="C242" s="225"/>
      <c r="D242" s="225"/>
      <c r="E242" s="225"/>
      <c r="F242" s="225"/>
      <c r="G242" s="226"/>
      <c r="H242" s="23">
        <v>12</v>
      </c>
      <c r="I242" s="64" t="str">
        <f t="shared" si="107"/>
        <v>MR.KPBS.P082</v>
      </c>
      <c r="J242" s="64">
        <f t="shared" si="107"/>
        <v>0.70815593290000001</v>
      </c>
      <c r="K242" s="64">
        <f t="shared" si="107"/>
        <v>124.3228381074</v>
      </c>
      <c r="L242" s="64" t="str">
        <f t="shared" si="107"/>
        <v>JL. RAYA POYOWA BESAR</v>
      </c>
      <c r="M242" s="64" t="str">
        <f t="shared" si="107"/>
        <v>SULAWESI UTARA</v>
      </c>
      <c r="N242" s="65" t="s">
        <v>105</v>
      </c>
      <c r="O242" s="66" t="s">
        <v>118</v>
      </c>
      <c r="P242" s="65" t="s">
        <v>119</v>
      </c>
      <c r="Q242" s="66">
        <v>95717</v>
      </c>
      <c r="R242" s="66"/>
      <c r="S242" s="66"/>
      <c r="T242" s="66"/>
      <c r="U242" s="66"/>
      <c r="V242" s="66"/>
      <c r="W242" s="64" t="s">
        <v>105</v>
      </c>
      <c r="X242" s="64"/>
      <c r="Y242" s="64" t="s">
        <v>106</v>
      </c>
      <c r="Z242" s="64" t="str">
        <f t="shared" si="97"/>
        <v>KELURAHAN POYOWA BESAR SATU KOTAMOBAGU</v>
      </c>
      <c r="AA242" s="65"/>
      <c r="AB242" s="65"/>
      <c r="AC242" s="65" t="s">
        <v>70</v>
      </c>
      <c r="AD242" s="64" t="str">
        <f t="shared" si="108"/>
        <v>POYOWA BESAR</v>
      </c>
      <c r="AE242" s="66"/>
      <c r="AF242" s="66"/>
      <c r="AG242" s="66"/>
      <c r="AH242" s="66"/>
      <c r="AI242" s="69"/>
      <c r="AJ242" s="11" t="s">
        <v>836</v>
      </c>
      <c r="AK242" s="178" t="s">
        <v>96</v>
      </c>
      <c r="AL242" s="178"/>
      <c r="AM242" s="178"/>
      <c r="AN242" s="178"/>
      <c r="AO242" s="178"/>
      <c r="AP242" s="178"/>
      <c r="AQ242" s="179" t="s">
        <v>97</v>
      </c>
      <c r="AR242" s="70" t="str">
        <f t="shared" si="98"/>
        <v>KTG.100.0101</v>
      </c>
      <c r="AS242" s="71" t="str">
        <f t="shared" si="92"/>
        <v>KPBS-2.020</v>
      </c>
      <c r="AT242" s="71" t="str">
        <f t="shared" si="92"/>
        <v>B09</v>
      </c>
      <c r="AU242" s="72"/>
      <c r="AV242" s="202">
        <v>0.70765886320000004</v>
      </c>
      <c r="AW242" s="202">
        <v>124.3225933403</v>
      </c>
      <c r="AX242" s="65" t="s">
        <v>98</v>
      </c>
      <c r="AY242" s="65" t="s">
        <v>94</v>
      </c>
      <c r="AZ242" s="65" t="s">
        <v>94</v>
      </c>
      <c r="BA242" s="73" t="s">
        <v>77</v>
      </c>
      <c r="BB242" s="65" t="s">
        <v>98</v>
      </c>
      <c r="BC242" s="65">
        <v>31</v>
      </c>
      <c r="BD242" s="65" t="s">
        <v>98</v>
      </c>
      <c r="BE242" s="211" t="str">
        <f t="shared" si="103"/>
        <v>634, POYOWA BESAR,</v>
      </c>
    </row>
    <row r="243" spans="1:57" s="211" customFormat="1" ht="15.75" customHeight="1">
      <c r="A243" s="41" t="s">
        <v>100</v>
      </c>
      <c r="B243" s="41">
        <f>B231+1</f>
        <v>18</v>
      </c>
      <c r="C243" s="32" t="s">
        <v>99</v>
      </c>
      <c r="D243" s="32" t="s">
        <v>351</v>
      </c>
      <c r="E243" s="32">
        <v>2</v>
      </c>
      <c r="F243" s="10">
        <f>F232+1</f>
        <v>21</v>
      </c>
      <c r="G243" s="213" t="s">
        <v>85</v>
      </c>
      <c r="H243" s="42">
        <v>1</v>
      </c>
      <c r="I243" s="119" t="s">
        <v>338</v>
      </c>
      <c r="J243" s="119">
        <v>0.70758923399999996</v>
      </c>
      <c r="K243" s="119">
        <v>124.3227885845</v>
      </c>
      <c r="L243" s="113" t="s">
        <v>116</v>
      </c>
      <c r="M243" s="119" t="str">
        <f t="shared" ref="M243" si="109">M242</f>
        <v>SULAWESI UTARA</v>
      </c>
      <c r="N243" s="14" t="s">
        <v>105</v>
      </c>
      <c r="O243" s="84" t="s">
        <v>118</v>
      </c>
      <c r="P243" s="14" t="s">
        <v>119</v>
      </c>
      <c r="Q243" s="84">
        <v>95717</v>
      </c>
      <c r="R243" s="86"/>
      <c r="S243" s="87"/>
      <c r="T243" s="88"/>
      <c r="U243" s="87"/>
      <c r="V243" s="88"/>
      <c r="W243" s="85" t="s">
        <v>105</v>
      </c>
      <c r="X243" s="83"/>
      <c r="Y243" s="119" t="s">
        <v>106</v>
      </c>
      <c r="Z243" s="119" t="str">
        <f t="shared" si="97"/>
        <v>KELURAHAN POYOWA BESAR SATU KOTAMOBAGU</v>
      </c>
      <c r="AA243" s="89"/>
      <c r="AB243" s="89"/>
      <c r="AC243" s="89" t="s">
        <v>70</v>
      </c>
      <c r="AD243" s="113" t="s">
        <v>119</v>
      </c>
      <c r="AE243" s="90"/>
      <c r="AF243" s="90"/>
      <c r="AG243" s="90"/>
      <c r="AH243" s="90"/>
      <c r="AI243" s="91"/>
      <c r="AJ243" s="115" t="s">
        <v>271</v>
      </c>
      <c r="AK243" s="89" t="s">
        <v>96</v>
      </c>
      <c r="AL243" s="95"/>
      <c r="AM243" s="95"/>
      <c r="AN243" s="95"/>
      <c r="AO243" s="95"/>
      <c r="AP243" s="95"/>
      <c r="AQ243" s="188" t="s">
        <v>97</v>
      </c>
      <c r="AR243" s="92" t="str">
        <f t="shared" si="98"/>
        <v>KTG.100.0101</v>
      </c>
      <c r="AS243" s="93" t="str">
        <f>AS231</f>
        <v>KPBS-2.020</v>
      </c>
      <c r="AT243" s="93" t="str">
        <f>G243</f>
        <v>B10</v>
      </c>
      <c r="AU243" s="94"/>
      <c r="AV243" s="203">
        <v>0.70765143060000002</v>
      </c>
      <c r="AW243" s="203">
        <v>124.32292560819999</v>
      </c>
      <c r="AX243" s="95" t="s">
        <v>98</v>
      </c>
      <c r="AY243" s="95" t="s">
        <v>94</v>
      </c>
      <c r="AZ243" s="95" t="s">
        <v>94</v>
      </c>
      <c r="BA243" s="96" t="s">
        <v>77</v>
      </c>
      <c r="BB243" s="95" t="s">
        <v>98</v>
      </c>
      <c r="BC243" s="95">
        <v>31</v>
      </c>
      <c r="BD243" s="95" t="s">
        <v>98</v>
      </c>
      <c r="BE243" s="211" t="str">
        <f t="shared" si="103"/>
        <v>635, POYOWA BESAR,</v>
      </c>
    </row>
    <row r="244" spans="1:57" s="211" customFormat="1" ht="15.75" customHeight="1">
      <c r="A244" s="21"/>
      <c r="B244" s="21"/>
      <c r="C244" s="22" t="s">
        <v>99</v>
      </c>
      <c r="D244" s="22" t="s">
        <v>351</v>
      </c>
      <c r="E244" s="32">
        <v>2</v>
      </c>
      <c r="F244" s="6">
        <f>F243+1</f>
        <v>22</v>
      </c>
      <c r="G244" s="213"/>
      <c r="H244" s="12">
        <v>2</v>
      </c>
      <c r="I244" s="64" t="str">
        <f t="shared" ref="I244:M247" si="110">I243</f>
        <v>MR.KPBS.P084</v>
      </c>
      <c r="J244" s="64">
        <f t="shared" si="110"/>
        <v>0.70758923399999996</v>
      </c>
      <c r="K244" s="64">
        <f t="shared" si="110"/>
        <v>124.3227885845</v>
      </c>
      <c r="L244" s="64" t="str">
        <f t="shared" si="110"/>
        <v>JL. RAYA POYOWA BESAR</v>
      </c>
      <c r="M244" s="64" t="str">
        <f t="shared" si="110"/>
        <v>SULAWESI UTARA</v>
      </c>
      <c r="N244" s="65" t="s">
        <v>105</v>
      </c>
      <c r="O244" s="66" t="s">
        <v>118</v>
      </c>
      <c r="P244" s="65" t="s">
        <v>119</v>
      </c>
      <c r="Q244" s="66">
        <v>95717</v>
      </c>
      <c r="R244" s="98"/>
      <c r="S244" s="99"/>
      <c r="T244" s="100"/>
      <c r="U244" s="99"/>
      <c r="V244" s="100"/>
      <c r="W244" s="97" t="s">
        <v>105</v>
      </c>
      <c r="X244" s="101"/>
      <c r="Y244" s="64" t="s">
        <v>106</v>
      </c>
      <c r="Z244" s="64" t="str">
        <f t="shared" si="97"/>
        <v>KELURAHAN POYOWA BESAR SATU KOTAMOBAGU</v>
      </c>
      <c r="AA244" s="102"/>
      <c r="AB244" s="102"/>
      <c r="AC244" s="102" t="s">
        <v>70</v>
      </c>
      <c r="AD244" s="64" t="str">
        <f t="shared" ref="AD244:AD253" si="111">AD243</f>
        <v>POYOWA BESAR</v>
      </c>
      <c r="AE244" s="103"/>
      <c r="AF244" s="103"/>
      <c r="AG244" s="103"/>
      <c r="AH244" s="103"/>
      <c r="AI244" s="104"/>
      <c r="AJ244" s="11" t="s">
        <v>272</v>
      </c>
      <c r="AK244" s="102" t="s">
        <v>96</v>
      </c>
      <c r="AL244" s="106"/>
      <c r="AM244" s="106"/>
      <c r="AN244" s="106"/>
      <c r="AO244" s="106"/>
      <c r="AP244" s="106"/>
      <c r="AQ244" s="180" t="s">
        <v>97</v>
      </c>
      <c r="AR244" s="70" t="str">
        <f t="shared" si="98"/>
        <v>KTG.100.0101</v>
      </c>
      <c r="AS244" s="71" t="str">
        <f t="shared" si="92"/>
        <v>KPBS-2.020</v>
      </c>
      <c r="AT244" s="71" t="str">
        <f t="shared" si="92"/>
        <v>B10</v>
      </c>
      <c r="AU244" s="105"/>
      <c r="AV244" s="202">
        <v>0.70754292060000001</v>
      </c>
      <c r="AW244" s="202">
        <v>124.3226675073</v>
      </c>
      <c r="AX244" s="106" t="s">
        <v>98</v>
      </c>
      <c r="AY244" s="106" t="s">
        <v>94</v>
      </c>
      <c r="AZ244" s="106" t="s">
        <v>94</v>
      </c>
      <c r="BA244" s="73" t="s">
        <v>77</v>
      </c>
      <c r="BB244" s="106" t="s">
        <v>98</v>
      </c>
      <c r="BC244" s="106">
        <v>31</v>
      </c>
      <c r="BD244" s="106" t="s">
        <v>98</v>
      </c>
      <c r="BE244" s="211" t="str">
        <f t="shared" si="103"/>
        <v>640, POYOWA BESAR,</v>
      </c>
    </row>
    <row r="245" spans="1:57" s="211" customFormat="1" ht="15.75" customHeight="1">
      <c r="A245" s="216"/>
      <c r="B245" s="216"/>
      <c r="C245" s="216"/>
      <c r="D245" s="216"/>
      <c r="E245" s="216"/>
      <c r="F245" s="216"/>
      <c r="G245" s="217"/>
      <c r="H245" s="12">
        <v>3</v>
      </c>
      <c r="I245" s="64" t="str">
        <f t="shared" si="110"/>
        <v>MR.KPBS.P084</v>
      </c>
      <c r="J245" s="64">
        <f t="shared" si="110"/>
        <v>0.70758923399999996</v>
      </c>
      <c r="K245" s="64">
        <f t="shared" si="110"/>
        <v>124.3227885845</v>
      </c>
      <c r="L245" s="64" t="str">
        <f t="shared" si="110"/>
        <v>JL. RAYA POYOWA BESAR</v>
      </c>
      <c r="M245" s="64" t="str">
        <f t="shared" si="110"/>
        <v>SULAWESI UTARA</v>
      </c>
      <c r="N245" s="65" t="s">
        <v>105</v>
      </c>
      <c r="O245" s="66" t="s">
        <v>118</v>
      </c>
      <c r="P245" s="65" t="s">
        <v>119</v>
      </c>
      <c r="Q245" s="66">
        <v>95717</v>
      </c>
      <c r="R245" s="98"/>
      <c r="S245" s="99"/>
      <c r="T245" s="100"/>
      <c r="U245" s="99"/>
      <c r="V245" s="100"/>
      <c r="W245" s="97" t="s">
        <v>105</v>
      </c>
      <c r="X245" s="101"/>
      <c r="Y245" s="64" t="s">
        <v>106</v>
      </c>
      <c r="Z245" s="64" t="str">
        <f t="shared" si="97"/>
        <v>KELURAHAN POYOWA BESAR SATU KOTAMOBAGU</v>
      </c>
      <c r="AA245" s="102"/>
      <c r="AB245" s="102"/>
      <c r="AC245" s="102" t="s">
        <v>70</v>
      </c>
      <c r="AD245" s="64" t="str">
        <f t="shared" si="111"/>
        <v>POYOWA BESAR</v>
      </c>
      <c r="AE245" s="107"/>
      <c r="AF245" s="107"/>
      <c r="AG245" s="107"/>
      <c r="AH245" s="107"/>
      <c r="AI245" s="104"/>
      <c r="AJ245" s="11" t="s">
        <v>273</v>
      </c>
      <c r="AK245" s="102" t="s">
        <v>96</v>
      </c>
      <c r="AL245" s="106"/>
      <c r="AM245" s="106"/>
      <c r="AN245" s="106"/>
      <c r="AO245" s="106"/>
      <c r="AP245" s="106"/>
      <c r="AQ245" s="180" t="s">
        <v>97</v>
      </c>
      <c r="AR245" s="70" t="str">
        <f t="shared" si="98"/>
        <v>KTG.100.0101</v>
      </c>
      <c r="AS245" s="71" t="str">
        <f t="shared" si="92"/>
        <v>KPBS-2.020</v>
      </c>
      <c r="AT245" s="71" t="str">
        <f t="shared" si="92"/>
        <v>B10</v>
      </c>
      <c r="AU245" s="105"/>
      <c r="AV245" s="202">
        <v>0.70743553960000005</v>
      </c>
      <c r="AW245" s="202">
        <v>124.3226778853</v>
      </c>
      <c r="AX245" s="106" t="s">
        <v>98</v>
      </c>
      <c r="AY245" s="106" t="s">
        <v>94</v>
      </c>
      <c r="AZ245" s="106" t="s">
        <v>94</v>
      </c>
      <c r="BA245" s="73" t="s">
        <v>77</v>
      </c>
      <c r="BB245" s="106" t="s">
        <v>98</v>
      </c>
      <c r="BC245" s="106">
        <v>31</v>
      </c>
      <c r="BD245" s="106" t="s">
        <v>98</v>
      </c>
      <c r="BE245" s="211" t="str">
        <f t="shared" si="103"/>
        <v>641, POYOWA BESAR,</v>
      </c>
    </row>
    <row r="246" spans="1:57" s="211" customFormat="1" ht="15.75" customHeight="1">
      <c r="A246" s="219"/>
      <c r="B246" s="219"/>
      <c r="C246" s="219"/>
      <c r="D246" s="219"/>
      <c r="E246" s="219"/>
      <c r="F246" s="219"/>
      <c r="G246" s="220"/>
      <c r="H246" s="12">
        <v>4</v>
      </c>
      <c r="I246" s="64" t="str">
        <f t="shared" si="110"/>
        <v>MR.KPBS.P084</v>
      </c>
      <c r="J246" s="64">
        <f t="shared" si="110"/>
        <v>0.70758923399999996</v>
      </c>
      <c r="K246" s="64">
        <f t="shared" si="110"/>
        <v>124.3227885845</v>
      </c>
      <c r="L246" s="64" t="str">
        <f t="shared" si="110"/>
        <v>JL. RAYA POYOWA BESAR</v>
      </c>
      <c r="M246" s="64" t="str">
        <f t="shared" si="110"/>
        <v>SULAWESI UTARA</v>
      </c>
      <c r="N246" s="65" t="s">
        <v>105</v>
      </c>
      <c r="O246" s="66" t="s">
        <v>118</v>
      </c>
      <c r="P246" s="65" t="s">
        <v>119</v>
      </c>
      <c r="Q246" s="66">
        <v>95717</v>
      </c>
      <c r="R246" s="98"/>
      <c r="S246" s="99"/>
      <c r="T246" s="100"/>
      <c r="U246" s="99"/>
      <c r="V246" s="100"/>
      <c r="W246" s="97" t="s">
        <v>105</v>
      </c>
      <c r="X246" s="101"/>
      <c r="Y246" s="64" t="s">
        <v>106</v>
      </c>
      <c r="Z246" s="64" t="str">
        <f t="shared" si="97"/>
        <v>KELURAHAN POYOWA BESAR SATU KOTAMOBAGU</v>
      </c>
      <c r="AA246" s="102"/>
      <c r="AB246" s="102"/>
      <c r="AC246" s="102" t="s">
        <v>70</v>
      </c>
      <c r="AD246" s="64" t="str">
        <f t="shared" si="111"/>
        <v>POYOWA BESAR</v>
      </c>
      <c r="AE246" s="103"/>
      <c r="AF246" s="103"/>
      <c r="AG246" s="103"/>
      <c r="AH246" s="103"/>
      <c r="AI246" s="104"/>
      <c r="AJ246" s="11" t="s">
        <v>274</v>
      </c>
      <c r="AK246" s="102" t="s">
        <v>96</v>
      </c>
      <c r="AL246" s="106"/>
      <c r="AM246" s="106"/>
      <c r="AN246" s="106"/>
      <c r="AO246" s="106"/>
      <c r="AP246" s="106"/>
      <c r="AQ246" s="180" t="s">
        <v>97</v>
      </c>
      <c r="AR246" s="70" t="str">
        <f t="shared" si="98"/>
        <v>KTG.100.0101</v>
      </c>
      <c r="AS246" s="71" t="str">
        <f t="shared" si="92"/>
        <v>KPBS-2.020</v>
      </c>
      <c r="AT246" s="71" t="str">
        <f t="shared" si="92"/>
        <v>B10</v>
      </c>
      <c r="AU246" s="105"/>
      <c r="AV246" s="202">
        <v>0.70744445869999895</v>
      </c>
      <c r="AW246" s="202">
        <v>124.32253845149999</v>
      </c>
      <c r="AX246" s="106" t="s">
        <v>98</v>
      </c>
      <c r="AY246" s="106" t="s">
        <v>94</v>
      </c>
      <c r="AZ246" s="106" t="s">
        <v>94</v>
      </c>
      <c r="BA246" s="73" t="s">
        <v>77</v>
      </c>
      <c r="BB246" s="106" t="s">
        <v>98</v>
      </c>
      <c r="BC246" s="106">
        <v>31</v>
      </c>
      <c r="BD246" s="106" t="s">
        <v>98</v>
      </c>
      <c r="BE246" s="211" t="str">
        <f t="shared" si="103"/>
        <v>642, POYOWA BESAR,</v>
      </c>
    </row>
    <row r="247" spans="1:57" s="211" customFormat="1" ht="15.75" customHeight="1">
      <c r="A247" s="219"/>
      <c r="B247" s="219"/>
      <c r="C247" s="219"/>
      <c r="D247" s="219"/>
      <c r="E247" s="219"/>
      <c r="F247" s="219"/>
      <c r="G247" s="220"/>
      <c r="H247" s="12">
        <v>5</v>
      </c>
      <c r="I247" s="64" t="str">
        <f t="shared" si="110"/>
        <v>MR.KPBS.P084</v>
      </c>
      <c r="J247" s="64">
        <f t="shared" si="110"/>
        <v>0.70758923399999996</v>
      </c>
      <c r="K247" s="64">
        <f t="shared" si="110"/>
        <v>124.3227885845</v>
      </c>
      <c r="L247" s="64" t="str">
        <f t="shared" si="110"/>
        <v>JL. RAYA POYOWA BESAR</v>
      </c>
      <c r="M247" s="64" t="str">
        <f t="shared" si="110"/>
        <v>SULAWESI UTARA</v>
      </c>
      <c r="N247" s="65" t="s">
        <v>105</v>
      </c>
      <c r="O247" s="66" t="s">
        <v>118</v>
      </c>
      <c r="P247" s="65" t="s">
        <v>119</v>
      </c>
      <c r="Q247" s="66">
        <v>95717</v>
      </c>
      <c r="R247" s="98"/>
      <c r="S247" s="99"/>
      <c r="T247" s="100"/>
      <c r="U247" s="99"/>
      <c r="V247" s="100"/>
      <c r="W247" s="97" t="s">
        <v>105</v>
      </c>
      <c r="X247" s="101"/>
      <c r="Y247" s="64" t="s">
        <v>106</v>
      </c>
      <c r="Z247" s="64" t="str">
        <f t="shared" si="97"/>
        <v>KELURAHAN POYOWA BESAR SATU KOTAMOBAGU</v>
      </c>
      <c r="AA247" s="102"/>
      <c r="AB247" s="102"/>
      <c r="AC247" s="102" t="s">
        <v>70</v>
      </c>
      <c r="AD247" s="64" t="str">
        <f t="shared" si="111"/>
        <v>POYOWA BESAR</v>
      </c>
      <c r="AE247" s="103"/>
      <c r="AF247" s="103"/>
      <c r="AG247" s="103"/>
      <c r="AH247" s="103"/>
      <c r="AI247" s="104"/>
      <c r="AJ247" s="11" t="s">
        <v>275</v>
      </c>
      <c r="AK247" s="102" t="s">
        <v>96</v>
      </c>
      <c r="AL247" s="106"/>
      <c r="AM247" s="106"/>
      <c r="AN247" s="106"/>
      <c r="AO247" s="106"/>
      <c r="AP247" s="106"/>
      <c r="AQ247" s="180" t="s">
        <v>97</v>
      </c>
      <c r="AR247" s="70" t="str">
        <f t="shared" si="98"/>
        <v>KTG.100.0101</v>
      </c>
      <c r="AS247" s="71" t="str">
        <f t="shared" si="92"/>
        <v>KPBS-2.020</v>
      </c>
      <c r="AT247" s="71" t="str">
        <f t="shared" si="92"/>
        <v>B10</v>
      </c>
      <c r="AU247" s="105"/>
      <c r="AV247" s="202">
        <v>0.70745485819999998</v>
      </c>
      <c r="AW247" s="202">
        <v>124.32244500119999</v>
      </c>
      <c r="AX247" s="106" t="s">
        <v>98</v>
      </c>
      <c r="AY247" s="106" t="s">
        <v>94</v>
      </c>
      <c r="AZ247" s="106" t="s">
        <v>94</v>
      </c>
      <c r="BA247" s="73" t="s">
        <v>77</v>
      </c>
      <c r="BB247" s="106" t="s">
        <v>98</v>
      </c>
      <c r="BC247" s="106">
        <v>31</v>
      </c>
      <c r="BD247" s="106" t="s">
        <v>98</v>
      </c>
      <c r="BE247" s="211" t="str">
        <f t="shared" si="103"/>
        <v>643, POYOWA BESAR,</v>
      </c>
    </row>
    <row r="248" spans="1:57" s="211" customFormat="1" ht="15.75" customHeight="1">
      <c r="A248" s="219"/>
      <c r="B248" s="219"/>
      <c r="C248" s="219"/>
      <c r="D248" s="219"/>
      <c r="E248" s="219"/>
      <c r="F248" s="219"/>
      <c r="G248" s="220"/>
      <c r="H248" s="12">
        <v>6</v>
      </c>
      <c r="I248" s="64" t="str">
        <f t="shared" ref="I248:M248" si="112">I247</f>
        <v>MR.KPBS.P084</v>
      </c>
      <c r="J248" s="64">
        <f t="shared" si="112"/>
        <v>0.70758923399999996</v>
      </c>
      <c r="K248" s="64">
        <f t="shared" si="112"/>
        <v>124.3227885845</v>
      </c>
      <c r="L248" s="64" t="str">
        <f t="shared" si="112"/>
        <v>JL. RAYA POYOWA BESAR</v>
      </c>
      <c r="M248" s="64" t="str">
        <f t="shared" si="112"/>
        <v>SULAWESI UTARA</v>
      </c>
      <c r="N248" s="65" t="s">
        <v>105</v>
      </c>
      <c r="O248" s="66" t="s">
        <v>118</v>
      </c>
      <c r="P248" s="65" t="s">
        <v>119</v>
      </c>
      <c r="Q248" s="66">
        <v>95717</v>
      </c>
      <c r="R248" s="98"/>
      <c r="S248" s="99"/>
      <c r="T248" s="100"/>
      <c r="U248" s="99"/>
      <c r="V248" s="100"/>
      <c r="W248" s="97" t="s">
        <v>105</v>
      </c>
      <c r="X248" s="101"/>
      <c r="Y248" s="64" t="s">
        <v>106</v>
      </c>
      <c r="Z248" s="64" t="str">
        <f t="shared" si="97"/>
        <v>KELURAHAN POYOWA BESAR SATU KOTAMOBAGU</v>
      </c>
      <c r="AA248" s="102"/>
      <c r="AB248" s="102"/>
      <c r="AC248" s="102" t="s">
        <v>70</v>
      </c>
      <c r="AD248" s="64" t="str">
        <f t="shared" si="111"/>
        <v>POYOWA BESAR</v>
      </c>
      <c r="AE248" s="103"/>
      <c r="AF248" s="103"/>
      <c r="AG248" s="103"/>
      <c r="AH248" s="103"/>
      <c r="AI248" s="104"/>
      <c r="AJ248" s="11" t="s">
        <v>276</v>
      </c>
      <c r="AK248" s="102" t="s">
        <v>96</v>
      </c>
      <c r="AL248" s="106"/>
      <c r="AM248" s="106"/>
      <c r="AN248" s="106"/>
      <c r="AO248" s="106"/>
      <c r="AP248" s="106"/>
      <c r="AQ248" s="180" t="s">
        <v>97</v>
      </c>
      <c r="AR248" s="70" t="str">
        <f t="shared" si="98"/>
        <v>KTG.100.0101</v>
      </c>
      <c r="AS248" s="71" t="str">
        <f t="shared" ref="AS248:AS253" si="113">AS247</f>
        <v>KPBS-2.020</v>
      </c>
      <c r="AT248" s="71" t="str">
        <f t="shared" ref="AT248:AT253" si="114">AT247</f>
        <v>B10</v>
      </c>
      <c r="AU248" s="105"/>
      <c r="AV248" s="202">
        <v>0.70745635090000003</v>
      </c>
      <c r="AW248" s="202">
        <v>124.3222462338</v>
      </c>
      <c r="AX248" s="106" t="s">
        <v>98</v>
      </c>
      <c r="AY248" s="106" t="s">
        <v>94</v>
      </c>
      <c r="AZ248" s="106" t="s">
        <v>94</v>
      </c>
      <c r="BA248" s="73" t="s">
        <v>77</v>
      </c>
      <c r="BB248" s="106" t="s">
        <v>98</v>
      </c>
      <c r="BC248" s="106">
        <v>31</v>
      </c>
      <c r="BD248" s="106" t="s">
        <v>98</v>
      </c>
      <c r="BE248" s="211" t="str">
        <f t="shared" ref="BE248:BE249" si="115">AJ248&amp;", "&amp;AD248&amp;","&amp;AI248</f>
        <v>644, POYOWA BESAR,</v>
      </c>
    </row>
    <row r="249" spans="1:57" s="211" customFormat="1" ht="15.75" customHeight="1">
      <c r="A249" s="219"/>
      <c r="B249" s="219"/>
      <c r="C249" s="219"/>
      <c r="D249" s="219"/>
      <c r="E249" s="219"/>
      <c r="F249" s="219"/>
      <c r="G249" s="220"/>
      <c r="H249" s="12">
        <v>7</v>
      </c>
      <c r="I249" s="64" t="str">
        <f t="shared" ref="I249:M249" si="116">I248</f>
        <v>MR.KPBS.P084</v>
      </c>
      <c r="J249" s="64">
        <f t="shared" si="116"/>
        <v>0.70758923399999996</v>
      </c>
      <c r="K249" s="64">
        <f t="shared" si="116"/>
        <v>124.3227885845</v>
      </c>
      <c r="L249" s="64" t="str">
        <f t="shared" si="116"/>
        <v>JL. RAYA POYOWA BESAR</v>
      </c>
      <c r="M249" s="64" t="str">
        <f t="shared" si="116"/>
        <v>SULAWESI UTARA</v>
      </c>
      <c r="N249" s="65" t="s">
        <v>105</v>
      </c>
      <c r="O249" s="66" t="s">
        <v>118</v>
      </c>
      <c r="P249" s="65" t="s">
        <v>119</v>
      </c>
      <c r="Q249" s="66">
        <v>95717</v>
      </c>
      <c r="R249" s="98"/>
      <c r="S249" s="99"/>
      <c r="T249" s="100"/>
      <c r="U249" s="99"/>
      <c r="V249" s="100"/>
      <c r="W249" s="97" t="s">
        <v>105</v>
      </c>
      <c r="X249" s="101"/>
      <c r="Y249" s="64" t="s">
        <v>106</v>
      </c>
      <c r="Z249" s="64" t="str">
        <f t="shared" si="97"/>
        <v>KELURAHAN POYOWA BESAR SATU KOTAMOBAGU</v>
      </c>
      <c r="AA249" s="102"/>
      <c r="AB249" s="102"/>
      <c r="AC249" s="102" t="s">
        <v>70</v>
      </c>
      <c r="AD249" s="64" t="str">
        <f t="shared" si="111"/>
        <v>POYOWA BESAR</v>
      </c>
      <c r="AE249" s="103"/>
      <c r="AF249" s="103"/>
      <c r="AG249" s="103"/>
      <c r="AH249" s="103"/>
      <c r="AI249" s="104"/>
      <c r="AJ249" s="11" t="s">
        <v>277</v>
      </c>
      <c r="AK249" s="102" t="s">
        <v>96</v>
      </c>
      <c r="AL249" s="106"/>
      <c r="AM249" s="106"/>
      <c r="AN249" s="106"/>
      <c r="AO249" s="106"/>
      <c r="AP249" s="106"/>
      <c r="AQ249" s="180" t="s">
        <v>97</v>
      </c>
      <c r="AR249" s="70" t="str">
        <f t="shared" si="98"/>
        <v>KTG.100.0101</v>
      </c>
      <c r="AS249" s="71" t="str">
        <f t="shared" si="113"/>
        <v>KPBS-2.020</v>
      </c>
      <c r="AT249" s="71" t="str">
        <f t="shared" si="114"/>
        <v>B10</v>
      </c>
      <c r="AU249" s="105"/>
      <c r="AV249" s="202">
        <v>0.70762873749999899</v>
      </c>
      <c r="AW249" s="202">
        <v>124.3230717731</v>
      </c>
      <c r="AX249" s="106" t="s">
        <v>98</v>
      </c>
      <c r="AY249" s="106" t="s">
        <v>94</v>
      </c>
      <c r="AZ249" s="106" t="s">
        <v>94</v>
      </c>
      <c r="BA249" s="73" t="s">
        <v>77</v>
      </c>
      <c r="BB249" s="106" t="s">
        <v>98</v>
      </c>
      <c r="BC249" s="106">
        <v>31</v>
      </c>
      <c r="BD249" s="106" t="s">
        <v>98</v>
      </c>
      <c r="BE249" s="211" t="str">
        <f t="shared" si="115"/>
        <v>635A, POYOWA BESAR,</v>
      </c>
    </row>
    <row r="250" spans="1:57" s="211" customFormat="1" ht="15.75" customHeight="1">
      <c r="A250" s="219"/>
      <c r="B250" s="219"/>
      <c r="C250" s="219"/>
      <c r="D250" s="219"/>
      <c r="E250" s="219"/>
      <c r="F250" s="219"/>
      <c r="G250" s="220"/>
      <c r="H250" s="12">
        <v>8</v>
      </c>
      <c r="I250" s="64" t="str">
        <f t="shared" ref="I250:M250" si="117">I249</f>
        <v>MR.KPBS.P084</v>
      </c>
      <c r="J250" s="64">
        <f t="shared" si="117"/>
        <v>0.70758923399999996</v>
      </c>
      <c r="K250" s="64">
        <f t="shared" si="117"/>
        <v>124.3227885845</v>
      </c>
      <c r="L250" s="64" t="str">
        <f t="shared" si="117"/>
        <v>JL. RAYA POYOWA BESAR</v>
      </c>
      <c r="M250" s="64" t="str">
        <f t="shared" si="117"/>
        <v>SULAWESI UTARA</v>
      </c>
      <c r="N250" s="65" t="s">
        <v>105</v>
      </c>
      <c r="O250" s="66" t="s">
        <v>118</v>
      </c>
      <c r="P250" s="65" t="s">
        <v>119</v>
      </c>
      <c r="Q250" s="66">
        <v>95717</v>
      </c>
      <c r="R250" s="98"/>
      <c r="S250" s="99"/>
      <c r="T250" s="100"/>
      <c r="U250" s="99"/>
      <c r="V250" s="100"/>
      <c r="W250" s="97" t="s">
        <v>105</v>
      </c>
      <c r="X250" s="101"/>
      <c r="Y250" s="64" t="s">
        <v>106</v>
      </c>
      <c r="Z250" s="64" t="str">
        <f t="shared" si="97"/>
        <v>KELURAHAN POYOWA BESAR SATU KOTAMOBAGU</v>
      </c>
      <c r="AA250" s="102"/>
      <c r="AB250" s="102"/>
      <c r="AC250" s="102" t="s">
        <v>70</v>
      </c>
      <c r="AD250" s="64" t="str">
        <f t="shared" si="111"/>
        <v>POYOWA BESAR</v>
      </c>
      <c r="AE250" s="103"/>
      <c r="AF250" s="103"/>
      <c r="AG250" s="103"/>
      <c r="AH250" s="103"/>
      <c r="AI250" s="104"/>
      <c r="AJ250" s="11" t="s">
        <v>278</v>
      </c>
      <c r="AK250" s="102" t="s">
        <v>96</v>
      </c>
      <c r="AL250" s="106"/>
      <c r="AM250" s="106"/>
      <c r="AN250" s="106"/>
      <c r="AO250" s="106"/>
      <c r="AP250" s="106"/>
      <c r="AQ250" s="180" t="s">
        <v>97</v>
      </c>
      <c r="AR250" s="70" t="str">
        <f t="shared" si="98"/>
        <v>KTG.100.0101</v>
      </c>
      <c r="AS250" s="71" t="str">
        <f t="shared" si="113"/>
        <v>KPBS-2.020</v>
      </c>
      <c r="AT250" s="71" t="str">
        <f t="shared" si="114"/>
        <v>B10</v>
      </c>
      <c r="AU250" s="105"/>
      <c r="AV250" s="202">
        <v>0.7078238671</v>
      </c>
      <c r="AW250" s="202">
        <v>124.3231347589</v>
      </c>
      <c r="AX250" s="106" t="s">
        <v>98</v>
      </c>
      <c r="AY250" s="106" t="s">
        <v>94</v>
      </c>
      <c r="AZ250" s="106" t="s">
        <v>94</v>
      </c>
      <c r="BA250" s="73" t="s">
        <v>77</v>
      </c>
      <c r="BB250" s="106" t="s">
        <v>98</v>
      </c>
      <c r="BC250" s="106">
        <v>31</v>
      </c>
      <c r="BD250" s="106" t="s">
        <v>98</v>
      </c>
      <c r="BE250" s="211" t="str">
        <f t="shared" si="103"/>
        <v>636, POYOWA BESAR,</v>
      </c>
    </row>
    <row r="251" spans="1:57" s="211" customFormat="1" ht="15.75" customHeight="1">
      <c r="A251" s="219"/>
      <c r="B251" s="219"/>
      <c r="C251" s="219"/>
      <c r="D251" s="219"/>
      <c r="E251" s="219"/>
      <c r="F251" s="219"/>
      <c r="G251" s="220"/>
      <c r="H251" s="12">
        <v>9</v>
      </c>
      <c r="I251" s="64" t="str">
        <f t="shared" ref="I251:M251" si="118">I250</f>
        <v>MR.KPBS.P084</v>
      </c>
      <c r="J251" s="64">
        <f t="shared" si="118"/>
        <v>0.70758923399999996</v>
      </c>
      <c r="K251" s="64">
        <f t="shared" si="118"/>
        <v>124.3227885845</v>
      </c>
      <c r="L251" s="64" t="str">
        <f t="shared" si="118"/>
        <v>JL. RAYA POYOWA BESAR</v>
      </c>
      <c r="M251" s="64" t="str">
        <f t="shared" si="118"/>
        <v>SULAWESI UTARA</v>
      </c>
      <c r="N251" s="65" t="s">
        <v>105</v>
      </c>
      <c r="O251" s="66" t="s">
        <v>118</v>
      </c>
      <c r="P251" s="65" t="s">
        <v>119</v>
      </c>
      <c r="Q251" s="66">
        <v>95717</v>
      </c>
      <c r="R251" s="98"/>
      <c r="S251" s="99"/>
      <c r="T251" s="100"/>
      <c r="U251" s="99"/>
      <c r="V251" s="100"/>
      <c r="W251" s="101" t="s">
        <v>105</v>
      </c>
      <c r="X251" s="101"/>
      <c r="Y251" s="64" t="s">
        <v>106</v>
      </c>
      <c r="Z251" s="64" t="str">
        <f t="shared" si="97"/>
        <v>KELURAHAN POYOWA BESAR SATU KOTAMOBAGU</v>
      </c>
      <c r="AA251" s="102"/>
      <c r="AB251" s="102"/>
      <c r="AC251" s="102" t="s">
        <v>70</v>
      </c>
      <c r="AD251" s="64" t="str">
        <f t="shared" si="111"/>
        <v>POYOWA BESAR</v>
      </c>
      <c r="AE251" s="103"/>
      <c r="AF251" s="103"/>
      <c r="AG251" s="103"/>
      <c r="AH251" s="103"/>
      <c r="AI251" s="104"/>
      <c r="AJ251" s="11" t="s">
        <v>279</v>
      </c>
      <c r="AK251" s="102" t="s">
        <v>96</v>
      </c>
      <c r="AL251" s="106"/>
      <c r="AM251" s="106"/>
      <c r="AN251" s="106"/>
      <c r="AO251" s="106"/>
      <c r="AP251" s="106"/>
      <c r="AQ251" s="180" t="s">
        <v>97</v>
      </c>
      <c r="AR251" s="70" t="str">
        <f t="shared" si="98"/>
        <v>KTG.100.0101</v>
      </c>
      <c r="AS251" s="71" t="str">
        <f t="shared" si="113"/>
        <v>KPBS-2.020</v>
      </c>
      <c r="AT251" s="71" t="str">
        <f t="shared" si="114"/>
        <v>B10</v>
      </c>
      <c r="AU251" s="105"/>
      <c r="AV251" s="202">
        <v>0.70732091750000003</v>
      </c>
      <c r="AW251" s="202">
        <v>124.3231347733</v>
      </c>
      <c r="AX251" s="106" t="s">
        <v>98</v>
      </c>
      <c r="AY251" s="106" t="s">
        <v>94</v>
      </c>
      <c r="AZ251" s="106" t="s">
        <v>94</v>
      </c>
      <c r="BA251" s="73" t="s">
        <v>77</v>
      </c>
      <c r="BB251" s="106" t="s">
        <v>98</v>
      </c>
      <c r="BC251" s="106">
        <v>31</v>
      </c>
      <c r="BD251" s="106" t="s">
        <v>98</v>
      </c>
      <c r="BE251" s="211" t="str">
        <f t="shared" si="103"/>
        <v>646, POYOWA BESAR,</v>
      </c>
    </row>
    <row r="252" spans="1:57" s="211" customFormat="1" ht="15.75" customHeight="1">
      <c r="A252" s="219"/>
      <c r="B252" s="219"/>
      <c r="C252" s="219"/>
      <c r="D252" s="219"/>
      <c r="E252" s="219"/>
      <c r="F252" s="219"/>
      <c r="G252" s="220"/>
      <c r="H252" s="12">
        <v>10</v>
      </c>
      <c r="I252" s="64" t="str">
        <f t="shared" ref="I252:M252" si="119">I251</f>
        <v>MR.KPBS.P084</v>
      </c>
      <c r="J252" s="64">
        <f t="shared" si="119"/>
        <v>0.70758923399999996</v>
      </c>
      <c r="K252" s="64">
        <f t="shared" si="119"/>
        <v>124.3227885845</v>
      </c>
      <c r="L252" s="64" t="str">
        <f t="shared" si="119"/>
        <v>JL. RAYA POYOWA BESAR</v>
      </c>
      <c r="M252" s="64" t="str">
        <f t="shared" si="119"/>
        <v>SULAWESI UTARA</v>
      </c>
      <c r="N252" s="65" t="s">
        <v>105</v>
      </c>
      <c r="O252" s="66" t="s">
        <v>118</v>
      </c>
      <c r="P252" s="65" t="s">
        <v>119</v>
      </c>
      <c r="Q252" s="66">
        <v>95717</v>
      </c>
      <c r="R252" s="98"/>
      <c r="S252" s="99"/>
      <c r="T252" s="100"/>
      <c r="U252" s="99"/>
      <c r="V252" s="100"/>
      <c r="W252" s="101" t="s">
        <v>105</v>
      </c>
      <c r="X252" s="101"/>
      <c r="Y252" s="64" t="s">
        <v>106</v>
      </c>
      <c r="Z252" s="64" t="str">
        <f t="shared" si="97"/>
        <v>KELURAHAN POYOWA BESAR SATU KOTAMOBAGU</v>
      </c>
      <c r="AA252" s="102"/>
      <c r="AB252" s="102"/>
      <c r="AC252" s="102" t="s">
        <v>70</v>
      </c>
      <c r="AD252" s="64" t="str">
        <f t="shared" si="111"/>
        <v>POYOWA BESAR</v>
      </c>
      <c r="AE252" s="103"/>
      <c r="AF252" s="103"/>
      <c r="AG252" s="103"/>
      <c r="AH252" s="103"/>
      <c r="AI252" s="104"/>
      <c r="AJ252" s="11" t="s">
        <v>280</v>
      </c>
      <c r="AK252" s="102" t="s">
        <v>96</v>
      </c>
      <c r="AL252" s="106"/>
      <c r="AM252" s="106"/>
      <c r="AN252" s="106"/>
      <c r="AO252" s="106"/>
      <c r="AP252" s="106"/>
      <c r="AQ252" s="180" t="s">
        <v>97</v>
      </c>
      <c r="AR252" s="70" t="str">
        <f t="shared" si="98"/>
        <v>KTG.100.0101</v>
      </c>
      <c r="AS252" s="71" t="str">
        <f t="shared" si="113"/>
        <v>KPBS-2.020</v>
      </c>
      <c r="AT252" s="71" t="str">
        <f t="shared" si="114"/>
        <v>B10</v>
      </c>
      <c r="AU252" s="105"/>
      <c r="AV252" s="202">
        <v>0.70729326039999996</v>
      </c>
      <c r="AW252" s="202">
        <v>124.3229843779</v>
      </c>
      <c r="AX252" s="106" t="s">
        <v>98</v>
      </c>
      <c r="AY252" s="106" t="s">
        <v>94</v>
      </c>
      <c r="AZ252" s="106" t="s">
        <v>94</v>
      </c>
      <c r="BA252" s="73" t="s">
        <v>77</v>
      </c>
      <c r="BB252" s="106" t="s">
        <v>98</v>
      </c>
      <c r="BC252" s="106">
        <v>31</v>
      </c>
      <c r="BD252" s="106" t="s">
        <v>98</v>
      </c>
      <c r="BE252" s="211" t="str">
        <f t="shared" si="103"/>
        <v>648, POYOWA BESAR,</v>
      </c>
    </row>
    <row r="253" spans="1:57" s="211" customFormat="1" ht="15.75" customHeight="1">
      <c r="A253" s="219"/>
      <c r="B253" s="219"/>
      <c r="C253" s="219"/>
      <c r="D253" s="219"/>
      <c r="E253" s="219"/>
      <c r="F253" s="219"/>
      <c r="G253" s="220"/>
      <c r="H253" s="12">
        <v>11</v>
      </c>
      <c r="I253" s="64" t="str">
        <f t="shared" ref="I253:M253" si="120">I252</f>
        <v>MR.KPBS.P084</v>
      </c>
      <c r="J253" s="64">
        <f t="shared" si="120"/>
        <v>0.70758923399999996</v>
      </c>
      <c r="K253" s="64">
        <f t="shared" si="120"/>
        <v>124.3227885845</v>
      </c>
      <c r="L253" s="64" t="str">
        <f t="shared" si="120"/>
        <v>JL. RAYA POYOWA BESAR</v>
      </c>
      <c r="M253" s="64" t="str">
        <f t="shared" si="120"/>
        <v>SULAWESI UTARA</v>
      </c>
      <c r="N253" s="65" t="s">
        <v>105</v>
      </c>
      <c r="O253" s="66" t="s">
        <v>118</v>
      </c>
      <c r="P253" s="65" t="s">
        <v>119</v>
      </c>
      <c r="Q253" s="66">
        <v>95717</v>
      </c>
      <c r="R253" s="67"/>
      <c r="S253" s="68"/>
      <c r="T253" s="68"/>
      <c r="U253" s="68"/>
      <c r="V253" s="68"/>
      <c r="W253" s="65" t="s">
        <v>105</v>
      </c>
      <c r="X253" s="64"/>
      <c r="Y253" s="64" t="s">
        <v>106</v>
      </c>
      <c r="Z253" s="64" t="str">
        <f t="shared" si="97"/>
        <v>KELURAHAN POYOWA BESAR SATU KOTAMOBAGU</v>
      </c>
      <c r="AA253" s="102"/>
      <c r="AB253" s="102"/>
      <c r="AC253" s="102" t="s">
        <v>70</v>
      </c>
      <c r="AD253" s="64" t="str">
        <f t="shared" si="111"/>
        <v>POYOWA BESAR</v>
      </c>
      <c r="AE253" s="103"/>
      <c r="AF253" s="103"/>
      <c r="AG253" s="103"/>
      <c r="AH253" s="103"/>
      <c r="AI253" s="104"/>
      <c r="AJ253" s="11" t="s">
        <v>281</v>
      </c>
      <c r="AK253" s="102" t="s">
        <v>96</v>
      </c>
      <c r="AL253" s="106"/>
      <c r="AM253" s="106"/>
      <c r="AN253" s="106"/>
      <c r="AO253" s="106"/>
      <c r="AP253" s="106"/>
      <c r="AQ253" s="180" t="s">
        <v>97</v>
      </c>
      <c r="AR253" s="70" t="str">
        <f t="shared" si="98"/>
        <v>KTG.100.0101</v>
      </c>
      <c r="AS253" s="71" t="str">
        <f t="shared" si="113"/>
        <v>KPBS-2.020</v>
      </c>
      <c r="AT253" s="71" t="str">
        <f t="shared" si="114"/>
        <v>B10</v>
      </c>
      <c r="AU253" s="72"/>
      <c r="AV253" s="202">
        <v>0.70730026609999996</v>
      </c>
      <c r="AW253" s="202">
        <v>124.3226823353</v>
      </c>
      <c r="AX253" s="65" t="s">
        <v>98</v>
      </c>
      <c r="AY253" s="65" t="s">
        <v>94</v>
      </c>
      <c r="AZ253" s="65" t="s">
        <v>94</v>
      </c>
      <c r="BA253" s="73" t="s">
        <v>77</v>
      </c>
      <c r="BB253" s="65" t="s">
        <v>98</v>
      </c>
      <c r="BC253" s="65">
        <v>31</v>
      </c>
      <c r="BD253" s="65" t="s">
        <v>98</v>
      </c>
      <c r="BE253" s="211" t="str">
        <f t="shared" si="103"/>
        <v>645, POYOWA BESAR,</v>
      </c>
    </row>
    <row r="254" spans="1:57" s="211" customFormat="1" ht="15.75" customHeight="1">
      <c r="A254" s="121" t="s">
        <v>100</v>
      </c>
      <c r="B254" s="121">
        <f>B243+1</f>
        <v>19</v>
      </c>
      <c r="C254" s="122" t="s">
        <v>99</v>
      </c>
      <c r="D254" s="122" t="s">
        <v>351</v>
      </c>
      <c r="E254" s="122">
        <v>3</v>
      </c>
      <c r="F254" s="2">
        <f>F244+3</f>
        <v>25</v>
      </c>
      <c r="G254" s="213" t="s">
        <v>91</v>
      </c>
      <c r="H254" s="123">
        <v>1</v>
      </c>
      <c r="I254" s="140" t="s">
        <v>966</v>
      </c>
      <c r="J254" s="140">
        <v>0.70708785269999996</v>
      </c>
      <c r="K254" s="140">
        <v>124.3224923272</v>
      </c>
      <c r="L254" s="16" t="s">
        <v>116</v>
      </c>
      <c r="M254" s="140" t="str">
        <f t="shared" ref="M254" si="121">M253</f>
        <v>SULAWESI UTARA</v>
      </c>
      <c r="N254" s="13" t="s">
        <v>105</v>
      </c>
      <c r="O254" s="127" t="s">
        <v>118</v>
      </c>
      <c r="P254" s="13" t="s">
        <v>119</v>
      </c>
      <c r="Q254" s="127">
        <v>95717</v>
      </c>
      <c r="R254" s="128"/>
      <c r="S254" s="129"/>
      <c r="T254" s="130"/>
      <c r="U254" s="129"/>
      <c r="V254" s="130"/>
      <c r="W254" s="126" t="s">
        <v>105</v>
      </c>
      <c r="X254" s="125"/>
      <c r="Y254" s="140" t="s">
        <v>106</v>
      </c>
      <c r="Z254" s="140" t="str">
        <f t="shared" si="97"/>
        <v>KELURAHAN POYOWA BESAR SATU KOTAMOBAGU</v>
      </c>
      <c r="AA254" s="131"/>
      <c r="AB254" s="131"/>
      <c r="AC254" s="131" t="s">
        <v>70</v>
      </c>
      <c r="AD254" s="16" t="s">
        <v>119</v>
      </c>
      <c r="AE254" s="15"/>
      <c r="AF254" s="15"/>
      <c r="AG254" s="15"/>
      <c r="AH254" s="15"/>
      <c r="AI254" s="132"/>
      <c r="AJ254" s="133" t="s">
        <v>837</v>
      </c>
      <c r="AK254" s="131" t="s">
        <v>96</v>
      </c>
      <c r="AL254" s="137"/>
      <c r="AM254" s="194"/>
      <c r="AN254" s="194"/>
      <c r="AO254" s="194"/>
      <c r="AP254" s="194"/>
      <c r="AQ254" s="195" t="s">
        <v>97</v>
      </c>
      <c r="AR254" s="134" t="str">
        <f t="shared" si="98"/>
        <v>KTG.100.0101</v>
      </c>
      <c r="AS254" s="135" t="str">
        <f>AS243</f>
        <v>KPBS-2.020</v>
      </c>
      <c r="AT254" s="135" t="str">
        <f>G254</f>
        <v>B11</v>
      </c>
      <c r="AU254" s="136"/>
      <c r="AV254" s="205">
        <v>0.7070623358</v>
      </c>
      <c r="AW254" s="205">
        <v>124.3227184265</v>
      </c>
      <c r="AX254" s="137" t="s">
        <v>98</v>
      </c>
      <c r="AY254" s="137" t="s">
        <v>94</v>
      </c>
      <c r="AZ254" s="137" t="s">
        <v>94</v>
      </c>
      <c r="BA254" s="138" t="s">
        <v>77</v>
      </c>
      <c r="BB254" s="137" t="s">
        <v>98</v>
      </c>
      <c r="BC254" s="137">
        <v>31</v>
      </c>
      <c r="BD254" s="137" t="s">
        <v>98</v>
      </c>
      <c r="BE254" s="211" t="str">
        <f t="shared" si="103"/>
        <v>650, POYOWA BESAR,</v>
      </c>
    </row>
    <row r="255" spans="1:57" s="211" customFormat="1" ht="15.75" customHeight="1">
      <c r="A255" s="21"/>
      <c r="B255" s="21"/>
      <c r="C255" s="22" t="s">
        <v>99</v>
      </c>
      <c r="D255" s="22" t="s">
        <v>351</v>
      </c>
      <c r="E255" s="122">
        <v>3</v>
      </c>
      <c r="F255" s="6">
        <f>F254+1</f>
        <v>26</v>
      </c>
      <c r="G255" s="213"/>
      <c r="H255" s="12">
        <v>2</v>
      </c>
      <c r="I255" s="64" t="str">
        <f>I254</f>
        <v>MR.KPBS.P087</v>
      </c>
      <c r="J255" s="64">
        <f t="shared" ref="I255:M263" si="122">J254</f>
        <v>0.70708785269999996</v>
      </c>
      <c r="K255" s="64">
        <f t="shared" si="122"/>
        <v>124.3224923272</v>
      </c>
      <c r="L255" s="64" t="str">
        <f t="shared" si="122"/>
        <v>JL. RAYA POYOWA BESAR</v>
      </c>
      <c r="M255" s="64" t="str">
        <f t="shared" si="122"/>
        <v>SULAWESI UTARA</v>
      </c>
      <c r="N255" s="65" t="s">
        <v>105</v>
      </c>
      <c r="O255" s="66" t="s">
        <v>118</v>
      </c>
      <c r="P255" s="65" t="s">
        <v>119</v>
      </c>
      <c r="Q255" s="66">
        <v>95717</v>
      </c>
      <c r="R255" s="98"/>
      <c r="S255" s="99"/>
      <c r="T255" s="100"/>
      <c r="U255" s="99"/>
      <c r="V255" s="100"/>
      <c r="W255" s="97" t="s">
        <v>105</v>
      </c>
      <c r="X255" s="101"/>
      <c r="Y255" s="64" t="s">
        <v>106</v>
      </c>
      <c r="Z255" s="64" t="str">
        <f t="shared" si="97"/>
        <v>KELURAHAN POYOWA BESAR SATU KOTAMOBAGU</v>
      </c>
      <c r="AA255" s="102"/>
      <c r="AB255" s="102"/>
      <c r="AC255" s="102" t="s">
        <v>70</v>
      </c>
      <c r="AD255" s="64" t="str">
        <f t="shared" ref="AD255:AD263" si="123">AD254</f>
        <v>POYOWA BESAR</v>
      </c>
      <c r="AE255" s="103"/>
      <c r="AF255" s="103"/>
      <c r="AG255" s="103"/>
      <c r="AH255" s="103"/>
      <c r="AI255" s="104"/>
      <c r="AJ255" s="11" t="s">
        <v>838</v>
      </c>
      <c r="AK255" s="102" t="s">
        <v>96</v>
      </c>
      <c r="AL255" s="106"/>
      <c r="AM255" s="192"/>
      <c r="AN255" s="192"/>
      <c r="AO255" s="192"/>
      <c r="AP255" s="192"/>
      <c r="AQ255" s="180" t="s">
        <v>97</v>
      </c>
      <c r="AR255" s="70" t="str">
        <f t="shared" si="98"/>
        <v>KTG.100.0101</v>
      </c>
      <c r="AS255" s="71" t="str">
        <f t="shared" ref="AS255:AT304" si="124">AS254</f>
        <v>KPBS-2.020</v>
      </c>
      <c r="AT255" s="71" t="str">
        <f t="shared" si="124"/>
        <v>B11</v>
      </c>
      <c r="AU255" s="105"/>
      <c r="AV255" s="202">
        <v>0.70720842419999996</v>
      </c>
      <c r="AW255" s="202">
        <v>124.322671008</v>
      </c>
      <c r="AX255" s="106" t="s">
        <v>98</v>
      </c>
      <c r="AY255" s="106" t="s">
        <v>94</v>
      </c>
      <c r="AZ255" s="106" t="s">
        <v>94</v>
      </c>
      <c r="BA255" s="73" t="s">
        <v>77</v>
      </c>
      <c r="BB255" s="106" t="s">
        <v>98</v>
      </c>
      <c r="BC255" s="106">
        <v>31</v>
      </c>
      <c r="BD255" s="106" t="s">
        <v>98</v>
      </c>
      <c r="BE255" s="211" t="str">
        <f t="shared" si="103"/>
        <v>649, POYOWA BESAR,</v>
      </c>
    </row>
    <row r="256" spans="1:57" s="211" customFormat="1" ht="15.75" customHeight="1">
      <c r="A256" s="215"/>
      <c r="B256" s="216"/>
      <c r="C256" s="216"/>
      <c r="D256" s="216"/>
      <c r="E256" s="216"/>
      <c r="F256" s="216"/>
      <c r="G256" s="217"/>
      <c r="H256" s="12">
        <v>3</v>
      </c>
      <c r="I256" s="64" t="str">
        <f t="shared" si="122"/>
        <v>MR.KPBS.P087</v>
      </c>
      <c r="J256" s="64">
        <f t="shared" si="122"/>
        <v>0.70708785269999996</v>
      </c>
      <c r="K256" s="64">
        <f t="shared" si="122"/>
        <v>124.3224923272</v>
      </c>
      <c r="L256" s="64" t="str">
        <f t="shared" si="122"/>
        <v>JL. RAYA POYOWA BESAR</v>
      </c>
      <c r="M256" s="64" t="str">
        <f t="shared" si="122"/>
        <v>SULAWESI UTARA</v>
      </c>
      <c r="N256" s="65" t="s">
        <v>105</v>
      </c>
      <c r="O256" s="66" t="s">
        <v>118</v>
      </c>
      <c r="P256" s="65" t="s">
        <v>119</v>
      </c>
      <c r="Q256" s="66">
        <v>95717</v>
      </c>
      <c r="R256" s="98"/>
      <c r="S256" s="99"/>
      <c r="T256" s="100"/>
      <c r="U256" s="99"/>
      <c r="V256" s="100"/>
      <c r="W256" s="97" t="s">
        <v>105</v>
      </c>
      <c r="X256" s="101"/>
      <c r="Y256" s="64" t="s">
        <v>106</v>
      </c>
      <c r="Z256" s="64" t="str">
        <f t="shared" si="97"/>
        <v>KELURAHAN POYOWA BESAR SATU KOTAMOBAGU</v>
      </c>
      <c r="AA256" s="102"/>
      <c r="AB256" s="102"/>
      <c r="AC256" s="102" t="s">
        <v>70</v>
      </c>
      <c r="AD256" s="64" t="str">
        <f t="shared" si="123"/>
        <v>POYOWA BESAR</v>
      </c>
      <c r="AE256" s="103"/>
      <c r="AF256" s="103"/>
      <c r="AG256" s="103"/>
      <c r="AH256" s="103"/>
      <c r="AI256" s="104"/>
      <c r="AJ256" s="11" t="s">
        <v>839</v>
      </c>
      <c r="AK256" s="102" t="s">
        <v>96</v>
      </c>
      <c r="AL256" s="106"/>
      <c r="AM256" s="192"/>
      <c r="AN256" s="192"/>
      <c r="AO256" s="192"/>
      <c r="AP256" s="192"/>
      <c r="AQ256" s="180" t="s">
        <v>97</v>
      </c>
      <c r="AR256" s="70" t="str">
        <f t="shared" si="98"/>
        <v>KTG.100.0101</v>
      </c>
      <c r="AS256" s="71" t="str">
        <f t="shared" si="124"/>
        <v>KPBS-2.020</v>
      </c>
      <c r="AT256" s="71" t="str">
        <f t="shared" si="124"/>
        <v>B11</v>
      </c>
      <c r="AU256" s="105"/>
      <c r="AV256" s="202">
        <v>0.70704894060000001</v>
      </c>
      <c r="AW256" s="202">
        <v>124.32263822749999</v>
      </c>
      <c r="AX256" s="106" t="s">
        <v>98</v>
      </c>
      <c r="AY256" s="106" t="s">
        <v>94</v>
      </c>
      <c r="AZ256" s="106" t="s">
        <v>94</v>
      </c>
      <c r="BA256" s="73" t="s">
        <v>77</v>
      </c>
      <c r="BB256" s="106" t="s">
        <v>98</v>
      </c>
      <c r="BC256" s="106">
        <v>31</v>
      </c>
      <c r="BD256" s="106" t="s">
        <v>98</v>
      </c>
      <c r="BE256" s="211" t="str">
        <f t="shared" si="103"/>
        <v>651, POYOWA BESAR,</v>
      </c>
    </row>
    <row r="257" spans="1:57" s="211" customFormat="1" ht="15.75" customHeight="1">
      <c r="A257" s="218"/>
      <c r="B257" s="219"/>
      <c r="C257" s="219"/>
      <c r="D257" s="219"/>
      <c r="E257" s="219"/>
      <c r="F257" s="219"/>
      <c r="G257" s="220"/>
      <c r="H257" s="12">
        <v>4</v>
      </c>
      <c r="I257" s="64" t="str">
        <f t="shared" si="122"/>
        <v>MR.KPBS.P087</v>
      </c>
      <c r="J257" s="64">
        <f t="shared" si="122"/>
        <v>0.70708785269999996</v>
      </c>
      <c r="K257" s="64">
        <f t="shared" si="122"/>
        <v>124.3224923272</v>
      </c>
      <c r="L257" s="64" t="str">
        <f t="shared" si="122"/>
        <v>JL. RAYA POYOWA BESAR</v>
      </c>
      <c r="M257" s="64" t="str">
        <f t="shared" si="122"/>
        <v>SULAWESI UTARA</v>
      </c>
      <c r="N257" s="65" t="s">
        <v>105</v>
      </c>
      <c r="O257" s="66" t="s">
        <v>118</v>
      </c>
      <c r="P257" s="65" t="s">
        <v>119</v>
      </c>
      <c r="Q257" s="66">
        <v>95717</v>
      </c>
      <c r="R257" s="98"/>
      <c r="S257" s="99"/>
      <c r="T257" s="100"/>
      <c r="U257" s="99"/>
      <c r="V257" s="100"/>
      <c r="W257" s="97" t="s">
        <v>105</v>
      </c>
      <c r="X257" s="101"/>
      <c r="Y257" s="64" t="s">
        <v>106</v>
      </c>
      <c r="Z257" s="64" t="str">
        <f t="shared" si="97"/>
        <v>KELURAHAN POYOWA BESAR SATU KOTAMOBAGU</v>
      </c>
      <c r="AA257" s="102"/>
      <c r="AB257" s="102"/>
      <c r="AC257" s="102" t="s">
        <v>70</v>
      </c>
      <c r="AD257" s="64" t="str">
        <f t="shared" si="123"/>
        <v>POYOWA BESAR</v>
      </c>
      <c r="AE257" s="103"/>
      <c r="AF257" s="103"/>
      <c r="AG257" s="103"/>
      <c r="AH257" s="103"/>
      <c r="AI257" s="104"/>
      <c r="AJ257" s="11" t="s">
        <v>840</v>
      </c>
      <c r="AK257" s="102" t="s">
        <v>96</v>
      </c>
      <c r="AL257" s="106"/>
      <c r="AM257" s="192"/>
      <c r="AN257" s="192"/>
      <c r="AO257" s="192"/>
      <c r="AP257" s="192"/>
      <c r="AQ257" s="180" t="s">
        <v>97</v>
      </c>
      <c r="AR257" s="70" t="str">
        <f t="shared" ref="AR257:AR319" si="125">AR256</f>
        <v>KTG.100.0101</v>
      </c>
      <c r="AS257" s="71" t="str">
        <f t="shared" si="124"/>
        <v>KPBS-2.020</v>
      </c>
      <c r="AT257" s="71" t="str">
        <f t="shared" si="124"/>
        <v>B11</v>
      </c>
      <c r="AU257" s="105"/>
      <c r="AV257" s="202">
        <v>0.70701767910000002</v>
      </c>
      <c r="AW257" s="202">
        <v>124.3225446621</v>
      </c>
      <c r="AX257" s="106" t="s">
        <v>98</v>
      </c>
      <c r="AY257" s="106" t="s">
        <v>94</v>
      </c>
      <c r="AZ257" s="106" t="s">
        <v>94</v>
      </c>
      <c r="BA257" s="73" t="s">
        <v>77</v>
      </c>
      <c r="BB257" s="106" t="s">
        <v>98</v>
      </c>
      <c r="BC257" s="106">
        <v>31</v>
      </c>
      <c r="BD257" s="106" t="s">
        <v>98</v>
      </c>
      <c r="BE257" s="211" t="str">
        <f t="shared" si="103"/>
        <v>653, POYOWA BESAR,</v>
      </c>
    </row>
    <row r="258" spans="1:57" s="211" customFormat="1" ht="15.75" customHeight="1">
      <c r="A258" s="218"/>
      <c r="B258" s="219"/>
      <c r="C258" s="219"/>
      <c r="D258" s="219"/>
      <c r="E258" s="219"/>
      <c r="F258" s="219"/>
      <c r="G258" s="220"/>
      <c r="H258" s="12">
        <v>5</v>
      </c>
      <c r="I258" s="64" t="str">
        <f t="shared" si="122"/>
        <v>MR.KPBS.P087</v>
      </c>
      <c r="J258" s="64">
        <f t="shared" si="122"/>
        <v>0.70708785269999996</v>
      </c>
      <c r="K258" s="64">
        <f t="shared" si="122"/>
        <v>124.3224923272</v>
      </c>
      <c r="L258" s="64" t="str">
        <f t="shared" si="122"/>
        <v>JL. RAYA POYOWA BESAR</v>
      </c>
      <c r="M258" s="64" t="str">
        <f t="shared" si="122"/>
        <v>SULAWESI UTARA</v>
      </c>
      <c r="N258" s="65" t="s">
        <v>105</v>
      </c>
      <c r="O258" s="66" t="s">
        <v>118</v>
      </c>
      <c r="P258" s="65" t="s">
        <v>119</v>
      </c>
      <c r="Q258" s="66">
        <v>95717</v>
      </c>
      <c r="R258" s="98"/>
      <c r="S258" s="99"/>
      <c r="T258" s="100"/>
      <c r="U258" s="99"/>
      <c r="V258" s="100"/>
      <c r="W258" s="97" t="s">
        <v>105</v>
      </c>
      <c r="X258" s="101"/>
      <c r="Y258" s="64" t="s">
        <v>106</v>
      </c>
      <c r="Z258" s="64" t="str">
        <f t="shared" ref="Z258:Z321" si="126">Z257</f>
        <v>KELURAHAN POYOWA BESAR SATU KOTAMOBAGU</v>
      </c>
      <c r="AA258" s="102"/>
      <c r="AB258" s="102"/>
      <c r="AC258" s="102" t="s">
        <v>70</v>
      </c>
      <c r="AD258" s="64" t="str">
        <f t="shared" si="123"/>
        <v>POYOWA BESAR</v>
      </c>
      <c r="AE258" s="103"/>
      <c r="AF258" s="103"/>
      <c r="AG258" s="103"/>
      <c r="AH258" s="103"/>
      <c r="AI258" s="104"/>
      <c r="AJ258" s="11" t="s">
        <v>841</v>
      </c>
      <c r="AK258" s="102" t="s">
        <v>96</v>
      </c>
      <c r="AL258" s="106"/>
      <c r="AM258" s="192"/>
      <c r="AN258" s="192"/>
      <c r="AO258" s="192"/>
      <c r="AP258" s="192"/>
      <c r="AQ258" s="180" t="s">
        <v>97</v>
      </c>
      <c r="AR258" s="70" t="str">
        <f t="shared" si="125"/>
        <v>KTG.100.0101</v>
      </c>
      <c r="AS258" s="71" t="str">
        <f t="shared" si="124"/>
        <v>KPBS-2.020</v>
      </c>
      <c r="AT258" s="71" t="str">
        <f t="shared" si="124"/>
        <v>B11</v>
      </c>
      <c r="AU258" s="105"/>
      <c r="AV258" s="202">
        <v>0.70696559290000005</v>
      </c>
      <c r="AW258" s="202">
        <v>124.3224555522</v>
      </c>
      <c r="AX258" s="106" t="s">
        <v>98</v>
      </c>
      <c r="AY258" s="106" t="s">
        <v>94</v>
      </c>
      <c r="AZ258" s="106" t="s">
        <v>94</v>
      </c>
      <c r="BA258" s="73" t="s">
        <v>77</v>
      </c>
      <c r="BB258" s="106" t="s">
        <v>98</v>
      </c>
      <c r="BC258" s="106">
        <v>31</v>
      </c>
      <c r="BD258" s="106" t="s">
        <v>98</v>
      </c>
      <c r="BE258" s="211" t="str">
        <f t="shared" si="103"/>
        <v>655, POYOWA BESAR,</v>
      </c>
    </row>
    <row r="259" spans="1:57" s="211" customFormat="1" ht="15.75" customHeight="1">
      <c r="A259" s="218"/>
      <c r="B259" s="219"/>
      <c r="C259" s="219"/>
      <c r="D259" s="219"/>
      <c r="E259" s="219"/>
      <c r="F259" s="219"/>
      <c r="G259" s="220"/>
      <c r="H259" s="12">
        <v>6</v>
      </c>
      <c r="I259" s="64" t="str">
        <f t="shared" si="122"/>
        <v>MR.KPBS.P087</v>
      </c>
      <c r="J259" s="64">
        <f t="shared" si="122"/>
        <v>0.70708785269999996</v>
      </c>
      <c r="K259" s="64">
        <f t="shared" si="122"/>
        <v>124.3224923272</v>
      </c>
      <c r="L259" s="64" t="str">
        <f t="shared" si="122"/>
        <v>JL. RAYA POYOWA BESAR</v>
      </c>
      <c r="M259" s="64" t="str">
        <f t="shared" si="122"/>
        <v>SULAWESI UTARA</v>
      </c>
      <c r="N259" s="65" t="s">
        <v>105</v>
      </c>
      <c r="O259" s="66" t="s">
        <v>118</v>
      </c>
      <c r="P259" s="65" t="s">
        <v>119</v>
      </c>
      <c r="Q259" s="66">
        <v>95717</v>
      </c>
      <c r="R259" s="98"/>
      <c r="S259" s="99"/>
      <c r="T259" s="108"/>
      <c r="U259" s="109"/>
      <c r="V259" s="108"/>
      <c r="W259" s="97" t="s">
        <v>105</v>
      </c>
      <c r="X259" s="101"/>
      <c r="Y259" s="64" t="s">
        <v>106</v>
      </c>
      <c r="Z259" s="64" t="str">
        <f t="shared" si="126"/>
        <v>KELURAHAN POYOWA BESAR SATU KOTAMOBAGU</v>
      </c>
      <c r="AA259" s="102"/>
      <c r="AB259" s="102"/>
      <c r="AC259" s="102" t="s">
        <v>70</v>
      </c>
      <c r="AD259" s="64" t="str">
        <f t="shared" si="123"/>
        <v>POYOWA BESAR</v>
      </c>
      <c r="AE259" s="110"/>
      <c r="AF259" s="110"/>
      <c r="AG259" s="110"/>
      <c r="AH259" s="110"/>
      <c r="AI259" s="104"/>
      <c r="AJ259" s="11" t="s">
        <v>842</v>
      </c>
      <c r="AK259" s="102" t="s">
        <v>96</v>
      </c>
      <c r="AL259" s="106"/>
      <c r="AM259" s="192"/>
      <c r="AN259" s="192"/>
      <c r="AO259" s="192"/>
      <c r="AP259" s="192"/>
      <c r="AQ259" s="193" t="s">
        <v>97</v>
      </c>
      <c r="AR259" s="70" t="str">
        <f t="shared" si="125"/>
        <v>KTG.100.0101</v>
      </c>
      <c r="AS259" s="71" t="str">
        <f t="shared" si="124"/>
        <v>KPBS-2.020</v>
      </c>
      <c r="AT259" s="71" t="str">
        <f t="shared" si="124"/>
        <v>B11</v>
      </c>
      <c r="AU259" s="105"/>
      <c r="AV259" s="202">
        <v>0.70726624019999995</v>
      </c>
      <c r="AW259" s="202">
        <v>124.3224451558</v>
      </c>
      <c r="AX259" s="106" t="s">
        <v>98</v>
      </c>
      <c r="AY259" s="106" t="s">
        <v>94</v>
      </c>
      <c r="AZ259" s="106" t="s">
        <v>94</v>
      </c>
      <c r="BA259" s="73" t="s">
        <v>77</v>
      </c>
      <c r="BB259" s="106" t="s">
        <v>98</v>
      </c>
      <c r="BC259" s="106">
        <v>31</v>
      </c>
      <c r="BD259" s="106" t="s">
        <v>98</v>
      </c>
      <c r="BE259" s="211" t="str">
        <f t="shared" si="103"/>
        <v>654, POYOWA BESAR,</v>
      </c>
    </row>
    <row r="260" spans="1:57" s="211" customFormat="1" ht="15.75" customHeight="1">
      <c r="A260" s="218"/>
      <c r="B260" s="219"/>
      <c r="C260" s="219"/>
      <c r="D260" s="219"/>
      <c r="E260" s="219"/>
      <c r="F260" s="219"/>
      <c r="G260" s="220"/>
      <c r="H260" s="12">
        <v>7</v>
      </c>
      <c r="I260" s="64" t="str">
        <f t="shared" si="122"/>
        <v>MR.KPBS.P087</v>
      </c>
      <c r="J260" s="64">
        <f t="shared" si="122"/>
        <v>0.70708785269999996</v>
      </c>
      <c r="K260" s="64">
        <f t="shared" si="122"/>
        <v>124.3224923272</v>
      </c>
      <c r="L260" s="64" t="str">
        <f t="shared" si="122"/>
        <v>JL. RAYA POYOWA BESAR</v>
      </c>
      <c r="M260" s="64" t="str">
        <f t="shared" si="122"/>
        <v>SULAWESI UTARA</v>
      </c>
      <c r="N260" s="65" t="s">
        <v>105</v>
      </c>
      <c r="O260" s="66" t="s">
        <v>118</v>
      </c>
      <c r="P260" s="65" t="s">
        <v>119</v>
      </c>
      <c r="Q260" s="66">
        <v>95717</v>
      </c>
      <c r="R260" s="98"/>
      <c r="S260" s="99"/>
      <c r="T260" s="100"/>
      <c r="U260" s="99"/>
      <c r="V260" s="100"/>
      <c r="W260" s="97" t="s">
        <v>105</v>
      </c>
      <c r="X260" s="101"/>
      <c r="Y260" s="64" t="s">
        <v>106</v>
      </c>
      <c r="Z260" s="64" t="str">
        <f t="shared" si="126"/>
        <v>KELURAHAN POYOWA BESAR SATU KOTAMOBAGU</v>
      </c>
      <c r="AA260" s="102"/>
      <c r="AB260" s="102"/>
      <c r="AC260" s="102" t="s">
        <v>70</v>
      </c>
      <c r="AD260" s="64" t="str">
        <f t="shared" si="123"/>
        <v>POYOWA BESAR</v>
      </c>
      <c r="AE260" s="103"/>
      <c r="AF260" s="103"/>
      <c r="AG260" s="103"/>
      <c r="AH260" s="103"/>
      <c r="AI260" s="104"/>
      <c r="AJ260" s="102" t="s">
        <v>843</v>
      </c>
      <c r="AK260" s="102" t="s">
        <v>96</v>
      </c>
      <c r="AL260" s="106"/>
      <c r="AM260" s="106"/>
      <c r="AN260" s="106"/>
      <c r="AO260" s="106"/>
      <c r="AP260" s="106"/>
      <c r="AQ260" s="180" t="s">
        <v>97</v>
      </c>
      <c r="AR260" s="70" t="str">
        <f t="shared" si="125"/>
        <v>KTG.100.0101</v>
      </c>
      <c r="AS260" s="71" t="str">
        <f t="shared" si="124"/>
        <v>KPBS-2.020</v>
      </c>
      <c r="AT260" s="71" t="str">
        <f t="shared" si="124"/>
        <v>B11</v>
      </c>
      <c r="AU260" s="105"/>
      <c r="AV260" s="204">
        <v>0.70725284499999996</v>
      </c>
      <c r="AW260" s="204">
        <v>124.3223501053</v>
      </c>
      <c r="AX260" s="106" t="s">
        <v>98</v>
      </c>
      <c r="AY260" s="106" t="s">
        <v>94</v>
      </c>
      <c r="AZ260" s="106" t="s">
        <v>94</v>
      </c>
      <c r="BA260" s="73" t="s">
        <v>77</v>
      </c>
      <c r="BB260" s="106" t="s">
        <v>98</v>
      </c>
      <c r="BC260" s="106">
        <v>31</v>
      </c>
      <c r="BD260" s="106" t="s">
        <v>98</v>
      </c>
      <c r="BE260" s="211" t="str">
        <f t="shared" si="103"/>
        <v>656, POYOWA BESAR,</v>
      </c>
    </row>
    <row r="261" spans="1:57" s="211" customFormat="1" ht="15.75" customHeight="1">
      <c r="A261" s="218"/>
      <c r="B261" s="219"/>
      <c r="C261" s="219"/>
      <c r="D261" s="219"/>
      <c r="E261" s="219"/>
      <c r="F261" s="219"/>
      <c r="G261" s="220"/>
      <c r="H261" s="12">
        <v>8</v>
      </c>
      <c r="I261" s="64" t="str">
        <f t="shared" si="122"/>
        <v>MR.KPBS.P087</v>
      </c>
      <c r="J261" s="64">
        <f t="shared" si="122"/>
        <v>0.70708785269999996</v>
      </c>
      <c r="K261" s="64">
        <f t="shared" si="122"/>
        <v>124.3224923272</v>
      </c>
      <c r="L261" s="64" t="str">
        <f t="shared" si="122"/>
        <v>JL. RAYA POYOWA BESAR</v>
      </c>
      <c r="M261" s="64" t="str">
        <f t="shared" si="122"/>
        <v>SULAWESI UTARA</v>
      </c>
      <c r="N261" s="65" t="s">
        <v>105</v>
      </c>
      <c r="O261" s="66" t="s">
        <v>118</v>
      </c>
      <c r="P261" s="65" t="s">
        <v>119</v>
      </c>
      <c r="Q261" s="66">
        <v>95717</v>
      </c>
      <c r="R261" s="98"/>
      <c r="S261" s="99"/>
      <c r="T261" s="100"/>
      <c r="U261" s="99"/>
      <c r="V261" s="100"/>
      <c r="W261" s="97" t="s">
        <v>105</v>
      </c>
      <c r="X261" s="101"/>
      <c r="Y261" s="64" t="s">
        <v>106</v>
      </c>
      <c r="Z261" s="64" t="str">
        <f t="shared" si="126"/>
        <v>KELURAHAN POYOWA BESAR SATU KOTAMOBAGU</v>
      </c>
      <c r="AA261" s="102"/>
      <c r="AB261" s="102"/>
      <c r="AC261" s="102" t="s">
        <v>70</v>
      </c>
      <c r="AD261" s="64" t="str">
        <f t="shared" si="123"/>
        <v>POYOWA BESAR</v>
      </c>
      <c r="AE261" s="103"/>
      <c r="AF261" s="103"/>
      <c r="AG261" s="103"/>
      <c r="AH261" s="103"/>
      <c r="AI261" s="104"/>
      <c r="AJ261" s="102" t="s">
        <v>844</v>
      </c>
      <c r="AK261" s="102" t="s">
        <v>96</v>
      </c>
      <c r="AL261" s="106"/>
      <c r="AM261" s="106"/>
      <c r="AN261" s="106"/>
      <c r="AO261" s="106"/>
      <c r="AP261" s="106"/>
      <c r="AQ261" s="180" t="s">
        <v>97</v>
      </c>
      <c r="AR261" s="70" t="str">
        <f t="shared" si="125"/>
        <v>KTG.100.0101</v>
      </c>
      <c r="AS261" s="71" t="str">
        <f t="shared" si="124"/>
        <v>KPBS-2.020</v>
      </c>
      <c r="AT261" s="71" t="str">
        <f t="shared" si="124"/>
        <v>B11</v>
      </c>
      <c r="AU261" s="105"/>
      <c r="AV261" s="204">
        <v>0.70693582579999903</v>
      </c>
      <c r="AW261" s="204">
        <v>124.322372383</v>
      </c>
      <c r="AX261" s="106" t="s">
        <v>98</v>
      </c>
      <c r="AY261" s="106" t="s">
        <v>94</v>
      </c>
      <c r="AZ261" s="106" t="s">
        <v>94</v>
      </c>
      <c r="BA261" s="73" t="s">
        <v>77</v>
      </c>
      <c r="BB261" s="106" t="s">
        <v>98</v>
      </c>
      <c r="BC261" s="106">
        <v>31</v>
      </c>
      <c r="BD261" s="106" t="s">
        <v>98</v>
      </c>
      <c r="BE261" s="211" t="str">
        <f t="shared" si="103"/>
        <v>657, POYOWA BESAR,</v>
      </c>
    </row>
    <row r="262" spans="1:57" s="211" customFormat="1" ht="15.75" customHeight="1">
      <c r="A262" s="218"/>
      <c r="B262" s="219"/>
      <c r="C262" s="219"/>
      <c r="D262" s="219"/>
      <c r="E262" s="219"/>
      <c r="F262" s="219"/>
      <c r="G262" s="220"/>
      <c r="H262" s="12">
        <v>9</v>
      </c>
      <c r="I262" s="64" t="str">
        <f t="shared" si="122"/>
        <v>MR.KPBS.P087</v>
      </c>
      <c r="J262" s="64">
        <f t="shared" si="122"/>
        <v>0.70708785269999996</v>
      </c>
      <c r="K262" s="64">
        <f t="shared" si="122"/>
        <v>124.3224923272</v>
      </c>
      <c r="L262" s="64" t="str">
        <f t="shared" si="122"/>
        <v>JL. RAYA POYOWA BESAR</v>
      </c>
      <c r="M262" s="64" t="str">
        <f t="shared" si="122"/>
        <v>SULAWESI UTARA</v>
      </c>
      <c r="N262" s="65" t="s">
        <v>105</v>
      </c>
      <c r="O262" s="66" t="s">
        <v>118</v>
      </c>
      <c r="P262" s="65" t="s">
        <v>119</v>
      </c>
      <c r="Q262" s="66">
        <v>95717</v>
      </c>
      <c r="R262" s="98"/>
      <c r="S262" s="99"/>
      <c r="T262" s="108"/>
      <c r="U262" s="109"/>
      <c r="V262" s="108"/>
      <c r="W262" s="97" t="s">
        <v>105</v>
      </c>
      <c r="X262" s="101"/>
      <c r="Y262" s="64" t="s">
        <v>106</v>
      </c>
      <c r="Z262" s="64" t="str">
        <f t="shared" si="126"/>
        <v>KELURAHAN POYOWA BESAR SATU KOTAMOBAGU</v>
      </c>
      <c r="AA262" s="102"/>
      <c r="AB262" s="102"/>
      <c r="AC262" s="102" t="s">
        <v>70</v>
      </c>
      <c r="AD262" s="64" t="str">
        <f t="shared" si="123"/>
        <v>POYOWA BESAR</v>
      </c>
      <c r="AE262" s="103"/>
      <c r="AF262" s="103"/>
      <c r="AG262" s="103"/>
      <c r="AH262" s="103"/>
      <c r="AI262" s="104"/>
      <c r="AJ262" s="102" t="s">
        <v>845</v>
      </c>
      <c r="AK262" s="102" t="s">
        <v>96</v>
      </c>
      <c r="AL262" s="106"/>
      <c r="AM262" s="106"/>
      <c r="AN262" s="106"/>
      <c r="AO262" s="106"/>
      <c r="AP262" s="106"/>
      <c r="AQ262" s="180" t="s">
        <v>97</v>
      </c>
      <c r="AR262" s="70" t="str">
        <f t="shared" si="125"/>
        <v>KTG.100.0101</v>
      </c>
      <c r="AS262" s="71" t="str">
        <f t="shared" si="124"/>
        <v>KPBS-2.020</v>
      </c>
      <c r="AT262" s="71" t="str">
        <f t="shared" si="124"/>
        <v>B11</v>
      </c>
      <c r="AU262" s="105"/>
      <c r="AV262" s="204">
        <v>0.70689861700000001</v>
      </c>
      <c r="AW262" s="204">
        <v>124.3222906988</v>
      </c>
      <c r="AX262" s="106" t="s">
        <v>98</v>
      </c>
      <c r="AY262" s="106" t="s">
        <v>94</v>
      </c>
      <c r="AZ262" s="106" t="s">
        <v>94</v>
      </c>
      <c r="BA262" s="73" t="s">
        <v>77</v>
      </c>
      <c r="BB262" s="106" t="s">
        <v>98</v>
      </c>
      <c r="BC262" s="106">
        <v>31</v>
      </c>
      <c r="BD262" s="106" t="s">
        <v>98</v>
      </c>
      <c r="BE262" s="211" t="str">
        <f t="shared" si="103"/>
        <v>659, POYOWA BESAR,</v>
      </c>
    </row>
    <row r="263" spans="1:57" s="211" customFormat="1" ht="15.75" customHeight="1">
      <c r="A263" s="218"/>
      <c r="B263" s="219"/>
      <c r="C263" s="219"/>
      <c r="D263" s="219"/>
      <c r="E263" s="219"/>
      <c r="F263" s="219"/>
      <c r="G263" s="220"/>
      <c r="H263" s="12">
        <v>10</v>
      </c>
      <c r="I263" s="64" t="str">
        <f t="shared" si="122"/>
        <v>MR.KPBS.P087</v>
      </c>
      <c r="J263" s="64">
        <f t="shared" si="122"/>
        <v>0.70708785269999996</v>
      </c>
      <c r="K263" s="64">
        <f t="shared" si="122"/>
        <v>124.3224923272</v>
      </c>
      <c r="L263" s="64" t="str">
        <f t="shared" si="122"/>
        <v>JL. RAYA POYOWA BESAR</v>
      </c>
      <c r="M263" s="64" t="str">
        <f t="shared" si="122"/>
        <v>SULAWESI UTARA</v>
      </c>
      <c r="N263" s="65" t="s">
        <v>105</v>
      </c>
      <c r="O263" s="66" t="s">
        <v>118</v>
      </c>
      <c r="P263" s="65" t="s">
        <v>119</v>
      </c>
      <c r="Q263" s="66">
        <v>95717</v>
      </c>
      <c r="R263" s="98"/>
      <c r="S263" s="99"/>
      <c r="T263" s="100"/>
      <c r="U263" s="99"/>
      <c r="V263" s="100"/>
      <c r="W263" s="97" t="s">
        <v>105</v>
      </c>
      <c r="X263" s="101"/>
      <c r="Y263" s="64" t="s">
        <v>106</v>
      </c>
      <c r="Z263" s="64" t="str">
        <f t="shared" si="126"/>
        <v>KELURAHAN POYOWA BESAR SATU KOTAMOBAGU</v>
      </c>
      <c r="AA263" s="102"/>
      <c r="AB263" s="102"/>
      <c r="AC263" s="102" t="s">
        <v>70</v>
      </c>
      <c r="AD263" s="64" t="str">
        <f t="shared" si="123"/>
        <v>POYOWA BESAR</v>
      </c>
      <c r="AE263" s="103"/>
      <c r="AF263" s="103"/>
      <c r="AG263" s="103"/>
      <c r="AH263" s="103"/>
      <c r="AI263" s="104"/>
      <c r="AJ263" s="102" t="s">
        <v>846</v>
      </c>
      <c r="AK263" s="102" t="s">
        <v>96</v>
      </c>
      <c r="AL263" s="106"/>
      <c r="AM263" s="106"/>
      <c r="AN263" s="106"/>
      <c r="AO263" s="106"/>
      <c r="AP263" s="106"/>
      <c r="AQ263" s="180" t="s">
        <v>97</v>
      </c>
      <c r="AR263" s="70" t="str">
        <f t="shared" si="125"/>
        <v>KTG.100.0101</v>
      </c>
      <c r="AS263" s="71" t="str">
        <f t="shared" si="124"/>
        <v>KPBS-2.020</v>
      </c>
      <c r="AT263" s="71" t="str">
        <f t="shared" si="124"/>
        <v>B11</v>
      </c>
      <c r="AU263" s="105"/>
      <c r="AV263" s="204">
        <v>0.70724689159999998</v>
      </c>
      <c r="AW263" s="204">
        <v>124.3222476289</v>
      </c>
      <c r="AX263" s="106" t="s">
        <v>98</v>
      </c>
      <c r="AY263" s="106" t="s">
        <v>94</v>
      </c>
      <c r="AZ263" s="106" t="s">
        <v>94</v>
      </c>
      <c r="BA263" s="73" t="s">
        <v>77</v>
      </c>
      <c r="BB263" s="106" t="s">
        <v>98</v>
      </c>
      <c r="BC263" s="106">
        <v>31</v>
      </c>
      <c r="BD263" s="106" t="s">
        <v>98</v>
      </c>
      <c r="BE263" s="211" t="str">
        <f t="shared" si="103"/>
        <v>658, POYOWA BESAR,</v>
      </c>
    </row>
    <row r="264" spans="1:57" s="211" customFormat="1" ht="15.75" customHeight="1">
      <c r="A264" s="121" t="s">
        <v>100</v>
      </c>
      <c r="B264" s="121">
        <f>B254+1</f>
        <v>20</v>
      </c>
      <c r="C264" s="122" t="s">
        <v>99</v>
      </c>
      <c r="D264" s="122" t="s">
        <v>351</v>
      </c>
      <c r="E264" s="122">
        <v>3</v>
      </c>
      <c r="F264" s="2">
        <f>F255+1</f>
        <v>27</v>
      </c>
      <c r="G264" s="213" t="s">
        <v>92</v>
      </c>
      <c r="H264" s="123">
        <v>1</v>
      </c>
      <c r="I264" s="140" t="s">
        <v>339</v>
      </c>
      <c r="J264" s="140">
        <v>0.70702370209999998</v>
      </c>
      <c r="K264" s="140">
        <v>124.3218798682</v>
      </c>
      <c r="L264" s="16" t="s">
        <v>116</v>
      </c>
      <c r="M264" s="140" t="str">
        <f>M263</f>
        <v>SULAWESI UTARA</v>
      </c>
      <c r="N264" s="13" t="s">
        <v>105</v>
      </c>
      <c r="O264" s="127" t="s">
        <v>118</v>
      </c>
      <c r="P264" s="13" t="s">
        <v>119</v>
      </c>
      <c r="Q264" s="127">
        <v>95717</v>
      </c>
      <c r="R264" s="128"/>
      <c r="S264" s="129"/>
      <c r="T264" s="130"/>
      <c r="U264" s="129"/>
      <c r="V264" s="130"/>
      <c r="W264" s="126" t="s">
        <v>105</v>
      </c>
      <c r="X264" s="125"/>
      <c r="Y264" s="140" t="s">
        <v>106</v>
      </c>
      <c r="Z264" s="140" t="str">
        <f>Z263</f>
        <v>KELURAHAN POYOWA BESAR SATU KOTAMOBAGU</v>
      </c>
      <c r="AA264" s="131"/>
      <c r="AB264" s="131"/>
      <c r="AC264" s="131" t="s">
        <v>70</v>
      </c>
      <c r="AD264" s="16" t="s">
        <v>119</v>
      </c>
      <c r="AE264" s="15"/>
      <c r="AF264" s="15"/>
      <c r="AG264" s="15"/>
      <c r="AH264" s="15"/>
      <c r="AI264" s="132"/>
      <c r="AJ264" s="133" t="s">
        <v>847</v>
      </c>
      <c r="AK264" s="131" t="s">
        <v>96</v>
      </c>
      <c r="AL264" s="137"/>
      <c r="AM264" s="194"/>
      <c r="AN264" s="194"/>
      <c r="AO264" s="194"/>
      <c r="AP264" s="194"/>
      <c r="AQ264" s="195" t="s">
        <v>97</v>
      </c>
      <c r="AR264" s="134" t="str">
        <f>AR263</f>
        <v>KTG.100.0101</v>
      </c>
      <c r="AS264" s="135" t="str">
        <f>AS254</f>
        <v>KPBS-2.020</v>
      </c>
      <c r="AT264" s="135" t="str">
        <f>G264</f>
        <v>B12</v>
      </c>
      <c r="AU264" s="136"/>
      <c r="AV264" s="205">
        <v>0.7069239128</v>
      </c>
      <c r="AW264" s="205">
        <v>124.3220501019</v>
      </c>
      <c r="AX264" s="137" t="s">
        <v>98</v>
      </c>
      <c r="AY264" s="137" t="s">
        <v>94</v>
      </c>
      <c r="AZ264" s="137" t="s">
        <v>94</v>
      </c>
      <c r="BA264" s="138" t="s">
        <v>77</v>
      </c>
      <c r="BB264" s="137" t="s">
        <v>98</v>
      </c>
      <c r="BC264" s="137">
        <v>31</v>
      </c>
      <c r="BD264" s="137" t="s">
        <v>98</v>
      </c>
      <c r="BE264" s="211" t="str">
        <f t="shared" si="103"/>
        <v>663, POYOWA BESAR,</v>
      </c>
    </row>
    <row r="265" spans="1:57" s="211" customFormat="1" ht="15.75" customHeight="1">
      <c r="A265" s="21"/>
      <c r="B265" s="21"/>
      <c r="C265" s="22" t="s">
        <v>99</v>
      </c>
      <c r="D265" s="22" t="s">
        <v>351</v>
      </c>
      <c r="E265" s="122">
        <v>3</v>
      </c>
      <c r="F265" s="6">
        <f>F264+1</f>
        <v>28</v>
      </c>
      <c r="G265" s="213"/>
      <c r="H265" s="12">
        <v>2</v>
      </c>
      <c r="I265" s="64" t="str">
        <f t="shared" ref="I265:M274" si="127">I264</f>
        <v>MR.KPBS.P089</v>
      </c>
      <c r="J265" s="64">
        <f t="shared" si="127"/>
        <v>0.70702370209999998</v>
      </c>
      <c r="K265" s="64">
        <f t="shared" si="127"/>
        <v>124.3218798682</v>
      </c>
      <c r="L265" s="64" t="str">
        <f t="shared" si="127"/>
        <v>JL. RAYA POYOWA BESAR</v>
      </c>
      <c r="M265" s="64" t="str">
        <f t="shared" si="127"/>
        <v>SULAWESI UTARA</v>
      </c>
      <c r="N265" s="65" t="s">
        <v>105</v>
      </c>
      <c r="O265" s="66" t="s">
        <v>118</v>
      </c>
      <c r="P265" s="65" t="s">
        <v>119</v>
      </c>
      <c r="Q265" s="66">
        <v>95717</v>
      </c>
      <c r="R265" s="98"/>
      <c r="S265" s="99"/>
      <c r="T265" s="100"/>
      <c r="U265" s="99"/>
      <c r="V265" s="100"/>
      <c r="W265" s="97" t="s">
        <v>105</v>
      </c>
      <c r="X265" s="101"/>
      <c r="Y265" s="64" t="s">
        <v>106</v>
      </c>
      <c r="Z265" s="64" t="str">
        <f t="shared" si="126"/>
        <v>KELURAHAN POYOWA BESAR SATU KOTAMOBAGU</v>
      </c>
      <c r="AA265" s="102"/>
      <c r="AB265" s="102"/>
      <c r="AC265" s="102" t="s">
        <v>70</v>
      </c>
      <c r="AD265" s="64" t="str">
        <f t="shared" ref="AD265:AD274" si="128">AD264</f>
        <v>POYOWA BESAR</v>
      </c>
      <c r="AE265" s="103"/>
      <c r="AF265" s="103"/>
      <c r="AG265" s="103"/>
      <c r="AH265" s="103"/>
      <c r="AI265" s="104"/>
      <c r="AJ265" s="11" t="s">
        <v>848</v>
      </c>
      <c r="AK265" s="102" t="s">
        <v>96</v>
      </c>
      <c r="AL265" s="106"/>
      <c r="AM265" s="192"/>
      <c r="AN265" s="192"/>
      <c r="AO265" s="192"/>
      <c r="AP265" s="192"/>
      <c r="AQ265" s="180" t="s">
        <v>97</v>
      </c>
      <c r="AR265" s="70" t="str">
        <f t="shared" si="125"/>
        <v>KTG.100.0101</v>
      </c>
      <c r="AS265" s="71" t="str">
        <f t="shared" si="124"/>
        <v>KPBS-2.020</v>
      </c>
      <c r="AT265" s="71" t="str">
        <f t="shared" si="124"/>
        <v>B12</v>
      </c>
      <c r="AU265" s="105"/>
      <c r="AV265" s="202">
        <v>0.70718735749999895</v>
      </c>
      <c r="AW265" s="202">
        <v>124.3221481228</v>
      </c>
      <c r="AX265" s="106" t="s">
        <v>98</v>
      </c>
      <c r="AY265" s="106" t="s">
        <v>94</v>
      </c>
      <c r="AZ265" s="106" t="s">
        <v>94</v>
      </c>
      <c r="BA265" s="73" t="s">
        <v>77</v>
      </c>
      <c r="BB265" s="106" t="s">
        <v>98</v>
      </c>
      <c r="BC265" s="106">
        <v>31</v>
      </c>
      <c r="BD265" s="106" t="s">
        <v>98</v>
      </c>
      <c r="BE265" s="211" t="str">
        <f t="shared" si="103"/>
        <v>660, POYOWA BESAR,</v>
      </c>
    </row>
    <row r="266" spans="1:57" s="211" customFormat="1" ht="15.75" customHeight="1">
      <c r="A266" s="216"/>
      <c r="B266" s="216"/>
      <c r="C266" s="216"/>
      <c r="D266" s="216"/>
      <c r="E266" s="216"/>
      <c r="F266" s="216"/>
      <c r="G266" s="217"/>
      <c r="H266" s="12">
        <v>3</v>
      </c>
      <c r="I266" s="64" t="str">
        <f t="shared" si="127"/>
        <v>MR.KPBS.P089</v>
      </c>
      <c r="J266" s="64">
        <f t="shared" si="127"/>
        <v>0.70702370209999998</v>
      </c>
      <c r="K266" s="64">
        <f t="shared" si="127"/>
        <v>124.3218798682</v>
      </c>
      <c r="L266" s="64" t="str">
        <f t="shared" si="127"/>
        <v>JL. RAYA POYOWA BESAR</v>
      </c>
      <c r="M266" s="64" t="str">
        <f t="shared" si="127"/>
        <v>SULAWESI UTARA</v>
      </c>
      <c r="N266" s="65" t="s">
        <v>105</v>
      </c>
      <c r="O266" s="66" t="s">
        <v>118</v>
      </c>
      <c r="P266" s="65" t="s">
        <v>119</v>
      </c>
      <c r="Q266" s="66">
        <v>95717</v>
      </c>
      <c r="R266" s="98"/>
      <c r="S266" s="99"/>
      <c r="T266" s="100"/>
      <c r="U266" s="99"/>
      <c r="V266" s="100"/>
      <c r="W266" s="97" t="s">
        <v>105</v>
      </c>
      <c r="X266" s="101"/>
      <c r="Y266" s="64" t="s">
        <v>106</v>
      </c>
      <c r="Z266" s="64" t="str">
        <f t="shared" si="126"/>
        <v>KELURAHAN POYOWA BESAR SATU KOTAMOBAGU</v>
      </c>
      <c r="AA266" s="102"/>
      <c r="AB266" s="102"/>
      <c r="AC266" s="102" t="s">
        <v>70</v>
      </c>
      <c r="AD266" s="64" t="str">
        <f t="shared" si="128"/>
        <v>POYOWA BESAR</v>
      </c>
      <c r="AE266" s="103"/>
      <c r="AF266" s="103"/>
      <c r="AG266" s="103"/>
      <c r="AH266" s="103"/>
      <c r="AI266" s="104"/>
      <c r="AJ266" s="11" t="s">
        <v>849</v>
      </c>
      <c r="AK266" s="102" t="s">
        <v>96</v>
      </c>
      <c r="AL266" s="106"/>
      <c r="AM266" s="192"/>
      <c r="AN266" s="192"/>
      <c r="AO266" s="192"/>
      <c r="AP266" s="192"/>
      <c r="AQ266" s="180" t="s">
        <v>97</v>
      </c>
      <c r="AR266" s="70" t="str">
        <f t="shared" si="125"/>
        <v>KTG.100.0101</v>
      </c>
      <c r="AS266" s="71" t="str">
        <f t="shared" si="124"/>
        <v>KPBS-2.020</v>
      </c>
      <c r="AT266" s="71" t="str">
        <f t="shared" si="124"/>
        <v>B12</v>
      </c>
      <c r="AU266" s="105"/>
      <c r="AV266" s="202">
        <v>0.7069268957</v>
      </c>
      <c r="AW266" s="202">
        <v>124.3221555487</v>
      </c>
      <c r="AX266" s="106" t="s">
        <v>98</v>
      </c>
      <c r="AY266" s="106" t="s">
        <v>94</v>
      </c>
      <c r="AZ266" s="106" t="s">
        <v>94</v>
      </c>
      <c r="BA266" s="73" t="s">
        <v>77</v>
      </c>
      <c r="BB266" s="106" t="s">
        <v>98</v>
      </c>
      <c r="BC266" s="106">
        <v>31</v>
      </c>
      <c r="BD266" s="106" t="s">
        <v>98</v>
      </c>
      <c r="BE266" s="211" t="str">
        <f t="shared" ref="BE266:BE323" si="129">AJ266&amp;", "&amp;AD266&amp;","&amp;AI266</f>
        <v>661, POYOWA BESAR,</v>
      </c>
    </row>
    <row r="267" spans="1:57" s="211" customFormat="1" ht="15.75" customHeight="1">
      <c r="A267" s="219"/>
      <c r="B267" s="219"/>
      <c r="C267" s="219"/>
      <c r="D267" s="219"/>
      <c r="E267" s="219"/>
      <c r="F267" s="219"/>
      <c r="G267" s="220"/>
      <c r="H267" s="12">
        <v>4</v>
      </c>
      <c r="I267" s="64" t="str">
        <f t="shared" si="127"/>
        <v>MR.KPBS.P089</v>
      </c>
      <c r="J267" s="64">
        <f t="shared" si="127"/>
        <v>0.70702370209999998</v>
      </c>
      <c r="K267" s="64">
        <f t="shared" si="127"/>
        <v>124.3218798682</v>
      </c>
      <c r="L267" s="64" t="str">
        <f t="shared" si="127"/>
        <v>JL. RAYA POYOWA BESAR</v>
      </c>
      <c r="M267" s="64" t="str">
        <f t="shared" si="127"/>
        <v>SULAWESI UTARA</v>
      </c>
      <c r="N267" s="65" t="s">
        <v>105</v>
      </c>
      <c r="O267" s="66" t="s">
        <v>118</v>
      </c>
      <c r="P267" s="65" t="s">
        <v>119</v>
      </c>
      <c r="Q267" s="66">
        <v>95717</v>
      </c>
      <c r="R267" s="98"/>
      <c r="S267" s="99"/>
      <c r="T267" s="100"/>
      <c r="U267" s="99"/>
      <c r="V267" s="100"/>
      <c r="W267" s="97" t="s">
        <v>105</v>
      </c>
      <c r="X267" s="101"/>
      <c r="Y267" s="64" t="s">
        <v>106</v>
      </c>
      <c r="Z267" s="64" t="str">
        <f t="shared" si="126"/>
        <v>KELURAHAN POYOWA BESAR SATU KOTAMOBAGU</v>
      </c>
      <c r="AA267" s="102"/>
      <c r="AB267" s="102"/>
      <c r="AC267" s="102" t="s">
        <v>70</v>
      </c>
      <c r="AD267" s="64" t="str">
        <f t="shared" si="128"/>
        <v>POYOWA BESAR</v>
      </c>
      <c r="AE267" s="103"/>
      <c r="AF267" s="103"/>
      <c r="AG267" s="103"/>
      <c r="AH267" s="103"/>
      <c r="AI267" s="104"/>
      <c r="AJ267" s="11" t="s">
        <v>850</v>
      </c>
      <c r="AK267" s="102" t="s">
        <v>96</v>
      </c>
      <c r="AL267" s="106"/>
      <c r="AM267" s="192"/>
      <c r="AN267" s="192"/>
      <c r="AO267" s="192"/>
      <c r="AP267" s="192"/>
      <c r="AQ267" s="180" t="s">
        <v>97</v>
      </c>
      <c r="AR267" s="70" t="str">
        <f t="shared" si="125"/>
        <v>KTG.100.0101</v>
      </c>
      <c r="AS267" s="71" t="str">
        <f t="shared" si="124"/>
        <v>KPBS-2.020</v>
      </c>
      <c r="AT267" s="71" t="str">
        <f t="shared" si="124"/>
        <v>B12</v>
      </c>
      <c r="AU267" s="105"/>
      <c r="AV267" s="202">
        <v>0.70722307799999895</v>
      </c>
      <c r="AW267" s="202">
        <v>124.32205604240001</v>
      </c>
      <c r="AX267" s="106" t="s">
        <v>98</v>
      </c>
      <c r="AY267" s="106" t="s">
        <v>94</v>
      </c>
      <c r="AZ267" s="106" t="s">
        <v>94</v>
      </c>
      <c r="BA267" s="73" t="s">
        <v>77</v>
      </c>
      <c r="BB267" s="106" t="s">
        <v>98</v>
      </c>
      <c r="BC267" s="106">
        <v>31</v>
      </c>
      <c r="BD267" s="106" t="s">
        <v>98</v>
      </c>
      <c r="BE267" s="211" t="str">
        <f t="shared" si="129"/>
        <v>662, POYOWA BESAR,</v>
      </c>
    </row>
    <row r="268" spans="1:57" s="211" customFormat="1" ht="15.75" customHeight="1">
      <c r="A268" s="219"/>
      <c r="B268" s="219"/>
      <c r="C268" s="219"/>
      <c r="D268" s="219"/>
      <c r="E268" s="219"/>
      <c r="F268" s="219"/>
      <c r="G268" s="220"/>
      <c r="H268" s="12">
        <v>5</v>
      </c>
      <c r="I268" s="64" t="str">
        <f t="shared" si="127"/>
        <v>MR.KPBS.P089</v>
      </c>
      <c r="J268" s="64">
        <f t="shared" si="127"/>
        <v>0.70702370209999998</v>
      </c>
      <c r="K268" s="64">
        <f t="shared" si="127"/>
        <v>124.3218798682</v>
      </c>
      <c r="L268" s="64" t="str">
        <f t="shared" si="127"/>
        <v>JL. RAYA POYOWA BESAR</v>
      </c>
      <c r="M268" s="64" t="str">
        <f t="shared" si="127"/>
        <v>SULAWESI UTARA</v>
      </c>
      <c r="N268" s="65" t="s">
        <v>105</v>
      </c>
      <c r="O268" s="66" t="s">
        <v>118</v>
      </c>
      <c r="P268" s="65" t="s">
        <v>119</v>
      </c>
      <c r="Q268" s="66">
        <v>95717</v>
      </c>
      <c r="R268" s="98"/>
      <c r="S268" s="99"/>
      <c r="T268" s="100"/>
      <c r="U268" s="99"/>
      <c r="V268" s="100"/>
      <c r="W268" s="97" t="s">
        <v>105</v>
      </c>
      <c r="X268" s="101"/>
      <c r="Y268" s="64" t="s">
        <v>106</v>
      </c>
      <c r="Z268" s="64" t="str">
        <f t="shared" si="126"/>
        <v>KELURAHAN POYOWA BESAR SATU KOTAMOBAGU</v>
      </c>
      <c r="AA268" s="102"/>
      <c r="AB268" s="102"/>
      <c r="AC268" s="102" t="s">
        <v>70</v>
      </c>
      <c r="AD268" s="64" t="str">
        <f t="shared" si="128"/>
        <v>POYOWA BESAR</v>
      </c>
      <c r="AE268" s="103"/>
      <c r="AF268" s="103"/>
      <c r="AG268" s="103"/>
      <c r="AH268" s="103"/>
      <c r="AI268" s="104"/>
      <c r="AJ268" s="11" t="s">
        <v>851</v>
      </c>
      <c r="AK268" s="102" t="s">
        <v>96</v>
      </c>
      <c r="AL268" s="106"/>
      <c r="AM268" s="192"/>
      <c r="AN268" s="192"/>
      <c r="AO268" s="192"/>
      <c r="AP268" s="192"/>
      <c r="AQ268" s="180" t="s">
        <v>97</v>
      </c>
      <c r="AR268" s="70" t="str">
        <f t="shared" si="125"/>
        <v>KTG.100.0101</v>
      </c>
      <c r="AS268" s="71" t="str">
        <f t="shared" si="124"/>
        <v>KPBS-2.020</v>
      </c>
      <c r="AT268" s="71" t="str">
        <f t="shared" si="124"/>
        <v>B12</v>
      </c>
      <c r="AU268" s="105"/>
      <c r="AV268" s="202">
        <v>0.70716638060000003</v>
      </c>
      <c r="AW268" s="202">
        <v>124.3219726138</v>
      </c>
      <c r="AX268" s="106" t="s">
        <v>98</v>
      </c>
      <c r="AY268" s="106" t="s">
        <v>94</v>
      </c>
      <c r="AZ268" s="106" t="s">
        <v>94</v>
      </c>
      <c r="BA268" s="73" t="s">
        <v>77</v>
      </c>
      <c r="BB268" s="106" t="s">
        <v>98</v>
      </c>
      <c r="BC268" s="106">
        <v>31</v>
      </c>
      <c r="BD268" s="106" t="s">
        <v>98</v>
      </c>
      <c r="BE268" s="211" t="str">
        <f t="shared" si="129"/>
        <v>664, POYOWA BESAR,</v>
      </c>
    </row>
    <row r="269" spans="1:57" s="211" customFormat="1" ht="15.75" customHeight="1">
      <c r="A269" s="219"/>
      <c r="B269" s="219"/>
      <c r="C269" s="219"/>
      <c r="D269" s="219"/>
      <c r="E269" s="219"/>
      <c r="F269" s="219"/>
      <c r="G269" s="220"/>
      <c r="H269" s="12">
        <v>6</v>
      </c>
      <c r="I269" s="64" t="str">
        <f t="shared" si="127"/>
        <v>MR.KPBS.P089</v>
      </c>
      <c r="J269" s="64">
        <f t="shared" si="127"/>
        <v>0.70702370209999998</v>
      </c>
      <c r="K269" s="64">
        <f t="shared" si="127"/>
        <v>124.3218798682</v>
      </c>
      <c r="L269" s="64" t="str">
        <f t="shared" si="127"/>
        <v>JL. RAYA POYOWA BESAR</v>
      </c>
      <c r="M269" s="64" t="str">
        <f t="shared" si="127"/>
        <v>SULAWESI UTARA</v>
      </c>
      <c r="N269" s="65" t="s">
        <v>105</v>
      </c>
      <c r="O269" s="66" t="s">
        <v>118</v>
      </c>
      <c r="P269" s="65" t="s">
        <v>119</v>
      </c>
      <c r="Q269" s="66">
        <v>95717</v>
      </c>
      <c r="R269" s="98"/>
      <c r="S269" s="99"/>
      <c r="T269" s="100"/>
      <c r="U269" s="99"/>
      <c r="V269" s="100"/>
      <c r="W269" s="97" t="s">
        <v>105</v>
      </c>
      <c r="X269" s="101"/>
      <c r="Y269" s="64" t="s">
        <v>106</v>
      </c>
      <c r="Z269" s="64" t="str">
        <f t="shared" si="126"/>
        <v>KELURAHAN POYOWA BESAR SATU KOTAMOBAGU</v>
      </c>
      <c r="AA269" s="102"/>
      <c r="AB269" s="102"/>
      <c r="AC269" s="102" t="s">
        <v>70</v>
      </c>
      <c r="AD269" s="64" t="str">
        <f t="shared" si="128"/>
        <v>POYOWA BESAR</v>
      </c>
      <c r="AE269" s="103"/>
      <c r="AF269" s="103"/>
      <c r="AG269" s="103"/>
      <c r="AH269" s="103"/>
      <c r="AI269" s="104"/>
      <c r="AJ269" s="11" t="s">
        <v>852</v>
      </c>
      <c r="AK269" s="102" t="s">
        <v>96</v>
      </c>
      <c r="AL269" s="106"/>
      <c r="AM269" s="192"/>
      <c r="AN269" s="192"/>
      <c r="AO269" s="192"/>
      <c r="AP269" s="192"/>
      <c r="AQ269" s="180" t="s">
        <v>97</v>
      </c>
      <c r="AR269" s="70" t="str">
        <f t="shared" si="125"/>
        <v>KTG.100.0101</v>
      </c>
      <c r="AS269" s="71" t="str">
        <f t="shared" si="124"/>
        <v>KPBS-2.020</v>
      </c>
      <c r="AT269" s="71" t="str">
        <f t="shared" si="124"/>
        <v>B12</v>
      </c>
      <c r="AU269" s="105"/>
      <c r="AV269" s="202">
        <v>0.70693866250000004</v>
      </c>
      <c r="AW269" s="202">
        <v>124.32193697</v>
      </c>
      <c r="AX269" s="106" t="s">
        <v>98</v>
      </c>
      <c r="AY269" s="106" t="s">
        <v>94</v>
      </c>
      <c r="AZ269" s="106" t="s">
        <v>94</v>
      </c>
      <c r="BA269" s="73" t="s">
        <v>77</v>
      </c>
      <c r="BB269" s="106" t="s">
        <v>98</v>
      </c>
      <c r="BC269" s="106">
        <v>31</v>
      </c>
      <c r="BD269" s="106" t="s">
        <v>98</v>
      </c>
      <c r="BE269" s="211" t="str">
        <f t="shared" si="129"/>
        <v>666, POYOWA BESAR,</v>
      </c>
    </row>
    <row r="270" spans="1:57" s="211" customFormat="1" ht="15.75" customHeight="1">
      <c r="A270" s="219"/>
      <c r="B270" s="219"/>
      <c r="C270" s="219"/>
      <c r="D270" s="219"/>
      <c r="E270" s="219"/>
      <c r="F270" s="219"/>
      <c r="G270" s="220"/>
      <c r="H270" s="12">
        <v>7</v>
      </c>
      <c r="I270" s="64" t="str">
        <f t="shared" si="127"/>
        <v>MR.KPBS.P089</v>
      </c>
      <c r="J270" s="64">
        <f t="shared" si="127"/>
        <v>0.70702370209999998</v>
      </c>
      <c r="K270" s="64">
        <f t="shared" si="127"/>
        <v>124.3218798682</v>
      </c>
      <c r="L270" s="64" t="str">
        <f t="shared" si="127"/>
        <v>JL. RAYA POYOWA BESAR</v>
      </c>
      <c r="M270" s="64" t="str">
        <f t="shared" si="127"/>
        <v>SULAWESI UTARA</v>
      </c>
      <c r="N270" s="65" t="s">
        <v>105</v>
      </c>
      <c r="O270" s="66" t="s">
        <v>118</v>
      </c>
      <c r="P270" s="65" t="s">
        <v>119</v>
      </c>
      <c r="Q270" s="66">
        <v>95717</v>
      </c>
      <c r="R270" s="98"/>
      <c r="S270" s="99"/>
      <c r="T270" s="100"/>
      <c r="U270" s="99"/>
      <c r="V270" s="100"/>
      <c r="W270" s="97" t="s">
        <v>105</v>
      </c>
      <c r="X270" s="101"/>
      <c r="Y270" s="64" t="s">
        <v>106</v>
      </c>
      <c r="Z270" s="64" t="str">
        <f t="shared" si="126"/>
        <v>KELURAHAN POYOWA BESAR SATU KOTAMOBAGU</v>
      </c>
      <c r="AA270" s="102"/>
      <c r="AB270" s="102"/>
      <c r="AC270" s="102" t="s">
        <v>70</v>
      </c>
      <c r="AD270" s="64" t="str">
        <f t="shared" si="128"/>
        <v>POYOWA BESAR</v>
      </c>
      <c r="AE270" s="103"/>
      <c r="AF270" s="103"/>
      <c r="AG270" s="103"/>
      <c r="AH270" s="103"/>
      <c r="AI270" s="104"/>
      <c r="AJ270" s="11" t="s">
        <v>853</v>
      </c>
      <c r="AK270" s="102" t="s">
        <v>96</v>
      </c>
      <c r="AL270" s="106"/>
      <c r="AM270" s="192"/>
      <c r="AN270" s="192"/>
      <c r="AO270" s="192"/>
      <c r="AP270" s="192"/>
      <c r="AQ270" s="180" t="s">
        <v>97</v>
      </c>
      <c r="AR270" s="70" t="str">
        <f t="shared" si="125"/>
        <v>KTG.100.0101</v>
      </c>
      <c r="AS270" s="71" t="str">
        <f t="shared" si="124"/>
        <v>KPBS-2.020</v>
      </c>
      <c r="AT270" s="71" t="str">
        <f t="shared" si="124"/>
        <v>B12</v>
      </c>
      <c r="AU270" s="105"/>
      <c r="AV270" s="202">
        <v>0.7071574504</v>
      </c>
      <c r="AW270" s="202">
        <v>124.3218731079</v>
      </c>
      <c r="AX270" s="106" t="s">
        <v>98</v>
      </c>
      <c r="AY270" s="106" t="s">
        <v>94</v>
      </c>
      <c r="AZ270" s="106" t="s">
        <v>94</v>
      </c>
      <c r="BA270" s="73" t="s">
        <v>77</v>
      </c>
      <c r="BB270" s="106" t="s">
        <v>98</v>
      </c>
      <c r="BC270" s="106">
        <v>31</v>
      </c>
      <c r="BD270" s="106" t="s">
        <v>98</v>
      </c>
      <c r="BE270" s="211" t="str">
        <f t="shared" si="129"/>
        <v>665, POYOWA BESAR,</v>
      </c>
    </row>
    <row r="271" spans="1:57" s="211" customFormat="1" ht="15.75" customHeight="1">
      <c r="A271" s="219"/>
      <c r="B271" s="219"/>
      <c r="C271" s="219"/>
      <c r="D271" s="219"/>
      <c r="E271" s="219"/>
      <c r="F271" s="219"/>
      <c r="G271" s="220"/>
      <c r="H271" s="12">
        <v>8</v>
      </c>
      <c r="I271" s="64" t="str">
        <f t="shared" si="127"/>
        <v>MR.KPBS.P089</v>
      </c>
      <c r="J271" s="64">
        <f t="shared" si="127"/>
        <v>0.70702370209999998</v>
      </c>
      <c r="K271" s="64">
        <f t="shared" si="127"/>
        <v>124.3218798682</v>
      </c>
      <c r="L271" s="64" t="str">
        <f t="shared" si="127"/>
        <v>JL. RAYA POYOWA BESAR</v>
      </c>
      <c r="M271" s="64" t="str">
        <f t="shared" si="127"/>
        <v>SULAWESI UTARA</v>
      </c>
      <c r="N271" s="65" t="s">
        <v>105</v>
      </c>
      <c r="O271" s="66" t="s">
        <v>118</v>
      </c>
      <c r="P271" s="65" t="s">
        <v>119</v>
      </c>
      <c r="Q271" s="66">
        <v>95717</v>
      </c>
      <c r="R271" s="98"/>
      <c r="S271" s="99"/>
      <c r="T271" s="100"/>
      <c r="U271" s="99"/>
      <c r="V271" s="100"/>
      <c r="W271" s="97" t="s">
        <v>105</v>
      </c>
      <c r="X271" s="101"/>
      <c r="Y271" s="64" t="s">
        <v>106</v>
      </c>
      <c r="Z271" s="64" t="str">
        <f t="shared" si="126"/>
        <v>KELURAHAN POYOWA BESAR SATU KOTAMOBAGU</v>
      </c>
      <c r="AA271" s="102"/>
      <c r="AB271" s="102"/>
      <c r="AC271" s="102" t="s">
        <v>70</v>
      </c>
      <c r="AD271" s="64" t="str">
        <f t="shared" si="128"/>
        <v>POYOWA BESAR</v>
      </c>
      <c r="AE271" s="103"/>
      <c r="AF271" s="103"/>
      <c r="AG271" s="103"/>
      <c r="AH271" s="103"/>
      <c r="AI271" s="104"/>
      <c r="AJ271" s="11" t="s">
        <v>854</v>
      </c>
      <c r="AK271" s="102" t="s">
        <v>96</v>
      </c>
      <c r="AL271" s="106"/>
      <c r="AM271" s="192"/>
      <c r="AN271" s="192"/>
      <c r="AO271" s="192"/>
      <c r="AP271" s="192"/>
      <c r="AQ271" s="180" t="s">
        <v>97</v>
      </c>
      <c r="AR271" s="70" t="str">
        <f t="shared" si="125"/>
        <v>KTG.100.0101</v>
      </c>
      <c r="AS271" s="71" t="str">
        <f t="shared" si="124"/>
        <v>KPBS-2.020</v>
      </c>
      <c r="AT271" s="71" t="str">
        <f t="shared" si="124"/>
        <v>B12</v>
      </c>
      <c r="AU271" s="105"/>
      <c r="AV271" s="202">
        <v>0.70692526730000005</v>
      </c>
      <c r="AW271" s="202">
        <v>124.32184786019999</v>
      </c>
      <c r="AX271" s="106" t="s">
        <v>98</v>
      </c>
      <c r="AY271" s="106" t="s">
        <v>94</v>
      </c>
      <c r="AZ271" s="106" t="s">
        <v>94</v>
      </c>
      <c r="BA271" s="73" t="s">
        <v>77</v>
      </c>
      <c r="BB271" s="106" t="s">
        <v>98</v>
      </c>
      <c r="BC271" s="106">
        <v>31</v>
      </c>
      <c r="BD271" s="106" t="s">
        <v>98</v>
      </c>
      <c r="BE271" s="211" t="str">
        <f t="shared" si="129"/>
        <v>667, POYOWA BESAR,</v>
      </c>
    </row>
    <row r="272" spans="1:57" s="211" customFormat="1" ht="15.75" customHeight="1">
      <c r="A272" s="219"/>
      <c r="B272" s="219"/>
      <c r="C272" s="219"/>
      <c r="D272" s="219"/>
      <c r="E272" s="219"/>
      <c r="F272" s="219"/>
      <c r="G272" s="220"/>
      <c r="H272" s="12">
        <v>9</v>
      </c>
      <c r="I272" s="64" t="str">
        <f t="shared" si="127"/>
        <v>MR.KPBS.P089</v>
      </c>
      <c r="J272" s="64">
        <f t="shared" si="127"/>
        <v>0.70702370209999998</v>
      </c>
      <c r="K272" s="64">
        <f t="shared" si="127"/>
        <v>124.3218798682</v>
      </c>
      <c r="L272" s="64" t="str">
        <f t="shared" si="127"/>
        <v>JL. RAYA POYOWA BESAR</v>
      </c>
      <c r="M272" s="64" t="str">
        <f t="shared" si="127"/>
        <v>SULAWESI UTARA</v>
      </c>
      <c r="N272" s="65" t="s">
        <v>105</v>
      </c>
      <c r="O272" s="66" t="s">
        <v>118</v>
      </c>
      <c r="P272" s="65" t="s">
        <v>119</v>
      </c>
      <c r="Q272" s="66">
        <v>95717</v>
      </c>
      <c r="R272" s="98"/>
      <c r="S272" s="99"/>
      <c r="T272" s="100"/>
      <c r="U272" s="99"/>
      <c r="V272" s="100"/>
      <c r="W272" s="97" t="s">
        <v>105</v>
      </c>
      <c r="X272" s="101"/>
      <c r="Y272" s="64" t="s">
        <v>106</v>
      </c>
      <c r="Z272" s="64" t="str">
        <f t="shared" si="126"/>
        <v>KELURAHAN POYOWA BESAR SATU KOTAMOBAGU</v>
      </c>
      <c r="AA272" s="102"/>
      <c r="AB272" s="102"/>
      <c r="AC272" s="102" t="s">
        <v>70</v>
      </c>
      <c r="AD272" s="64" t="str">
        <f t="shared" si="128"/>
        <v>POYOWA BESAR</v>
      </c>
      <c r="AE272" s="103"/>
      <c r="AF272" s="103"/>
      <c r="AG272" s="103"/>
      <c r="AH272" s="103"/>
      <c r="AI272" s="104"/>
      <c r="AJ272" s="11" t="s">
        <v>855</v>
      </c>
      <c r="AK272" s="102" t="s">
        <v>96</v>
      </c>
      <c r="AL272" s="106"/>
      <c r="AM272" s="192"/>
      <c r="AN272" s="192"/>
      <c r="AO272" s="192"/>
      <c r="AP272" s="192"/>
      <c r="AQ272" s="180" t="s">
        <v>97</v>
      </c>
      <c r="AR272" s="70" t="str">
        <f t="shared" si="125"/>
        <v>KTG.100.0101</v>
      </c>
      <c r="AS272" s="71" t="str">
        <f t="shared" si="124"/>
        <v>KPBS-2.020</v>
      </c>
      <c r="AT272" s="71" t="str">
        <f t="shared" si="124"/>
        <v>B12</v>
      </c>
      <c r="AU272" s="105"/>
      <c r="AV272" s="202">
        <v>0.70723782150000003</v>
      </c>
      <c r="AW272" s="202">
        <v>124.32169488780001</v>
      </c>
      <c r="AX272" s="106" t="s">
        <v>98</v>
      </c>
      <c r="AY272" s="106" t="s">
        <v>94</v>
      </c>
      <c r="AZ272" s="106" t="s">
        <v>94</v>
      </c>
      <c r="BA272" s="73" t="s">
        <v>77</v>
      </c>
      <c r="BB272" s="106" t="s">
        <v>98</v>
      </c>
      <c r="BC272" s="106">
        <v>31</v>
      </c>
      <c r="BD272" s="106" t="s">
        <v>98</v>
      </c>
      <c r="BE272" s="211" t="str">
        <f t="shared" si="129"/>
        <v>668, POYOWA BESAR,</v>
      </c>
    </row>
    <row r="273" spans="1:57" s="211" customFormat="1" ht="15.75" customHeight="1">
      <c r="A273" s="219"/>
      <c r="B273" s="219"/>
      <c r="C273" s="219"/>
      <c r="D273" s="219"/>
      <c r="E273" s="219"/>
      <c r="F273" s="219"/>
      <c r="G273" s="220"/>
      <c r="H273" s="12">
        <v>10</v>
      </c>
      <c r="I273" s="64" t="str">
        <f t="shared" si="127"/>
        <v>MR.KPBS.P089</v>
      </c>
      <c r="J273" s="64">
        <f t="shared" si="127"/>
        <v>0.70702370209999998</v>
      </c>
      <c r="K273" s="64">
        <f t="shared" si="127"/>
        <v>124.3218798682</v>
      </c>
      <c r="L273" s="64" t="str">
        <f t="shared" si="127"/>
        <v>JL. RAYA POYOWA BESAR</v>
      </c>
      <c r="M273" s="64" t="str">
        <f t="shared" si="127"/>
        <v>SULAWESI UTARA</v>
      </c>
      <c r="N273" s="65" t="s">
        <v>105</v>
      </c>
      <c r="O273" s="66" t="s">
        <v>118</v>
      </c>
      <c r="P273" s="65" t="s">
        <v>119</v>
      </c>
      <c r="Q273" s="66">
        <v>95717</v>
      </c>
      <c r="R273" s="98"/>
      <c r="S273" s="99"/>
      <c r="T273" s="100"/>
      <c r="U273" s="99"/>
      <c r="V273" s="100"/>
      <c r="W273" s="97" t="s">
        <v>105</v>
      </c>
      <c r="X273" s="101"/>
      <c r="Y273" s="64" t="s">
        <v>106</v>
      </c>
      <c r="Z273" s="64" t="str">
        <f t="shared" si="126"/>
        <v>KELURAHAN POYOWA BESAR SATU KOTAMOBAGU</v>
      </c>
      <c r="AA273" s="102"/>
      <c r="AB273" s="102"/>
      <c r="AC273" s="102" t="s">
        <v>70</v>
      </c>
      <c r="AD273" s="64" t="str">
        <f t="shared" si="128"/>
        <v>POYOWA BESAR</v>
      </c>
      <c r="AE273" s="103"/>
      <c r="AF273" s="103"/>
      <c r="AG273" s="103"/>
      <c r="AH273" s="103"/>
      <c r="AI273" s="104"/>
      <c r="AJ273" s="11" t="s">
        <v>856</v>
      </c>
      <c r="AK273" s="102" t="s">
        <v>96</v>
      </c>
      <c r="AL273" s="106"/>
      <c r="AM273" s="192"/>
      <c r="AN273" s="192"/>
      <c r="AO273" s="192"/>
      <c r="AP273" s="192"/>
      <c r="AQ273" s="180" t="s">
        <v>97</v>
      </c>
      <c r="AR273" s="70" t="str">
        <f t="shared" si="125"/>
        <v>KTG.100.0101</v>
      </c>
      <c r="AS273" s="71" t="str">
        <f t="shared" si="124"/>
        <v>KPBS-2.020</v>
      </c>
      <c r="AT273" s="71" t="str">
        <f t="shared" si="124"/>
        <v>B12</v>
      </c>
      <c r="AU273" s="105"/>
      <c r="AV273" s="202">
        <v>0.70689847689999996</v>
      </c>
      <c r="AW273" s="202">
        <v>124.3217394431</v>
      </c>
      <c r="AX273" s="106" t="s">
        <v>98</v>
      </c>
      <c r="AY273" s="106" t="s">
        <v>94</v>
      </c>
      <c r="AZ273" s="106" t="s">
        <v>94</v>
      </c>
      <c r="BA273" s="73" t="s">
        <v>77</v>
      </c>
      <c r="BB273" s="106" t="s">
        <v>98</v>
      </c>
      <c r="BC273" s="106">
        <v>31</v>
      </c>
      <c r="BD273" s="106" t="s">
        <v>98</v>
      </c>
      <c r="BE273" s="211" t="str">
        <f t="shared" si="129"/>
        <v>669, POYOWA BESAR,</v>
      </c>
    </row>
    <row r="274" spans="1:57" s="211" customFormat="1" ht="15.75" customHeight="1">
      <c r="A274" s="219"/>
      <c r="B274" s="219"/>
      <c r="C274" s="219"/>
      <c r="D274" s="219"/>
      <c r="E274" s="219"/>
      <c r="F274" s="219"/>
      <c r="G274" s="220"/>
      <c r="H274" s="12">
        <v>11</v>
      </c>
      <c r="I274" s="64" t="str">
        <f t="shared" si="127"/>
        <v>MR.KPBS.P089</v>
      </c>
      <c r="J274" s="64">
        <f t="shared" si="127"/>
        <v>0.70702370209999998</v>
      </c>
      <c r="K274" s="64">
        <f t="shared" si="127"/>
        <v>124.3218798682</v>
      </c>
      <c r="L274" s="64" t="str">
        <f t="shared" si="127"/>
        <v>JL. RAYA POYOWA BESAR</v>
      </c>
      <c r="M274" s="64" t="str">
        <f t="shared" si="127"/>
        <v>SULAWESI UTARA</v>
      </c>
      <c r="N274" s="65" t="s">
        <v>105</v>
      </c>
      <c r="O274" s="66" t="s">
        <v>118</v>
      </c>
      <c r="P274" s="65" t="s">
        <v>119</v>
      </c>
      <c r="Q274" s="66">
        <v>95717</v>
      </c>
      <c r="R274" s="98"/>
      <c r="S274" s="99"/>
      <c r="T274" s="100"/>
      <c r="U274" s="99"/>
      <c r="V274" s="100"/>
      <c r="W274" s="97" t="s">
        <v>105</v>
      </c>
      <c r="X274" s="101"/>
      <c r="Y274" s="64" t="s">
        <v>106</v>
      </c>
      <c r="Z274" s="64" t="str">
        <f t="shared" si="126"/>
        <v>KELURAHAN POYOWA BESAR SATU KOTAMOBAGU</v>
      </c>
      <c r="AA274" s="102"/>
      <c r="AB274" s="102"/>
      <c r="AC274" s="102" t="s">
        <v>70</v>
      </c>
      <c r="AD274" s="64" t="str">
        <f t="shared" si="128"/>
        <v>POYOWA BESAR</v>
      </c>
      <c r="AE274" s="103"/>
      <c r="AF274" s="103"/>
      <c r="AG274" s="103"/>
      <c r="AH274" s="103"/>
      <c r="AI274" s="104"/>
      <c r="AJ274" s="11" t="s">
        <v>857</v>
      </c>
      <c r="AK274" s="102" t="s">
        <v>96</v>
      </c>
      <c r="AL274" s="106"/>
      <c r="AM274" s="192"/>
      <c r="AN274" s="192"/>
      <c r="AO274" s="192"/>
      <c r="AP274" s="192"/>
      <c r="AQ274" s="180" t="s">
        <v>97</v>
      </c>
      <c r="AR274" s="70" t="str">
        <f t="shared" si="125"/>
        <v>KTG.100.0101</v>
      </c>
      <c r="AS274" s="71" t="str">
        <f t="shared" si="124"/>
        <v>KPBS-2.020</v>
      </c>
      <c r="AT274" s="71" t="str">
        <f t="shared" si="124"/>
        <v>B12</v>
      </c>
      <c r="AU274" s="105"/>
      <c r="AV274" s="202">
        <v>0.70689239609999999</v>
      </c>
      <c r="AW274" s="202">
        <v>124.3216458273</v>
      </c>
      <c r="AX274" s="106" t="s">
        <v>98</v>
      </c>
      <c r="AY274" s="106" t="s">
        <v>94</v>
      </c>
      <c r="AZ274" s="106" t="s">
        <v>94</v>
      </c>
      <c r="BA274" s="73" t="s">
        <v>77</v>
      </c>
      <c r="BB274" s="106" t="s">
        <v>98</v>
      </c>
      <c r="BC274" s="106">
        <v>31</v>
      </c>
      <c r="BD274" s="106" t="s">
        <v>98</v>
      </c>
      <c r="BE274" s="211" t="str">
        <f t="shared" si="129"/>
        <v>670, POYOWA BESAR,</v>
      </c>
    </row>
    <row r="275" spans="1:57" s="211" customFormat="1" ht="15.75" customHeight="1">
      <c r="A275" s="141" t="s">
        <v>100</v>
      </c>
      <c r="B275" s="141">
        <f>B264+1</f>
        <v>21</v>
      </c>
      <c r="C275" s="142" t="s">
        <v>99</v>
      </c>
      <c r="D275" s="142" t="s">
        <v>351</v>
      </c>
      <c r="E275" s="142">
        <v>3</v>
      </c>
      <c r="F275" s="143">
        <f>F265+1</f>
        <v>29</v>
      </c>
      <c r="G275" s="235" t="s">
        <v>93</v>
      </c>
      <c r="H275" s="123">
        <v>1</v>
      </c>
      <c r="I275" s="140" t="s">
        <v>340</v>
      </c>
      <c r="J275" s="140">
        <v>0.70655581789999999</v>
      </c>
      <c r="K275" s="140">
        <v>124.32287181940001</v>
      </c>
      <c r="L275" s="16" t="s">
        <v>116</v>
      </c>
      <c r="M275" s="140" t="str">
        <f t="shared" ref="M275" si="130">M274</f>
        <v>SULAWESI UTARA</v>
      </c>
      <c r="N275" s="13" t="s">
        <v>105</v>
      </c>
      <c r="O275" s="127" t="s">
        <v>118</v>
      </c>
      <c r="P275" s="13" t="s">
        <v>119</v>
      </c>
      <c r="Q275" s="127">
        <v>95717</v>
      </c>
      <c r="R275" s="128"/>
      <c r="S275" s="129"/>
      <c r="T275" s="130"/>
      <c r="U275" s="129"/>
      <c r="V275" s="130"/>
      <c r="W275" s="126" t="s">
        <v>105</v>
      </c>
      <c r="X275" s="125"/>
      <c r="Y275" s="140" t="s">
        <v>106</v>
      </c>
      <c r="Z275" s="140" t="str">
        <f t="shared" si="126"/>
        <v>KELURAHAN POYOWA BESAR SATU KOTAMOBAGU</v>
      </c>
      <c r="AA275" s="131"/>
      <c r="AB275" s="131"/>
      <c r="AC275" s="131" t="s">
        <v>70</v>
      </c>
      <c r="AD275" s="16" t="s">
        <v>119</v>
      </c>
      <c r="AE275" s="15"/>
      <c r="AF275" s="15"/>
      <c r="AG275" s="15"/>
      <c r="AH275" s="15"/>
      <c r="AI275" s="132"/>
      <c r="AJ275" s="133" t="s">
        <v>282</v>
      </c>
      <c r="AK275" s="131" t="s">
        <v>96</v>
      </c>
      <c r="AL275" s="137"/>
      <c r="AM275" s="194"/>
      <c r="AN275" s="194"/>
      <c r="AO275" s="194"/>
      <c r="AP275" s="194"/>
      <c r="AQ275" s="195" t="s">
        <v>97</v>
      </c>
      <c r="AR275" s="134" t="str">
        <f t="shared" si="125"/>
        <v>KTG.100.0101</v>
      </c>
      <c r="AS275" s="135" t="str">
        <f>AS264</f>
        <v>KPBS-2.020</v>
      </c>
      <c r="AT275" s="135" t="str">
        <f>G275</f>
        <v>B13</v>
      </c>
      <c r="AU275" s="136"/>
      <c r="AV275" s="205">
        <v>0.70663747300000002</v>
      </c>
      <c r="AW275" s="205">
        <v>124.32293384650001</v>
      </c>
      <c r="AX275" s="137" t="s">
        <v>98</v>
      </c>
      <c r="AY275" s="137" t="s">
        <v>94</v>
      </c>
      <c r="AZ275" s="137" t="s">
        <v>94</v>
      </c>
      <c r="BA275" s="138" t="s">
        <v>77</v>
      </c>
      <c r="BB275" s="137" t="s">
        <v>98</v>
      </c>
      <c r="BC275" s="137">
        <v>31</v>
      </c>
      <c r="BD275" s="137" t="s">
        <v>98</v>
      </c>
      <c r="BE275" s="211" t="str">
        <f t="shared" si="129"/>
        <v>675, POYOWA BESAR,</v>
      </c>
    </row>
    <row r="276" spans="1:57" s="211" customFormat="1" ht="15.75" customHeight="1">
      <c r="A276" s="21"/>
      <c r="B276" s="21"/>
      <c r="C276" s="22" t="s">
        <v>99</v>
      </c>
      <c r="D276" s="22" t="s">
        <v>351</v>
      </c>
      <c r="E276" s="122">
        <v>3</v>
      </c>
      <c r="F276" s="6">
        <f>F275+1</f>
        <v>30</v>
      </c>
      <c r="G276" s="213"/>
      <c r="H276" s="12">
        <v>2</v>
      </c>
      <c r="I276" s="64" t="str">
        <f t="shared" ref="I276:M290" si="131">I275</f>
        <v>MR.KPBS.P091</v>
      </c>
      <c r="J276" s="64">
        <f t="shared" si="131"/>
        <v>0.70655581789999999</v>
      </c>
      <c r="K276" s="64">
        <f t="shared" si="131"/>
        <v>124.32287181940001</v>
      </c>
      <c r="L276" s="64" t="str">
        <f t="shared" si="131"/>
        <v>JL. RAYA POYOWA BESAR</v>
      </c>
      <c r="M276" s="64" t="str">
        <f t="shared" si="131"/>
        <v>SULAWESI UTARA</v>
      </c>
      <c r="N276" s="65" t="s">
        <v>105</v>
      </c>
      <c r="O276" s="66" t="s">
        <v>118</v>
      </c>
      <c r="P276" s="65" t="s">
        <v>119</v>
      </c>
      <c r="Q276" s="66">
        <v>95717</v>
      </c>
      <c r="R276" s="98"/>
      <c r="S276" s="99"/>
      <c r="T276" s="100"/>
      <c r="U276" s="99"/>
      <c r="V276" s="100"/>
      <c r="W276" s="97" t="s">
        <v>105</v>
      </c>
      <c r="X276" s="101"/>
      <c r="Y276" s="64" t="s">
        <v>106</v>
      </c>
      <c r="Z276" s="64" t="str">
        <f t="shared" si="126"/>
        <v>KELURAHAN POYOWA BESAR SATU KOTAMOBAGU</v>
      </c>
      <c r="AA276" s="102"/>
      <c r="AB276" s="102"/>
      <c r="AC276" s="102" t="s">
        <v>70</v>
      </c>
      <c r="AD276" s="64" t="str">
        <f t="shared" ref="AD276:AD283" si="132">AD275</f>
        <v>POYOWA BESAR</v>
      </c>
      <c r="AE276" s="103"/>
      <c r="AF276" s="103"/>
      <c r="AG276" s="103"/>
      <c r="AH276" s="103"/>
      <c r="AI276" s="104"/>
      <c r="AJ276" s="11" t="s">
        <v>283</v>
      </c>
      <c r="AK276" s="102" t="s">
        <v>96</v>
      </c>
      <c r="AL276" s="106"/>
      <c r="AM276" s="192"/>
      <c r="AN276" s="192"/>
      <c r="AO276" s="192"/>
      <c r="AP276" s="192"/>
      <c r="AQ276" s="180" t="s">
        <v>97</v>
      </c>
      <c r="AR276" s="70" t="str">
        <f t="shared" si="125"/>
        <v>KTG.100.0101</v>
      </c>
      <c r="AS276" s="71" t="str">
        <f t="shared" si="124"/>
        <v>KPBS-2.020</v>
      </c>
      <c r="AT276" s="71" t="str">
        <f t="shared" si="124"/>
        <v>B13</v>
      </c>
      <c r="AU276" s="105"/>
      <c r="AV276" s="202">
        <v>0.70698593980000002</v>
      </c>
      <c r="AW276" s="202">
        <v>124.32274208760001</v>
      </c>
      <c r="AX276" s="106" t="s">
        <v>98</v>
      </c>
      <c r="AY276" s="106" t="s">
        <v>94</v>
      </c>
      <c r="AZ276" s="106" t="s">
        <v>94</v>
      </c>
      <c r="BA276" s="73" t="s">
        <v>77</v>
      </c>
      <c r="BB276" s="106" t="s">
        <v>98</v>
      </c>
      <c r="BC276" s="106">
        <v>31</v>
      </c>
      <c r="BD276" s="106" t="s">
        <v>98</v>
      </c>
      <c r="BE276" s="211" t="str">
        <f t="shared" si="129"/>
        <v>671, POYOWA BESAR,</v>
      </c>
    </row>
    <row r="277" spans="1:57" s="211" customFormat="1" ht="15.75" customHeight="1">
      <c r="A277" s="215"/>
      <c r="B277" s="216"/>
      <c r="C277" s="216"/>
      <c r="D277" s="216"/>
      <c r="E277" s="216"/>
      <c r="F277" s="216"/>
      <c r="G277" s="217"/>
      <c r="H277" s="12">
        <v>3</v>
      </c>
      <c r="I277" s="64" t="str">
        <f t="shared" si="131"/>
        <v>MR.KPBS.P091</v>
      </c>
      <c r="J277" s="64">
        <f t="shared" si="131"/>
        <v>0.70655581789999999</v>
      </c>
      <c r="K277" s="64">
        <f t="shared" si="131"/>
        <v>124.32287181940001</v>
      </c>
      <c r="L277" s="64" t="str">
        <f t="shared" si="131"/>
        <v>JL. RAYA POYOWA BESAR</v>
      </c>
      <c r="M277" s="64" t="str">
        <f t="shared" si="131"/>
        <v>SULAWESI UTARA</v>
      </c>
      <c r="N277" s="65" t="s">
        <v>105</v>
      </c>
      <c r="O277" s="66" t="s">
        <v>118</v>
      </c>
      <c r="P277" s="65" t="s">
        <v>119</v>
      </c>
      <c r="Q277" s="66">
        <v>95717</v>
      </c>
      <c r="R277" s="98"/>
      <c r="S277" s="99"/>
      <c r="T277" s="100"/>
      <c r="U277" s="99"/>
      <c r="V277" s="100"/>
      <c r="W277" s="97" t="s">
        <v>105</v>
      </c>
      <c r="X277" s="101"/>
      <c r="Y277" s="64" t="s">
        <v>106</v>
      </c>
      <c r="Z277" s="64" t="str">
        <f t="shared" si="126"/>
        <v>KELURAHAN POYOWA BESAR SATU KOTAMOBAGU</v>
      </c>
      <c r="AA277" s="102"/>
      <c r="AB277" s="102"/>
      <c r="AC277" s="102" t="s">
        <v>70</v>
      </c>
      <c r="AD277" s="64" t="str">
        <f t="shared" si="132"/>
        <v>POYOWA BESAR</v>
      </c>
      <c r="AE277" s="103"/>
      <c r="AF277" s="103"/>
      <c r="AG277" s="103"/>
      <c r="AH277" s="103"/>
      <c r="AI277" s="104"/>
      <c r="AJ277" s="11" t="s">
        <v>284</v>
      </c>
      <c r="AK277" s="102" t="s">
        <v>96</v>
      </c>
      <c r="AL277" s="106"/>
      <c r="AM277" s="192"/>
      <c r="AN277" s="192"/>
      <c r="AO277" s="192"/>
      <c r="AP277" s="192"/>
      <c r="AQ277" s="180" t="s">
        <v>97</v>
      </c>
      <c r="AR277" s="70" t="str">
        <f t="shared" si="125"/>
        <v>KTG.100.0101</v>
      </c>
      <c r="AS277" s="71" t="str">
        <f t="shared" si="124"/>
        <v>KPBS-2.020</v>
      </c>
      <c r="AT277" s="71" t="str">
        <f t="shared" si="124"/>
        <v>B13</v>
      </c>
      <c r="AU277" s="105"/>
      <c r="AV277" s="202">
        <v>0.70704882420000004</v>
      </c>
      <c r="AW277" s="202">
        <v>124.3231333976</v>
      </c>
      <c r="AX277" s="106" t="s">
        <v>98</v>
      </c>
      <c r="AY277" s="106" t="s">
        <v>94</v>
      </c>
      <c r="AZ277" s="106" t="s">
        <v>94</v>
      </c>
      <c r="BA277" s="73" t="s">
        <v>77</v>
      </c>
      <c r="BB277" s="106" t="s">
        <v>98</v>
      </c>
      <c r="BC277" s="106">
        <v>31</v>
      </c>
      <c r="BD277" s="106" t="s">
        <v>98</v>
      </c>
      <c r="BE277" s="211" t="str">
        <f t="shared" si="129"/>
        <v>648A, POYOWA BESAR,</v>
      </c>
    </row>
    <row r="278" spans="1:57" s="211" customFormat="1" ht="15.75" customHeight="1">
      <c r="A278" s="218"/>
      <c r="B278" s="219"/>
      <c r="C278" s="219"/>
      <c r="D278" s="219"/>
      <c r="E278" s="219"/>
      <c r="F278" s="219"/>
      <c r="G278" s="220"/>
      <c r="H278" s="12">
        <v>4</v>
      </c>
      <c r="I278" s="64" t="str">
        <f t="shared" si="131"/>
        <v>MR.KPBS.P091</v>
      </c>
      <c r="J278" s="64">
        <f t="shared" si="131"/>
        <v>0.70655581789999999</v>
      </c>
      <c r="K278" s="64">
        <f t="shared" si="131"/>
        <v>124.32287181940001</v>
      </c>
      <c r="L278" s="64" t="str">
        <f t="shared" si="131"/>
        <v>JL. RAYA POYOWA BESAR</v>
      </c>
      <c r="M278" s="64" t="str">
        <f t="shared" si="131"/>
        <v>SULAWESI UTARA</v>
      </c>
      <c r="N278" s="65" t="s">
        <v>105</v>
      </c>
      <c r="O278" s="66" t="s">
        <v>118</v>
      </c>
      <c r="P278" s="65" t="s">
        <v>119</v>
      </c>
      <c r="Q278" s="66">
        <v>95717</v>
      </c>
      <c r="R278" s="98"/>
      <c r="S278" s="99"/>
      <c r="T278" s="100"/>
      <c r="U278" s="99"/>
      <c r="V278" s="100"/>
      <c r="W278" s="97" t="s">
        <v>105</v>
      </c>
      <c r="X278" s="101"/>
      <c r="Y278" s="64" t="s">
        <v>106</v>
      </c>
      <c r="Z278" s="64" t="str">
        <f t="shared" si="126"/>
        <v>KELURAHAN POYOWA BESAR SATU KOTAMOBAGU</v>
      </c>
      <c r="AA278" s="102"/>
      <c r="AB278" s="102"/>
      <c r="AC278" s="102" t="s">
        <v>70</v>
      </c>
      <c r="AD278" s="64" t="str">
        <f t="shared" si="132"/>
        <v>POYOWA BESAR</v>
      </c>
      <c r="AE278" s="103"/>
      <c r="AF278" s="103"/>
      <c r="AG278" s="103"/>
      <c r="AH278" s="103"/>
      <c r="AI278" s="104"/>
      <c r="AJ278" s="11" t="s">
        <v>285</v>
      </c>
      <c r="AK278" s="102" t="s">
        <v>96</v>
      </c>
      <c r="AL278" s="106"/>
      <c r="AM278" s="192"/>
      <c r="AN278" s="192"/>
      <c r="AO278" s="192"/>
      <c r="AP278" s="192"/>
      <c r="AQ278" s="180" t="s">
        <v>97</v>
      </c>
      <c r="AR278" s="70" t="str">
        <f t="shared" si="125"/>
        <v>KTG.100.0101</v>
      </c>
      <c r="AS278" s="71" t="str">
        <f t="shared" si="124"/>
        <v>KPBS-2.020</v>
      </c>
      <c r="AT278" s="71" t="str">
        <f t="shared" si="124"/>
        <v>B13</v>
      </c>
      <c r="AU278" s="105"/>
      <c r="AV278" s="202">
        <v>0.70685961100000005</v>
      </c>
      <c r="AW278" s="202">
        <v>124.32300224700001</v>
      </c>
      <c r="AX278" s="106" t="s">
        <v>98</v>
      </c>
      <c r="AY278" s="106" t="s">
        <v>94</v>
      </c>
      <c r="AZ278" s="106" t="s">
        <v>94</v>
      </c>
      <c r="BA278" s="73" t="s">
        <v>77</v>
      </c>
      <c r="BB278" s="106" t="s">
        <v>98</v>
      </c>
      <c r="BC278" s="106">
        <v>31</v>
      </c>
      <c r="BD278" s="106" t="s">
        <v>98</v>
      </c>
      <c r="BE278" s="211" t="str">
        <f t="shared" si="129"/>
        <v>672, POYOWA BESAR,</v>
      </c>
    </row>
    <row r="279" spans="1:57" s="211" customFormat="1" ht="15.75" customHeight="1">
      <c r="A279" s="218"/>
      <c r="B279" s="219"/>
      <c r="C279" s="219"/>
      <c r="D279" s="219"/>
      <c r="E279" s="219"/>
      <c r="F279" s="219"/>
      <c r="G279" s="220"/>
      <c r="H279" s="12">
        <v>5</v>
      </c>
      <c r="I279" s="64" t="str">
        <f t="shared" si="131"/>
        <v>MR.KPBS.P091</v>
      </c>
      <c r="J279" s="64">
        <f t="shared" si="131"/>
        <v>0.70655581789999999</v>
      </c>
      <c r="K279" s="64">
        <f t="shared" si="131"/>
        <v>124.32287181940001</v>
      </c>
      <c r="L279" s="64" t="str">
        <f t="shared" si="131"/>
        <v>JL. RAYA POYOWA BESAR</v>
      </c>
      <c r="M279" s="64" t="str">
        <f t="shared" si="131"/>
        <v>SULAWESI UTARA</v>
      </c>
      <c r="N279" s="65" t="s">
        <v>105</v>
      </c>
      <c r="O279" s="66" t="s">
        <v>118</v>
      </c>
      <c r="P279" s="65" t="s">
        <v>119</v>
      </c>
      <c r="Q279" s="66">
        <v>95717</v>
      </c>
      <c r="R279" s="98"/>
      <c r="S279" s="99"/>
      <c r="T279" s="100"/>
      <c r="U279" s="99"/>
      <c r="V279" s="100"/>
      <c r="W279" s="97" t="s">
        <v>105</v>
      </c>
      <c r="X279" s="101"/>
      <c r="Y279" s="64" t="s">
        <v>106</v>
      </c>
      <c r="Z279" s="64" t="str">
        <f t="shared" si="126"/>
        <v>KELURAHAN POYOWA BESAR SATU KOTAMOBAGU</v>
      </c>
      <c r="AA279" s="102"/>
      <c r="AB279" s="102"/>
      <c r="AC279" s="102" t="s">
        <v>70</v>
      </c>
      <c r="AD279" s="64" t="str">
        <f t="shared" si="132"/>
        <v>POYOWA BESAR</v>
      </c>
      <c r="AE279" s="103"/>
      <c r="AF279" s="103"/>
      <c r="AG279" s="103"/>
      <c r="AH279" s="103"/>
      <c r="AI279" s="104"/>
      <c r="AJ279" s="11" t="s">
        <v>286</v>
      </c>
      <c r="AK279" s="102" t="s">
        <v>96</v>
      </c>
      <c r="AL279" s="106"/>
      <c r="AM279" s="192"/>
      <c r="AN279" s="192"/>
      <c r="AO279" s="192"/>
      <c r="AP279" s="192"/>
      <c r="AQ279" s="180" t="s">
        <v>97</v>
      </c>
      <c r="AR279" s="70" t="str">
        <f t="shared" si="125"/>
        <v>KTG.100.0101</v>
      </c>
      <c r="AS279" s="71" t="str">
        <f t="shared" si="124"/>
        <v>KPBS-2.020</v>
      </c>
      <c r="AT279" s="71" t="str">
        <f t="shared" si="124"/>
        <v>B13</v>
      </c>
      <c r="AU279" s="105"/>
      <c r="AV279" s="202">
        <v>0.70687104749999996</v>
      </c>
      <c r="AW279" s="202">
        <v>124.32274930680001</v>
      </c>
      <c r="AX279" s="106" t="s">
        <v>98</v>
      </c>
      <c r="AY279" s="106" t="s">
        <v>94</v>
      </c>
      <c r="AZ279" s="106" t="s">
        <v>94</v>
      </c>
      <c r="BA279" s="73" t="s">
        <v>77</v>
      </c>
      <c r="BB279" s="106" t="s">
        <v>98</v>
      </c>
      <c r="BC279" s="106">
        <v>31</v>
      </c>
      <c r="BD279" s="106" t="s">
        <v>98</v>
      </c>
      <c r="BE279" s="211" t="str">
        <f t="shared" si="129"/>
        <v>671A, POYOWA BESAR,</v>
      </c>
    </row>
    <row r="280" spans="1:57" s="211" customFormat="1" ht="15.75" customHeight="1">
      <c r="A280" s="218"/>
      <c r="B280" s="219"/>
      <c r="C280" s="219"/>
      <c r="D280" s="219"/>
      <c r="E280" s="219"/>
      <c r="F280" s="219"/>
      <c r="G280" s="220"/>
      <c r="H280" s="12">
        <v>6</v>
      </c>
      <c r="I280" s="64" t="str">
        <f t="shared" si="131"/>
        <v>MR.KPBS.P091</v>
      </c>
      <c r="J280" s="64">
        <f t="shared" si="131"/>
        <v>0.70655581789999999</v>
      </c>
      <c r="K280" s="64">
        <f t="shared" si="131"/>
        <v>124.32287181940001</v>
      </c>
      <c r="L280" s="64" t="str">
        <f t="shared" si="131"/>
        <v>JL. RAYA POYOWA BESAR</v>
      </c>
      <c r="M280" s="64" t="str">
        <f t="shared" si="131"/>
        <v>SULAWESI UTARA</v>
      </c>
      <c r="N280" s="65" t="s">
        <v>105</v>
      </c>
      <c r="O280" s="66" t="s">
        <v>118</v>
      </c>
      <c r="P280" s="65" t="s">
        <v>119</v>
      </c>
      <c r="Q280" s="66">
        <v>95717</v>
      </c>
      <c r="R280" s="98"/>
      <c r="S280" s="99"/>
      <c r="T280" s="100"/>
      <c r="U280" s="99"/>
      <c r="V280" s="100"/>
      <c r="W280" s="97" t="s">
        <v>105</v>
      </c>
      <c r="X280" s="101"/>
      <c r="Y280" s="64" t="s">
        <v>106</v>
      </c>
      <c r="Z280" s="64" t="str">
        <f t="shared" si="126"/>
        <v>KELURAHAN POYOWA BESAR SATU KOTAMOBAGU</v>
      </c>
      <c r="AA280" s="102"/>
      <c r="AB280" s="102"/>
      <c r="AC280" s="102" t="s">
        <v>70</v>
      </c>
      <c r="AD280" s="64" t="str">
        <f t="shared" si="132"/>
        <v>POYOWA BESAR</v>
      </c>
      <c r="AE280" s="103"/>
      <c r="AF280" s="103"/>
      <c r="AG280" s="103"/>
      <c r="AH280" s="103"/>
      <c r="AI280" s="104"/>
      <c r="AJ280" s="11" t="s">
        <v>287</v>
      </c>
      <c r="AK280" s="102" t="s">
        <v>96</v>
      </c>
      <c r="AL280" s="106"/>
      <c r="AM280" s="192"/>
      <c r="AN280" s="192"/>
      <c r="AO280" s="192"/>
      <c r="AP280" s="192"/>
      <c r="AQ280" s="180" t="s">
        <v>97</v>
      </c>
      <c r="AR280" s="70" t="str">
        <f t="shared" si="125"/>
        <v>KTG.100.0101</v>
      </c>
      <c r="AS280" s="71" t="str">
        <f t="shared" si="124"/>
        <v>KPBS-2.020</v>
      </c>
      <c r="AT280" s="71" t="str">
        <f t="shared" si="124"/>
        <v>B13</v>
      </c>
      <c r="AU280" s="105"/>
      <c r="AV280" s="202">
        <v>0.706774768699999</v>
      </c>
      <c r="AW280" s="202">
        <v>124.3230096728</v>
      </c>
      <c r="AX280" s="106" t="s">
        <v>98</v>
      </c>
      <c r="AY280" s="106" t="s">
        <v>94</v>
      </c>
      <c r="AZ280" s="106" t="s">
        <v>94</v>
      </c>
      <c r="BA280" s="73" t="s">
        <v>77</v>
      </c>
      <c r="BB280" s="106" t="s">
        <v>98</v>
      </c>
      <c r="BC280" s="106">
        <v>31</v>
      </c>
      <c r="BD280" s="106" t="s">
        <v>98</v>
      </c>
      <c r="BE280" s="211" t="str">
        <f t="shared" si="129"/>
        <v>673, POYOWA BESAR,</v>
      </c>
    </row>
    <row r="281" spans="1:57" s="211" customFormat="1" ht="15.75" customHeight="1">
      <c r="A281" s="218"/>
      <c r="B281" s="219"/>
      <c r="C281" s="219"/>
      <c r="D281" s="219"/>
      <c r="E281" s="219"/>
      <c r="F281" s="219"/>
      <c r="G281" s="220"/>
      <c r="H281" s="12">
        <v>7</v>
      </c>
      <c r="I281" s="64" t="str">
        <f t="shared" si="131"/>
        <v>MR.KPBS.P091</v>
      </c>
      <c r="J281" s="64">
        <f t="shared" si="131"/>
        <v>0.70655581789999999</v>
      </c>
      <c r="K281" s="64">
        <f t="shared" si="131"/>
        <v>124.32287181940001</v>
      </c>
      <c r="L281" s="64" t="str">
        <f t="shared" si="131"/>
        <v>JL. RAYA POYOWA BESAR</v>
      </c>
      <c r="M281" s="64" t="str">
        <f t="shared" si="131"/>
        <v>SULAWESI UTARA</v>
      </c>
      <c r="N281" s="65" t="s">
        <v>105</v>
      </c>
      <c r="O281" s="66" t="s">
        <v>118</v>
      </c>
      <c r="P281" s="65" t="s">
        <v>119</v>
      </c>
      <c r="Q281" s="66">
        <v>95717</v>
      </c>
      <c r="R281" s="98"/>
      <c r="S281" s="99"/>
      <c r="T281" s="100"/>
      <c r="U281" s="99"/>
      <c r="V281" s="100"/>
      <c r="W281" s="97" t="s">
        <v>105</v>
      </c>
      <c r="X281" s="101"/>
      <c r="Y281" s="64" t="s">
        <v>106</v>
      </c>
      <c r="Z281" s="64" t="str">
        <f t="shared" si="126"/>
        <v>KELURAHAN POYOWA BESAR SATU KOTAMOBAGU</v>
      </c>
      <c r="AA281" s="102"/>
      <c r="AB281" s="102"/>
      <c r="AC281" s="102" t="s">
        <v>70</v>
      </c>
      <c r="AD281" s="64" t="str">
        <f t="shared" si="132"/>
        <v>POYOWA BESAR</v>
      </c>
      <c r="AE281" s="103"/>
      <c r="AF281" s="103"/>
      <c r="AG281" s="103"/>
      <c r="AH281" s="103"/>
      <c r="AI281" s="104"/>
      <c r="AJ281" s="11" t="s">
        <v>288</v>
      </c>
      <c r="AK281" s="102" t="s">
        <v>96</v>
      </c>
      <c r="AL281" s="106"/>
      <c r="AM281" s="192"/>
      <c r="AN281" s="192"/>
      <c r="AO281" s="192"/>
      <c r="AP281" s="192"/>
      <c r="AQ281" s="180" t="s">
        <v>97</v>
      </c>
      <c r="AR281" s="70" t="str">
        <f t="shared" si="125"/>
        <v>KTG.100.0101</v>
      </c>
      <c r="AS281" s="71" t="str">
        <f t="shared" si="124"/>
        <v>KPBS-2.020</v>
      </c>
      <c r="AT281" s="71" t="str">
        <f t="shared" si="124"/>
        <v>B13</v>
      </c>
      <c r="AU281" s="105"/>
      <c r="AV281" s="202">
        <v>0.70675667769999995</v>
      </c>
      <c r="AW281" s="202">
        <v>124.32262646220001</v>
      </c>
      <c r="AX281" s="106" t="s">
        <v>98</v>
      </c>
      <c r="AY281" s="106" t="s">
        <v>94</v>
      </c>
      <c r="AZ281" s="106" t="s">
        <v>94</v>
      </c>
      <c r="BA281" s="73" t="s">
        <v>77</v>
      </c>
      <c r="BB281" s="106" t="s">
        <v>98</v>
      </c>
      <c r="BC281" s="106">
        <v>31</v>
      </c>
      <c r="BD281" s="106" t="s">
        <v>98</v>
      </c>
      <c r="BE281" s="211" t="str">
        <f t="shared" si="129"/>
        <v>674, POYOWA BESAR,</v>
      </c>
    </row>
    <row r="282" spans="1:57" s="211" customFormat="1" ht="15.75" customHeight="1">
      <c r="A282" s="218"/>
      <c r="B282" s="219"/>
      <c r="C282" s="219"/>
      <c r="D282" s="219"/>
      <c r="E282" s="219"/>
      <c r="F282" s="219"/>
      <c r="G282" s="220"/>
      <c r="H282" s="12">
        <v>8</v>
      </c>
      <c r="I282" s="64" t="str">
        <f t="shared" si="131"/>
        <v>MR.KPBS.P091</v>
      </c>
      <c r="J282" s="64">
        <f t="shared" si="131"/>
        <v>0.70655581789999999</v>
      </c>
      <c r="K282" s="64">
        <f t="shared" si="131"/>
        <v>124.32287181940001</v>
      </c>
      <c r="L282" s="64" t="str">
        <f t="shared" si="131"/>
        <v>JL. RAYA POYOWA BESAR</v>
      </c>
      <c r="M282" s="64" t="str">
        <f t="shared" si="131"/>
        <v>SULAWESI UTARA</v>
      </c>
      <c r="N282" s="65" t="s">
        <v>105</v>
      </c>
      <c r="O282" s="66" t="s">
        <v>118</v>
      </c>
      <c r="P282" s="65" t="s">
        <v>119</v>
      </c>
      <c r="Q282" s="66">
        <v>95717</v>
      </c>
      <c r="R282" s="98"/>
      <c r="S282" s="99"/>
      <c r="T282" s="100"/>
      <c r="U282" s="99"/>
      <c r="V282" s="100"/>
      <c r="W282" s="97" t="s">
        <v>105</v>
      </c>
      <c r="X282" s="101"/>
      <c r="Y282" s="64" t="s">
        <v>106</v>
      </c>
      <c r="Z282" s="64" t="str">
        <f t="shared" si="126"/>
        <v>KELURAHAN POYOWA BESAR SATU KOTAMOBAGU</v>
      </c>
      <c r="AA282" s="102"/>
      <c r="AB282" s="102"/>
      <c r="AC282" s="102" t="s">
        <v>70</v>
      </c>
      <c r="AD282" s="64" t="str">
        <f t="shared" si="132"/>
        <v>POYOWA BESAR</v>
      </c>
      <c r="AE282" s="103"/>
      <c r="AF282" s="103"/>
      <c r="AG282" s="103"/>
      <c r="AH282" s="103"/>
      <c r="AI282" s="104"/>
      <c r="AJ282" s="11" t="s">
        <v>289</v>
      </c>
      <c r="AK282" s="102" t="s">
        <v>96</v>
      </c>
      <c r="AL282" s="106"/>
      <c r="AM282" s="192"/>
      <c r="AN282" s="192"/>
      <c r="AO282" s="192"/>
      <c r="AP282" s="192"/>
      <c r="AQ282" s="180" t="s">
        <v>97</v>
      </c>
      <c r="AR282" s="70" t="str">
        <f t="shared" si="125"/>
        <v>KTG.100.0101</v>
      </c>
      <c r="AS282" s="71" t="str">
        <f t="shared" si="124"/>
        <v>KPBS-2.020</v>
      </c>
      <c r="AT282" s="71" t="str">
        <f t="shared" si="124"/>
        <v>B13</v>
      </c>
      <c r="AU282" s="105"/>
      <c r="AV282" s="202">
        <v>0.70650828210000005</v>
      </c>
      <c r="AW282" s="202">
        <v>124.3227699433</v>
      </c>
      <c r="AX282" s="106" t="s">
        <v>98</v>
      </c>
      <c r="AY282" s="106" t="s">
        <v>94</v>
      </c>
      <c r="AZ282" s="106" t="s">
        <v>94</v>
      </c>
      <c r="BA282" s="73" t="s">
        <v>77</v>
      </c>
      <c r="BB282" s="106" t="s">
        <v>98</v>
      </c>
      <c r="BC282" s="106">
        <v>31</v>
      </c>
      <c r="BD282" s="106" t="s">
        <v>98</v>
      </c>
      <c r="BE282" s="211" t="str">
        <f t="shared" si="129"/>
        <v>676, POYOWA BESAR,</v>
      </c>
    </row>
    <row r="283" spans="1:57" s="211" customFormat="1" ht="15.75" customHeight="1">
      <c r="A283" s="218"/>
      <c r="B283" s="219"/>
      <c r="C283" s="219"/>
      <c r="D283" s="219"/>
      <c r="E283" s="219"/>
      <c r="F283" s="219"/>
      <c r="G283" s="220"/>
      <c r="H283" s="12">
        <v>9</v>
      </c>
      <c r="I283" s="64" t="str">
        <f t="shared" si="131"/>
        <v>MR.KPBS.P091</v>
      </c>
      <c r="J283" s="64">
        <f t="shared" si="131"/>
        <v>0.70655581789999999</v>
      </c>
      <c r="K283" s="64">
        <f t="shared" si="131"/>
        <v>124.32287181940001</v>
      </c>
      <c r="L283" s="64" t="str">
        <f t="shared" si="131"/>
        <v>JL. RAYA POYOWA BESAR</v>
      </c>
      <c r="M283" s="64" t="str">
        <f t="shared" si="131"/>
        <v>SULAWESI UTARA</v>
      </c>
      <c r="N283" s="65" t="s">
        <v>105</v>
      </c>
      <c r="O283" s="66" t="s">
        <v>118</v>
      </c>
      <c r="P283" s="65" t="s">
        <v>119</v>
      </c>
      <c r="Q283" s="66">
        <v>95717</v>
      </c>
      <c r="R283" s="98"/>
      <c r="S283" s="99"/>
      <c r="T283" s="100"/>
      <c r="U283" s="99"/>
      <c r="V283" s="100"/>
      <c r="W283" s="97" t="s">
        <v>105</v>
      </c>
      <c r="X283" s="101"/>
      <c r="Y283" s="64" t="s">
        <v>106</v>
      </c>
      <c r="Z283" s="64" t="str">
        <f t="shared" si="126"/>
        <v>KELURAHAN POYOWA BESAR SATU KOTAMOBAGU</v>
      </c>
      <c r="AA283" s="102"/>
      <c r="AB283" s="102"/>
      <c r="AC283" s="102" t="s">
        <v>70</v>
      </c>
      <c r="AD283" s="64" t="str">
        <f t="shared" si="132"/>
        <v>POYOWA BESAR</v>
      </c>
      <c r="AE283" s="103"/>
      <c r="AF283" s="103"/>
      <c r="AG283" s="103"/>
      <c r="AH283" s="103"/>
      <c r="AI283" s="104"/>
      <c r="AJ283" s="11" t="s">
        <v>290</v>
      </c>
      <c r="AK283" s="102" t="s">
        <v>96</v>
      </c>
      <c r="AL283" s="106"/>
      <c r="AM283" s="192"/>
      <c r="AN283" s="192"/>
      <c r="AO283" s="192"/>
      <c r="AP283" s="192"/>
      <c r="AQ283" s="180" t="s">
        <v>97</v>
      </c>
      <c r="AR283" s="70" t="str">
        <f t="shared" si="125"/>
        <v>KTG.100.0101</v>
      </c>
      <c r="AS283" s="71" t="str">
        <f t="shared" si="124"/>
        <v>KPBS-2.020</v>
      </c>
      <c r="AT283" s="71" t="str">
        <f t="shared" si="124"/>
        <v>B13</v>
      </c>
      <c r="AU283" s="105"/>
      <c r="AV283" s="202">
        <v>0.70651335280000005</v>
      </c>
      <c r="AW283" s="202">
        <v>124.3226917019</v>
      </c>
      <c r="AX283" s="106" t="s">
        <v>98</v>
      </c>
      <c r="AY283" s="106" t="s">
        <v>94</v>
      </c>
      <c r="AZ283" s="106" t="s">
        <v>94</v>
      </c>
      <c r="BA283" s="73" t="s">
        <v>77</v>
      </c>
      <c r="BB283" s="106" t="s">
        <v>98</v>
      </c>
      <c r="BC283" s="106">
        <v>31</v>
      </c>
      <c r="BD283" s="106" t="s">
        <v>98</v>
      </c>
      <c r="BE283" s="211" t="str">
        <f t="shared" si="129"/>
        <v>677, POYOWA BESAR,</v>
      </c>
    </row>
    <row r="284" spans="1:57" s="211" customFormat="1" ht="15.75" customHeight="1">
      <c r="A284" s="218"/>
      <c r="B284" s="219"/>
      <c r="C284" s="219"/>
      <c r="D284" s="219"/>
      <c r="E284" s="219"/>
      <c r="F284" s="219"/>
      <c r="G284" s="220"/>
      <c r="H284" s="12">
        <v>10</v>
      </c>
      <c r="I284" s="64" t="str">
        <f>I277</f>
        <v>MR.KPBS.P091</v>
      </c>
      <c r="J284" s="64">
        <f>J277</f>
        <v>0.70655581789999999</v>
      </c>
      <c r="K284" s="64">
        <f>K277</f>
        <v>124.32287181940001</v>
      </c>
      <c r="L284" s="64" t="str">
        <f>L277</f>
        <v>JL. RAYA POYOWA BESAR</v>
      </c>
      <c r="M284" s="64" t="str">
        <f t="shared" ref="M284" si="133">M283</f>
        <v>SULAWESI UTARA</v>
      </c>
      <c r="N284" s="65" t="s">
        <v>105</v>
      </c>
      <c r="O284" s="66" t="s">
        <v>118</v>
      </c>
      <c r="P284" s="65" t="s">
        <v>119</v>
      </c>
      <c r="Q284" s="66">
        <v>95717</v>
      </c>
      <c r="R284" s="98"/>
      <c r="S284" s="99"/>
      <c r="T284" s="100"/>
      <c r="U284" s="99"/>
      <c r="V284" s="100"/>
      <c r="W284" s="97" t="s">
        <v>105</v>
      </c>
      <c r="X284" s="101"/>
      <c r="Y284" s="64" t="s">
        <v>106</v>
      </c>
      <c r="Z284" s="64" t="str">
        <f t="shared" si="126"/>
        <v>KELURAHAN POYOWA BESAR SATU KOTAMOBAGU</v>
      </c>
      <c r="AA284" s="102"/>
      <c r="AB284" s="102"/>
      <c r="AC284" s="102" t="s">
        <v>70</v>
      </c>
      <c r="AD284" s="64" t="str">
        <f t="shared" ref="AD284" si="134">AD277</f>
        <v>POYOWA BESAR</v>
      </c>
      <c r="AE284" s="103"/>
      <c r="AF284" s="103"/>
      <c r="AG284" s="103"/>
      <c r="AH284" s="103"/>
      <c r="AI284" s="104"/>
      <c r="AJ284" s="11" t="s">
        <v>291</v>
      </c>
      <c r="AK284" s="102" t="s">
        <v>96</v>
      </c>
      <c r="AL284" s="106"/>
      <c r="AM284" s="192"/>
      <c r="AN284" s="192"/>
      <c r="AO284" s="192"/>
      <c r="AP284" s="192"/>
      <c r="AQ284" s="180" t="s">
        <v>97</v>
      </c>
      <c r="AR284" s="70" t="str">
        <f t="shared" si="125"/>
        <v>KTG.100.0101</v>
      </c>
      <c r="AS284" s="71" t="str">
        <f>AS277</f>
        <v>KPBS-2.020</v>
      </c>
      <c r="AT284" s="71" t="str">
        <f>AT277</f>
        <v>B13</v>
      </c>
      <c r="AU284" s="105"/>
      <c r="AV284" s="202">
        <v>0.70640815280000002</v>
      </c>
      <c r="AW284" s="202">
        <v>124.32259992580001</v>
      </c>
      <c r="AX284" s="106" t="s">
        <v>98</v>
      </c>
      <c r="AY284" s="106" t="s">
        <v>94</v>
      </c>
      <c r="AZ284" s="106" t="s">
        <v>94</v>
      </c>
      <c r="BA284" s="73" t="s">
        <v>77</v>
      </c>
      <c r="BB284" s="106" t="s">
        <v>98</v>
      </c>
      <c r="BC284" s="106">
        <v>31</v>
      </c>
      <c r="BD284" s="106" t="s">
        <v>98</v>
      </c>
      <c r="BE284" s="211" t="str">
        <f t="shared" si="129"/>
        <v>700, POYOWA BESAR,</v>
      </c>
    </row>
    <row r="285" spans="1:57" s="211" customFormat="1" ht="15.75" customHeight="1">
      <c r="A285" s="218"/>
      <c r="B285" s="219"/>
      <c r="C285" s="219"/>
      <c r="D285" s="219"/>
      <c r="E285" s="219"/>
      <c r="F285" s="219"/>
      <c r="G285" s="220"/>
      <c r="H285" s="12">
        <v>11</v>
      </c>
      <c r="I285" s="64" t="str">
        <f t="shared" si="131"/>
        <v>MR.KPBS.P091</v>
      </c>
      <c r="J285" s="64">
        <f t="shared" si="131"/>
        <v>0.70655581789999999</v>
      </c>
      <c r="K285" s="64">
        <f t="shared" si="131"/>
        <v>124.32287181940001</v>
      </c>
      <c r="L285" s="64" t="str">
        <f t="shared" si="131"/>
        <v>JL. RAYA POYOWA BESAR</v>
      </c>
      <c r="M285" s="64" t="str">
        <f t="shared" si="131"/>
        <v>SULAWESI UTARA</v>
      </c>
      <c r="N285" s="65" t="s">
        <v>105</v>
      </c>
      <c r="O285" s="66" t="s">
        <v>118</v>
      </c>
      <c r="P285" s="65" t="s">
        <v>119</v>
      </c>
      <c r="Q285" s="66">
        <v>95717</v>
      </c>
      <c r="R285" s="98"/>
      <c r="S285" s="99"/>
      <c r="T285" s="100"/>
      <c r="U285" s="99"/>
      <c r="V285" s="100"/>
      <c r="W285" s="97" t="s">
        <v>105</v>
      </c>
      <c r="X285" s="101"/>
      <c r="Y285" s="64" t="s">
        <v>106</v>
      </c>
      <c r="Z285" s="64" t="str">
        <f t="shared" si="126"/>
        <v>KELURAHAN POYOWA BESAR SATU KOTAMOBAGU</v>
      </c>
      <c r="AA285" s="102"/>
      <c r="AB285" s="102"/>
      <c r="AC285" s="102" t="s">
        <v>70</v>
      </c>
      <c r="AD285" s="64" t="str">
        <f t="shared" ref="AD285:AD290" si="135">AD284</f>
        <v>POYOWA BESAR</v>
      </c>
      <c r="AE285" s="103"/>
      <c r="AF285" s="103"/>
      <c r="AG285" s="103"/>
      <c r="AH285" s="103"/>
      <c r="AI285" s="104"/>
      <c r="AJ285" s="11" t="s">
        <v>292</v>
      </c>
      <c r="AK285" s="102" t="s">
        <v>96</v>
      </c>
      <c r="AL285" s="106"/>
      <c r="AM285" s="192"/>
      <c r="AN285" s="192"/>
      <c r="AO285" s="192"/>
      <c r="AP285" s="192"/>
      <c r="AQ285" s="180" t="s">
        <v>97</v>
      </c>
      <c r="AR285" s="70" t="str">
        <f t="shared" si="125"/>
        <v>KTG.100.0101</v>
      </c>
      <c r="AS285" s="71" t="str">
        <f t="shared" si="124"/>
        <v>KPBS-2.020</v>
      </c>
      <c r="AT285" s="71" t="str">
        <f t="shared" si="124"/>
        <v>B13</v>
      </c>
      <c r="AU285" s="105"/>
      <c r="AV285" s="202">
        <v>0.70650692010000005</v>
      </c>
      <c r="AW285" s="202">
        <v>124.32260125339999</v>
      </c>
      <c r="AX285" s="106" t="s">
        <v>98</v>
      </c>
      <c r="AY285" s="106" t="s">
        <v>94</v>
      </c>
      <c r="AZ285" s="106" t="s">
        <v>94</v>
      </c>
      <c r="BA285" s="73" t="s">
        <v>77</v>
      </c>
      <c r="BB285" s="106" t="s">
        <v>98</v>
      </c>
      <c r="BC285" s="106">
        <v>31</v>
      </c>
      <c r="BD285" s="106" t="s">
        <v>98</v>
      </c>
      <c r="BE285" s="211" t="str">
        <f t="shared" si="129"/>
        <v>678, POYOWA BESAR,</v>
      </c>
    </row>
    <row r="286" spans="1:57" s="211" customFormat="1" ht="15.75" customHeight="1">
      <c r="A286" s="218"/>
      <c r="B286" s="219"/>
      <c r="C286" s="219"/>
      <c r="D286" s="219"/>
      <c r="E286" s="219"/>
      <c r="F286" s="219"/>
      <c r="G286" s="220"/>
      <c r="H286" s="12">
        <v>12</v>
      </c>
      <c r="I286" s="64" t="str">
        <f t="shared" si="131"/>
        <v>MR.KPBS.P091</v>
      </c>
      <c r="J286" s="64">
        <f t="shared" si="131"/>
        <v>0.70655581789999999</v>
      </c>
      <c r="K286" s="64">
        <f t="shared" si="131"/>
        <v>124.32287181940001</v>
      </c>
      <c r="L286" s="64" t="str">
        <f t="shared" si="131"/>
        <v>JL. RAYA POYOWA BESAR</v>
      </c>
      <c r="M286" s="64" t="str">
        <f t="shared" si="131"/>
        <v>SULAWESI UTARA</v>
      </c>
      <c r="N286" s="65" t="s">
        <v>105</v>
      </c>
      <c r="O286" s="66" t="s">
        <v>118</v>
      </c>
      <c r="P286" s="65" t="s">
        <v>119</v>
      </c>
      <c r="Q286" s="66">
        <v>95717</v>
      </c>
      <c r="R286" s="98"/>
      <c r="S286" s="99"/>
      <c r="T286" s="100"/>
      <c r="U286" s="99"/>
      <c r="V286" s="100"/>
      <c r="W286" s="97" t="s">
        <v>105</v>
      </c>
      <c r="X286" s="101"/>
      <c r="Y286" s="64" t="s">
        <v>106</v>
      </c>
      <c r="Z286" s="64" t="str">
        <f t="shared" si="126"/>
        <v>KELURAHAN POYOWA BESAR SATU KOTAMOBAGU</v>
      </c>
      <c r="AA286" s="102"/>
      <c r="AB286" s="102"/>
      <c r="AC286" s="102" t="s">
        <v>70</v>
      </c>
      <c r="AD286" s="64" t="str">
        <f t="shared" si="135"/>
        <v>POYOWA BESAR</v>
      </c>
      <c r="AE286" s="103"/>
      <c r="AF286" s="103"/>
      <c r="AG286" s="103"/>
      <c r="AH286" s="103"/>
      <c r="AI286" s="104"/>
      <c r="AJ286" s="11" t="s">
        <v>293</v>
      </c>
      <c r="AK286" s="102" t="s">
        <v>96</v>
      </c>
      <c r="AL286" s="106"/>
      <c r="AM286" s="192"/>
      <c r="AN286" s="192"/>
      <c r="AO286" s="192"/>
      <c r="AP286" s="192"/>
      <c r="AQ286" s="193" t="s">
        <v>97</v>
      </c>
      <c r="AR286" s="70" t="str">
        <f t="shared" si="125"/>
        <v>KTG.100.0101</v>
      </c>
      <c r="AS286" s="71" t="str">
        <f t="shared" si="124"/>
        <v>KPBS-2.020</v>
      </c>
      <c r="AT286" s="71" t="str">
        <f t="shared" si="124"/>
        <v>B13</v>
      </c>
      <c r="AU286" s="105"/>
      <c r="AV286" s="202">
        <v>0.70650894389999996</v>
      </c>
      <c r="AW286" s="202">
        <v>124.3225330966</v>
      </c>
      <c r="AX286" s="106" t="s">
        <v>98</v>
      </c>
      <c r="AY286" s="106" t="s">
        <v>94</v>
      </c>
      <c r="AZ286" s="106" t="s">
        <v>94</v>
      </c>
      <c r="BA286" s="73" t="s">
        <v>77</v>
      </c>
      <c r="BB286" s="106" t="s">
        <v>98</v>
      </c>
      <c r="BC286" s="106">
        <v>31</v>
      </c>
      <c r="BD286" s="106" t="s">
        <v>98</v>
      </c>
      <c r="BE286" s="211" t="str">
        <f t="shared" si="129"/>
        <v>679, POYOWA BESAR,</v>
      </c>
    </row>
    <row r="287" spans="1:57" s="211" customFormat="1" ht="15.75" customHeight="1">
      <c r="A287" s="218"/>
      <c r="B287" s="219"/>
      <c r="C287" s="219"/>
      <c r="D287" s="219"/>
      <c r="E287" s="219"/>
      <c r="F287" s="219"/>
      <c r="G287" s="220"/>
      <c r="H287" s="12">
        <v>13</v>
      </c>
      <c r="I287" s="64" t="str">
        <f t="shared" si="131"/>
        <v>MR.KPBS.P091</v>
      </c>
      <c r="J287" s="64">
        <f t="shared" si="131"/>
        <v>0.70655581789999999</v>
      </c>
      <c r="K287" s="64">
        <f t="shared" si="131"/>
        <v>124.32287181940001</v>
      </c>
      <c r="L287" s="64" t="str">
        <f t="shared" si="131"/>
        <v>JL. RAYA POYOWA BESAR</v>
      </c>
      <c r="M287" s="64" t="str">
        <f t="shared" si="131"/>
        <v>SULAWESI UTARA</v>
      </c>
      <c r="N287" s="65" t="s">
        <v>105</v>
      </c>
      <c r="O287" s="66" t="s">
        <v>118</v>
      </c>
      <c r="P287" s="65" t="s">
        <v>119</v>
      </c>
      <c r="Q287" s="66">
        <v>95717</v>
      </c>
      <c r="R287" s="98"/>
      <c r="S287" s="99"/>
      <c r="T287" s="100"/>
      <c r="U287" s="99"/>
      <c r="V287" s="100"/>
      <c r="W287" s="97" t="s">
        <v>105</v>
      </c>
      <c r="X287" s="101"/>
      <c r="Y287" s="64" t="s">
        <v>106</v>
      </c>
      <c r="Z287" s="64" t="str">
        <f t="shared" si="126"/>
        <v>KELURAHAN POYOWA BESAR SATU KOTAMOBAGU</v>
      </c>
      <c r="AA287" s="102"/>
      <c r="AB287" s="102"/>
      <c r="AC287" s="102" t="s">
        <v>70</v>
      </c>
      <c r="AD287" s="64" t="str">
        <f t="shared" si="135"/>
        <v>POYOWA BESAR</v>
      </c>
      <c r="AE287" s="103"/>
      <c r="AF287" s="103"/>
      <c r="AG287" s="103"/>
      <c r="AH287" s="103"/>
      <c r="AI287" s="104"/>
      <c r="AJ287" s="11" t="s">
        <v>294</v>
      </c>
      <c r="AK287" s="102" t="s">
        <v>96</v>
      </c>
      <c r="AL287" s="106"/>
      <c r="AM287" s="106"/>
      <c r="AN287" s="106"/>
      <c r="AO287" s="106"/>
      <c r="AP287" s="106"/>
      <c r="AQ287" s="180" t="s">
        <v>97</v>
      </c>
      <c r="AR287" s="70" t="str">
        <f t="shared" si="125"/>
        <v>KTG.100.0101</v>
      </c>
      <c r="AS287" s="71" t="str">
        <f t="shared" si="124"/>
        <v>KPBS-2.020</v>
      </c>
      <c r="AT287" s="71" t="str">
        <f t="shared" si="124"/>
        <v>B13</v>
      </c>
      <c r="AU287" s="105"/>
      <c r="AV287" s="202">
        <v>0.70650707339999996</v>
      </c>
      <c r="AW287" s="202">
        <v>124.3224743027</v>
      </c>
      <c r="AX287" s="106" t="s">
        <v>98</v>
      </c>
      <c r="AY287" s="106" t="s">
        <v>94</v>
      </c>
      <c r="AZ287" s="106" t="s">
        <v>94</v>
      </c>
      <c r="BA287" s="73" t="s">
        <v>77</v>
      </c>
      <c r="BB287" s="106" t="s">
        <v>98</v>
      </c>
      <c r="BC287" s="106">
        <v>31</v>
      </c>
      <c r="BD287" s="106" t="s">
        <v>98</v>
      </c>
      <c r="BE287" s="211" t="str">
        <f t="shared" si="129"/>
        <v>680, POYOWA BESAR,</v>
      </c>
    </row>
    <row r="288" spans="1:57" s="211" customFormat="1" ht="15.75" customHeight="1">
      <c r="A288" s="218"/>
      <c r="B288" s="219"/>
      <c r="C288" s="219"/>
      <c r="D288" s="219"/>
      <c r="E288" s="219"/>
      <c r="F288" s="219"/>
      <c r="G288" s="220"/>
      <c r="H288" s="12">
        <v>14</v>
      </c>
      <c r="I288" s="64" t="str">
        <f t="shared" si="131"/>
        <v>MR.KPBS.P091</v>
      </c>
      <c r="J288" s="64">
        <f t="shared" si="131"/>
        <v>0.70655581789999999</v>
      </c>
      <c r="K288" s="64">
        <f t="shared" si="131"/>
        <v>124.32287181940001</v>
      </c>
      <c r="L288" s="64" t="str">
        <f t="shared" si="131"/>
        <v>JL. RAYA POYOWA BESAR</v>
      </c>
      <c r="M288" s="64" t="str">
        <f t="shared" si="131"/>
        <v>SULAWESI UTARA</v>
      </c>
      <c r="N288" s="65" t="s">
        <v>105</v>
      </c>
      <c r="O288" s="66" t="s">
        <v>118</v>
      </c>
      <c r="P288" s="65" t="s">
        <v>119</v>
      </c>
      <c r="Q288" s="66">
        <v>95717</v>
      </c>
      <c r="R288" s="98"/>
      <c r="S288" s="99"/>
      <c r="T288" s="100"/>
      <c r="U288" s="99"/>
      <c r="V288" s="100"/>
      <c r="W288" s="97" t="s">
        <v>105</v>
      </c>
      <c r="X288" s="101"/>
      <c r="Y288" s="64" t="s">
        <v>106</v>
      </c>
      <c r="Z288" s="64" t="str">
        <f t="shared" si="126"/>
        <v>KELURAHAN POYOWA BESAR SATU KOTAMOBAGU</v>
      </c>
      <c r="AA288" s="102"/>
      <c r="AB288" s="102"/>
      <c r="AC288" s="102" t="s">
        <v>70</v>
      </c>
      <c r="AD288" s="64" t="str">
        <f t="shared" si="135"/>
        <v>POYOWA BESAR</v>
      </c>
      <c r="AE288" s="103"/>
      <c r="AF288" s="103"/>
      <c r="AG288" s="103"/>
      <c r="AH288" s="103"/>
      <c r="AI288" s="104"/>
      <c r="AJ288" s="11" t="s">
        <v>295</v>
      </c>
      <c r="AK288" s="102" t="s">
        <v>96</v>
      </c>
      <c r="AL288" s="106"/>
      <c r="AM288" s="106"/>
      <c r="AN288" s="106"/>
      <c r="AO288" s="106"/>
      <c r="AP288" s="106"/>
      <c r="AQ288" s="180" t="s">
        <v>97</v>
      </c>
      <c r="AR288" s="70" t="str">
        <f t="shared" si="125"/>
        <v>KTG.100.0101</v>
      </c>
      <c r="AS288" s="71" t="str">
        <f t="shared" si="124"/>
        <v>KPBS-2.020</v>
      </c>
      <c r="AT288" s="71" t="str">
        <f t="shared" si="124"/>
        <v>B13</v>
      </c>
      <c r="AU288" s="105"/>
      <c r="AV288" s="202">
        <v>0.70668944519999999</v>
      </c>
      <c r="AW288" s="202">
        <v>124.32241270900001</v>
      </c>
      <c r="AX288" s="106" t="s">
        <v>98</v>
      </c>
      <c r="AY288" s="106" t="s">
        <v>94</v>
      </c>
      <c r="AZ288" s="106" t="s">
        <v>94</v>
      </c>
      <c r="BA288" s="73" t="s">
        <v>77</v>
      </c>
      <c r="BB288" s="106" t="s">
        <v>98</v>
      </c>
      <c r="BC288" s="106">
        <v>31</v>
      </c>
      <c r="BD288" s="106" t="s">
        <v>98</v>
      </c>
      <c r="BE288" s="211" t="str">
        <f t="shared" si="129"/>
        <v>682, POYOWA BESAR,</v>
      </c>
    </row>
    <row r="289" spans="1:57" s="211" customFormat="1" ht="15.75" customHeight="1">
      <c r="A289" s="218"/>
      <c r="B289" s="219"/>
      <c r="C289" s="219"/>
      <c r="D289" s="219"/>
      <c r="E289" s="219"/>
      <c r="F289" s="219"/>
      <c r="G289" s="220"/>
      <c r="H289" s="12">
        <v>15</v>
      </c>
      <c r="I289" s="64" t="str">
        <f t="shared" si="131"/>
        <v>MR.KPBS.P091</v>
      </c>
      <c r="J289" s="64">
        <f t="shared" si="131"/>
        <v>0.70655581789999999</v>
      </c>
      <c r="K289" s="64">
        <f t="shared" si="131"/>
        <v>124.32287181940001</v>
      </c>
      <c r="L289" s="64" t="str">
        <f t="shared" si="131"/>
        <v>JL. RAYA POYOWA BESAR</v>
      </c>
      <c r="M289" s="64" t="str">
        <f t="shared" si="131"/>
        <v>SULAWESI UTARA</v>
      </c>
      <c r="N289" s="65" t="s">
        <v>105</v>
      </c>
      <c r="O289" s="66" t="s">
        <v>118</v>
      </c>
      <c r="P289" s="65" t="s">
        <v>119</v>
      </c>
      <c r="Q289" s="66">
        <v>95717</v>
      </c>
      <c r="R289" s="98"/>
      <c r="S289" s="99"/>
      <c r="T289" s="100"/>
      <c r="U289" s="99"/>
      <c r="V289" s="100"/>
      <c r="W289" s="97" t="s">
        <v>105</v>
      </c>
      <c r="X289" s="101"/>
      <c r="Y289" s="64" t="s">
        <v>106</v>
      </c>
      <c r="Z289" s="64" t="str">
        <f t="shared" si="126"/>
        <v>KELURAHAN POYOWA BESAR SATU KOTAMOBAGU</v>
      </c>
      <c r="AA289" s="102"/>
      <c r="AB289" s="102"/>
      <c r="AC289" s="102" t="s">
        <v>70</v>
      </c>
      <c r="AD289" s="64" t="str">
        <f t="shared" si="135"/>
        <v>POYOWA BESAR</v>
      </c>
      <c r="AE289" s="103"/>
      <c r="AF289" s="103"/>
      <c r="AG289" s="103"/>
      <c r="AH289" s="103"/>
      <c r="AI289" s="104"/>
      <c r="AJ289" s="11" t="s">
        <v>296</v>
      </c>
      <c r="AK289" s="102" t="s">
        <v>96</v>
      </c>
      <c r="AL289" s="106"/>
      <c r="AM289" s="106"/>
      <c r="AN289" s="106"/>
      <c r="AO289" s="106"/>
      <c r="AP289" s="106"/>
      <c r="AQ289" s="180" t="s">
        <v>97</v>
      </c>
      <c r="AR289" s="70" t="str">
        <f t="shared" si="125"/>
        <v>KTG.100.0101</v>
      </c>
      <c r="AS289" s="71" t="str">
        <f t="shared" si="124"/>
        <v>KPBS-2.020</v>
      </c>
      <c r="AT289" s="71" t="str">
        <f t="shared" si="124"/>
        <v>B13</v>
      </c>
      <c r="AU289" s="105"/>
      <c r="AV289" s="202">
        <v>0.70646966379999998</v>
      </c>
      <c r="AW289" s="202">
        <v>124.32240897609999</v>
      </c>
      <c r="AX289" s="106" t="s">
        <v>98</v>
      </c>
      <c r="AY289" s="106" t="s">
        <v>94</v>
      </c>
      <c r="AZ289" s="106" t="s">
        <v>94</v>
      </c>
      <c r="BA289" s="73" t="s">
        <v>77</v>
      </c>
      <c r="BB289" s="106" t="s">
        <v>98</v>
      </c>
      <c r="BC289" s="106">
        <v>31</v>
      </c>
      <c r="BD289" s="106" t="s">
        <v>98</v>
      </c>
      <c r="BE289" s="211" t="str">
        <f t="shared" si="129"/>
        <v>681, POYOWA BESAR,</v>
      </c>
    </row>
    <row r="290" spans="1:57" s="211" customFormat="1" ht="15.75" customHeight="1">
      <c r="A290" s="218"/>
      <c r="B290" s="219"/>
      <c r="C290" s="219"/>
      <c r="D290" s="219"/>
      <c r="E290" s="219"/>
      <c r="F290" s="219"/>
      <c r="G290" s="220"/>
      <c r="H290" s="12">
        <v>16</v>
      </c>
      <c r="I290" s="64" t="str">
        <f t="shared" si="131"/>
        <v>MR.KPBS.P091</v>
      </c>
      <c r="J290" s="64">
        <f t="shared" si="131"/>
        <v>0.70655581789999999</v>
      </c>
      <c r="K290" s="64">
        <f t="shared" si="131"/>
        <v>124.32287181940001</v>
      </c>
      <c r="L290" s="64" t="str">
        <f t="shared" si="131"/>
        <v>JL. RAYA POYOWA BESAR</v>
      </c>
      <c r="M290" s="64" t="str">
        <f t="shared" si="131"/>
        <v>SULAWESI UTARA</v>
      </c>
      <c r="N290" s="65" t="s">
        <v>105</v>
      </c>
      <c r="O290" s="66" t="s">
        <v>118</v>
      </c>
      <c r="P290" s="65" t="s">
        <v>119</v>
      </c>
      <c r="Q290" s="66">
        <v>95717</v>
      </c>
      <c r="R290" s="98"/>
      <c r="S290" s="99"/>
      <c r="T290" s="100"/>
      <c r="U290" s="99"/>
      <c r="V290" s="100"/>
      <c r="W290" s="97" t="s">
        <v>105</v>
      </c>
      <c r="X290" s="101"/>
      <c r="Y290" s="64" t="s">
        <v>106</v>
      </c>
      <c r="Z290" s="64" t="str">
        <f t="shared" si="126"/>
        <v>KELURAHAN POYOWA BESAR SATU KOTAMOBAGU</v>
      </c>
      <c r="AA290" s="102"/>
      <c r="AB290" s="102"/>
      <c r="AC290" s="102" t="s">
        <v>70</v>
      </c>
      <c r="AD290" s="64" t="str">
        <f t="shared" si="135"/>
        <v>POYOWA BESAR</v>
      </c>
      <c r="AE290" s="103"/>
      <c r="AF290" s="103"/>
      <c r="AG290" s="103"/>
      <c r="AH290" s="103"/>
      <c r="AI290" s="104"/>
      <c r="AJ290" s="11" t="s">
        <v>297</v>
      </c>
      <c r="AK290" s="102" t="s">
        <v>96</v>
      </c>
      <c r="AL290" s="106"/>
      <c r="AM290" s="106"/>
      <c r="AN290" s="106"/>
      <c r="AO290" s="106"/>
      <c r="AP290" s="106"/>
      <c r="AQ290" s="180" t="s">
        <v>97</v>
      </c>
      <c r="AR290" s="70" t="str">
        <f t="shared" si="125"/>
        <v>KTG.100.0101</v>
      </c>
      <c r="AS290" s="71" t="str">
        <f t="shared" si="124"/>
        <v>KPBS-2.020</v>
      </c>
      <c r="AT290" s="71" t="str">
        <f t="shared" si="124"/>
        <v>B13</v>
      </c>
      <c r="AU290" s="105"/>
      <c r="AV290" s="202">
        <v>0.70648462769999998</v>
      </c>
      <c r="AW290" s="202">
        <v>124.32232031869999</v>
      </c>
      <c r="AX290" s="106" t="s">
        <v>98</v>
      </c>
      <c r="AY290" s="106" t="s">
        <v>94</v>
      </c>
      <c r="AZ290" s="106" t="s">
        <v>94</v>
      </c>
      <c r="BA290" s="73" t="s">
        <v>77</v>
      </c>
      <c r="BB290" s="106" t="s">
        <v>98</v>
      </c>
      <c r="BC290" s="106">
        <v>31</v>
      </c>
      <c r="BD290" s="106" t="s">
        <v>98</v>
      </c>
      <c r="BE290" s="211" t="str">
        <f t="shared" si="129"/>
        <v>684, POYOWA BESAR,</v>
      </c>
    </row>
    <row r="291" spans="1:57" s="211" customFormat="1" ht="15.75" customHeight="1">
      <c r="A291" s="121" t="s">
        <v>100</v>
      </c>
      <c r="B291" s="121">
        <f>B275+1</f>
        <v>22</v>
      </c>
      <c r="C291" s="122" t="s">
        <v>99</v>
      </c>
      <c r="D291" s="122" t="s">
        <v>351</v>
      </c>
      <c r="E291" s="122">
        <v>3</v>
      </c>
      <c r="F291" s="2">
        <f>F276+1</f>
        <v>31</v>
      </c>
      <c r="G291" s="213" t="s">
        <v>95</v>
      </c>
      <c r="H291" s="123">
        <v>1</v>
      </c>
      <c r="I291" s="124" t="s">
        <v>967</v>
      </c>
      <c r="J291" s="125">
        <v>0.70656300000000005</v>
      </c>
      <c r="K291" s="125">
        <v>124.322001</v>
      </c>
      <c r="L291" s="16" t="s">
        <v>116</v>
      </c>
      <c r="M291" s="140" t="str">
        <f t="shared" ref="M291" si="136">M290</f>
        <v>SULAWESI UTARA</v>
      </c>
      <c r="N291" s="13" t="s">
        <v>105</v>
      </c>
      <c r="O291" s="127" t="s">
        <v>118</v>
      </c>
      <c r="P291" s="13" t="s">
        <v>119</v>
      </c>
      <c r="Q291" s="127">
        <v>95717</v>
      </c>
      <c r="R291" s="128"/>
      <c r="S291" s="129"/>
      <c r="T291" s="130"/>
      <c r="U291" s="129"/>
      <c r="V291" s="130"/>
      <c r="W291" s="126" t="s">
        <v>105</v>
      </c>
      <c r="X291" s="125"/>
      <c r="Y291" s="140" t="s">
        <v>106</v>
      </c>
      <c r="Z291" s="140" t="str">
        <f t="shared" si="126"/>
        <v>KELURAHAN POYOWA BESAR SATU KOTAMOBAGU</v>
      </c>
      <c r="AA291" s="131"/>
      <c r="AB291" s="131"/>
      <c r="AC291" s="131" t="s">
        <v>70</v>
      </c>
      <c r="AD291" s="16" t="s">
        <v>119</v>
      </c>
      <c r="AE291" s="15"/>
      <c r="AF291" s="15"/>
      <c r="AG291" s="15"/>
      <c r="AH291" s="15"/>
      <c r="AI291" s="132"/>
      <c r="AJ291" s="133" t="s">
        <v>858</v>
      </c>
      <c r="AK291" s="131" t="s">
        <v>96</v>
      </c>
      <c r="AL291" s="137"/>
      <c r="AM291" s="194"/>
      <c r="AN291" s="194"/>
      <c r="AO291" s="194"/>
      <c r="AP291" s="194"/>
      <c r="AQ291" s="195" t="s">
        <v>97</v>
      </c>
      <c r="AR291" s="134" t="str">
        <f t="shared" si="125"/>
        <v>KTG.100.0101</v>
      </c>
      <c r="AS291" s="135" t="str">
        <f>AS275</f>
        <v>KPBS-2.020</v>
      </c>
      <c r="AT291" s="135" t="str">
        <f>G291</f>
        <v>B14</v>
      </c>
      <c r="AU291" s="136"/>
      <c r="AV291" s="205">
        <v>0.70646779339999999</v>
      </c>
      <c r="AW291" s="205">
        <v>124.3222344608</v>
      </c>
      <c r="AX291" s="137" t="s">
        <v>98</v>
      </c>
      <c r="AY291" s="137" t="s">
        <v>94</v>
      </c>
      <c r="AZ291" s="137" t="s">
        <v>94</v>
      </c>
      <c r="BA291" s="138" t="s">
        <v>77</v>
      </c>
      <c r="BB291" s="137" t="s">
        <v>98</v>
      </c>
      <c r="BC291" s="137">
        <v>31</v>
      </c>
      <c r="BD291" s="137" t="s">
        <v>98</v>
      </c>
      <c r="BE291" s="211" t="str">
        <f t="shared" si="129"/>
        <v>686, POYOWA BESAR,</v>
      </c>
    </row>
    <row r="292" spans="1:57" s="211" customFormat="1" ht="15.75" customHeight="1">
      <c r="A292" s="21"/>
      <c r="B292" s="21"/>
      <c r="C292" s="22" t="s">
        <v>99</v>
      </c>
      <c r="D292" s="22" t="s">
        <v>351</v>
      </c>
      <c r="E292" s="122">
        <v>3</v>
      </c>
      <c r="F292" s="6">
        <f>F291+1</f>
        <v>32</v>
      </c>
      <c r="G292" s="213"/>
      <c r="H292" s="12">
        <v>2</v>
      </c>
      <c r="I292" s="64" t="str">
        <f t="shared" ref="I292:M306" si="137">I291</f>
        <v>MR.KPBS.P094</v>
      </c>
      <c r="J292" s="64">
        <f t="shared" si="137"/>
        <v>0.70656300000000005</v>
      </c>
      <c r="K292" s="64">
        <f t="shared" si="137"/>
        <v>124.322001</v>
      </c>
      <c r="L292" s="64" t="str">
        <f t="shared" si="137"/>
        <v>JL. RAYA POYOWA BESAR</v>
      </c>
      <c r="M292" s="64" t="str">
        <f t="shared" si="137"/>
        <v>SULAWESI UTARA</v>
      </c>
      <c r="N292" s="65" t="s">
        <v>105</v>
      </c>
      <c r="O292" s="66" t="s">
        <v>118</v>
      </c>
      <c r="P292" s="65" t="s">
        <v>119</v>
      </c>
      <c r="Q292" s="66">
        <v>95717</v>
      </c>
      <c r="R292" s="98"/>
      <c r="S292" s="99"/>
      <c r="T292" s="100"/>
      <c r="U292" s="99"/>
      <c r="V292" s="100"/>
      <c r="W292" s="97" t="s">
        <v>105</v>
      </c>
      <c r="X292" s="101"/>
      <c r="Y292" s="64" t="s">
        <v>106</v>
      </c>
      <c r="Z292" s="64" t="str">
        <f t="shared" si="126"/>
        <v>KELURAHAN POYOWA BESAR SATU KOTAMOBAGU</v>
      </c>
      <c r="AA292" s="102"/>
      <c r="AB292" s="102"/>
      <c r="AC292" s="102" t="s">
        <v>70</v>
      </c>
      <c r="AD292" s="64" t="str">
        <f t="shared" ref="AD292:AD301" si="138">AD291</f>
        <v>POYOWA BESAR</v>
      </c>
      <c r="AE292" s="103"/>
      <c r="AF292" s="103"/>
      <c r="AG292" s="103"/>
      <c r="AH292" s="103"/>
      <c r="AI292" s="104"/>
      <c r="AJ292" s="11" t="s">
        <v>859</v>
      </c>
      <c r="AK292" s="102" t="s">
        <v>96</v>
      </c>
      <c r="AL292" s="106"/>
      <c r="AM292" s="192"/>
      <c r="AN292" s="192"/>
      <c r="AO292" s="192"/>
      <c r="AP292" s="192"/>
      <c r="AQ292" s="180" t="s">
        <v>97</v>
      </c>
      <c r="AR292" s="70" t="str">
        <f t="shared" si="125"/>
        <v>KTG.100.0101</v>
      </c>
      <c r="AS292" s="71" t="str">
        <f t="shared" si="124"/>
        <v>KPBS-2.020</v>
      </c>
      <c r="AT292" s="71" t="str">
        <f t="shared" si="124"/>
        <v>B14</v>
      </c>
      <c r="AU292" s="105"/>
      <c r="AV292" s="202">
        <v>0.70668943910000004</v>
      </c>
      <c r="AW292" s="202">
        <v>124.32232311830001</v>
      </c>
      <c r="AX292" s="106" t="s">
        <v>98</v>
      </c>
      <c r="AY292" s="106" t="s">
        <v>94</v>
      </c>
      <c r="AZ292" s="106" t="s">
        <v>94</v>
      </c>
      <c r="BA292" s="73" t="s">
        <v>77</v>
      </c>
      <c r="BB292" s="106" t="s">
        <v>98</v>
      </c>
      <c r="BC292" s="106">
        <v>31</v>
      </c>
      <c r="BD292" s="106" t="s">
        <v>98</v>
      </c>
      <c r="BE292" s="211" t="str">
        <f t="shared" si="129"/>
        <v>683, POYOWA BESAR,</v>
      </c>
    </row>
    <row r="293" spans="1:57" s="211" customFormat="1" ht="15.75" customHeight="1">
      <c r="A293" s="215"/>
      <c r="B293" s="216"/>
      <c r="C293" s="216"/>
      <c r="D293" s="216"/>
      <c r="E293" s="216"/>
      <c r="F293" s="216"/>
      <c r="G293" s="217"/>
      <c r="H293" s="12">
        <v>3</v>
      </c>
      <c r="I293" s="64" t="str">
        <f t="shared" si="137"/>
        <v>MR.KPBS.P094</v>
      </c>
      <c r="J293" s="64">
        <f t="shared" si="137"/>
        <v>0.70656300000000005</v>
      </c>
      <c r="K293" s="64">
        <f t="shared" si="137"/>
        <v>124.322001</v>
      </c>
      <c r="L293" s="64" t="str">
        <f t="shared" si="137"/>
        <v>JL. RAYA POYOWA BESAR</v>
      </c>
      <c r="M293" s="64" t="str">
        <f t="shared" si="137"/>
        <v>SULAWESI UTARA</v>
      </c>
      <c r="N293" s="65" t="s">
        <v>105</v>
      </c>
      <c r="O293" s="66" t="s">
        <v>118</v>
      </c>
      <c r="P293" s="65" t="s">
        <v>119</v>
      </c>
      <c r="Q293" s="66">
        <v>95717</v>
      </c>
      <c r="R293" s="98"/>
      <c r="S293" s="99"/>
      <c r="T293" s="100"/>
      <c r="U293" s="99"/>
      <c r="V293" s="100"/>
      <c r="W293" s="97" t="s">
        <v>105</v>
      </c>
      <c r="X293" s="101"/>
      <c r="Y293" s="64" t="s">
        <v>106</v>
      </c>
      <c r="Z293" s="64" t="str">
        <f t="shared" si="126"/>
        <v>KELURAHAN POYOWA BESAR SATU KOTAMOBAGU</v>
      </c>
      <c r="AA293" s="102"/>
      <c r="AB293" s="102"/>
      <c r="AC293" s="102" t="s">
        <v>70</v>
      </c>
      <c r="AD293" s="64" t="str">
        <f t="shared" si="138"/>
        <v>POYOWA BESAR</v>
      </c>
      <c r="AE293" s="103"/>
      <c r="AF293" s="103"/>
      <c r="AG293" s="103"/>
      <c r="AH293" s="103"/>
      <c r="AI293" s="104"/>
      <c r="AJ293" s="11" t="s">
        <v>860</v>
      </c>
      <c r="AK293" s="102" t="s">
        <v>96</v>
      </c>
      <c r="AL293" s="106"/>
      <c r="AM293" s="192"/>
      <c r="AN293" s="192"/>
      <c r="AO293" s="192"/>
      <c r="AP293" s="192"/>
      <c r="AQ293" s="180" t="s">
        <v>97</v>
      </c>
      <c r="AR293" s="70" t="str">
        <f t="shared" si="125"/>
        <v>KTG.100.0101</v>
      </c>
      <c r="AS293" s="71" t="str">
        <f t="shared" si="124"/>
        <v>KPBS-2.020</v>
      </c>
      <c r="AT293" s="71" t="str">
        <f t="shared" si="124"/>
        <v>B14</v>
      </c>
      <c r="AU293" s="105"/>
      <c r="AV293" s="202">
        <v>0.70669225099999999</v>
      </c>
      <c r="AW293" s="202">
        <v>124.3222503258</v>
      </c>
      <c r="AX293" s="106" t="s">
        <v>98</v>
      </c>
      <c r="AY293" s="106" t="s">
        <v>94</v>
      </c>
      <c r="AZ293" s="106" t="s">
        <v>94</v>
      </c>
      <c r="BA293" s="73" t="s">
        <v>77</v>
      </c>
      <c r="BB293" s="106" t="s">
        <v>98</v>
      </c>
      <c r="BC293" s="106">
        <v>31</v>
      </c>
      <c r="BD293" s="106" t="s">
        <v>98</v>
      </c>
      <c r="BE293" s="211" t="str">
        <f t="shared" si="129"/>
        <v>685, POYOWA BESAR,</v>
      </c>
    </row>
    <row r="294" spans="1:57" s="211" customFormat="1" ht="15.75" customHeight="1">
      <c r="A294" s="218"/>
      <c r="B294" s="219"/>
      <c r="C294" s="219"/>
      <c r="D294" s="219"/>
      <c r="E294" s="219"/>
      <c r="F294" s="219"/>
      <c r="G294" s="220"/>
      <c r="H294" s="12">
        <v>4</v>
      </c>
      <c r="I294" s="64" t="str">
        <f t="shared" si="137"/>
        <v>MR.KPBS.P094</v>
      </c>
      <c r="J294" s="64">
        <f t="shared" si="137"/>
        <v>0.70656300000000005</v>
      </c>
      <c r="K294" s="64">
        <f t="shared" si="137"/>
        <v>124.322001</v>
      </c>
      <c r="L294" s="64" t="str">
        <f t="shared" si="137"/>
        <v>JL. RAYA POYOWA BESAR</v>
      </c>
      <c r="M294" s="64" t="str">
        <f t="shared" si="137"/>
        <v>SULAWESI UTARA</v>
      </c>
      <c r="N294" s="65" t="s">
        <v>105</v>
      </c>
      <c r="O294" s="66" t="s">
        <v>118</v>
      </c>
      <c r="P294" s="65" t="s">
        <v>119</v>
      </c>
      <c r="Q294" s="66">
        <v>95717</v>
      </c>
      <c r="R294" s="98"/>
      <c r="S294" s="99"/>
      <c r="T294" s="100"/>
      <c r="U294" s="99"/>
      <c r="V294" s="100"/>
      <c r="W294" s="97" t="s">
        <v>105</v>
      </c>
      <c r="X294" s="101"/>
      <c r="Y294" s="64" t="s">
        <v>106</v>
      </c>
      <c r="Z294" s="64" t="str">
        <f t="shared" si="126"/>
        <v>KELURAHAN POYOWA BESAR SATU KOTAMOBAGU</v>
      </c>
      <c r="AA294" s="102"/>
      <c r="AB294" s="102"/>
      <c r="AC294" s="102" t="s">
        <v>70</v>
      </c>
      <c r="AD294" s="64" t="str">
        <f t="shared" si="138"/>
        <v>POYOWA BESAR</v>
      </c>
      <c r="AE294" s="103"/>
      <c r="AF294" s="103"/>
      <c r="AG294" s="103"/>
      <c r="AH294" s="103"/>
      <c r="AI294" s="104"/>
      <c r="AJ294" s="11" t="s">
        <v>861</v>
      </c>
      <c r="AK294" s="102" t="s">
        <v>96</v>
      </c>
      <c r="AL294" s="106"/>
      <c r="AM294" s="192"/>
      <c r="AN294" s="192"/>
      <c r="AO294" s="192"/>
      <c r="AP294" s="192"/>
      <c r="AQ294" s="180" t="s">
        <v>97</v>
      </c>
      <c r="AR294" s="70" t="str">
        <f t="shared" si="125"/>
        <v>KTG.100.0101</v>
      </c>
      <c r="AS294" s="71" t="str">
        <f t="shared" si="124"/>
        <v>KPBS-2.020</v>
      </c>
      <c r="AT294" s="71" t="str">
        <f t="shared" si="124"/>
        <v>B14</v>
      </c>
      <c r="AU294" s="105"/>
      <c r="AV294" s="202">
        <v>0.7066838124</v>
      </c>
      <c r="AW294" s="202">
        <v>124.3221494058</v>
      </c>
      <c r="AX294" s="106" t="s">
        <v>98</v>
      </c>
      <c r="AY294" s="106" t="s">
        <v>94</v>
      </c>
      <c r="AZ294" s="106" t="s">
        <v>94</v>
      </c>
      <c r="BA294" s="73" t="s">
        <v>77</v>
      </c>
      <c r="BB294" s="106" t="s">
        <v>98</v>
      </c>
      <c r="BC294" s="106">
        <v>31</v>
      </c>
      <c r="BD294" s="106" t="s">
        <v>98</v>
      </c>
      <c r="BE294" s="211" t="str">
        <f t="shared" si="129"/>
        <v>687, POYOWA BESAR,</v>
      </c>
    </row>
    <row r="295" spans="1:57" s="211" customFormat="1" ht="15.75" customHeight="1">
      <c r="A295" s="218"/>
      <c r="B295" s="219"/>
      <c r="C295" s="219"/>
      <c r="D295" s="219"/>
      <c r="E295" s="219"/>
      <c r="F295" s="219"/>
      <c r="G295" s="220"/>
      <c r="H295" s="12">
        <v>5</v>
      </c>
      <c r="I295" s="64" t="str">
        <f t="shared" si="137"/>
        <v>MR.KPBS.P094</v>
      </c>
      <c r="J295" s="64">
        <f t="shared" si="137"/>
        <v>0.70656300000000005</v>
      </c>
      <c r="K295" s="64">
        <f t="shared" si="137"/>
        <v>124.322001</v>
      </c>
      <c r="L295" s="64" t="str">
        <f t="shared" si="137"/>
        <v>JL. RAYA POYOWA BESAR</v>
      </c>
      <c r="M295" s="64" t="str">
        <f t="shared" si="137"/>
        <v>SULAWESI UTARA</v>
      </c>
      <c r="N295" s="65" t="s">
        <v>105</v>
      </c>
      <c r="O295" s="66" t="s">
        <v>118</v>
      </c>
      <c r="P295" s="65" t="s">
        <v>119</v>
      </c>
      <c r="Q295" s="66">
        <v>95717</v>
      </c>
      <c r="R295" s="98"/>
      <c r="S295" s="99"/>
      <c r="T295" s="100"/>
      <c r="U295" s="99"/>
      <c r="V295" s="100"/>
      <c r="W295" s="97" t="s">
        <v>105</v>
      </c>
      <c r="X295" s="101"/>
      <c r="Y295" s="64" t="s">
        <v>106</v>
      </c>
      <c r="Z295" s="64" t="str">
        <f t="shared" si="126"/>
        <v>KELURAHAN POYOWA BESAR SATU KOTAMOBAGU</v>
      </c>
      <c r="AA295" s="102"/>
      <c r="AB295" s="102"/>
      <c r="AC295" s="102" t="s">
        <v>70</v>
      </c>
      <c r="AD295" s="64" t="str">
        <f t="shared" si="138"/>
        <v>POYOWA BESAR</v>
      </c>
      <c r="AE295" s="103"/>
      <c r="AF295" s="103"/>
      <c r="AG295" s="103"/>
      <c r="AH295" s="103"/>
      <c r="AI295" s="104"/>
      <c r="AJ295" s="11" t="s">
        <v>862</v>
      </c>
      <c r="AK295" s="102" t="s">
        <v>96</v>
      </c>
      <c r="AL295" s="106"/>
      <c r="AM295" s="192"/>
      <c r="AN295" s="192"/>
      <c r="AO295" s="192"/>
      <c r="AP295" s="192"/>
      <c r="AQ295" s="180" t="s">
        <v>97</v>
      </c>
      <c r="AR295" s="70" t="str">
        <f t="shared" si="125"/>
        <v>KTG.100.0101</v>
      </c>
      <c r="AS295" s="71" t="str">
        <f t="shared" si="124"/>
        <v>KPBS-2.020</v>
      </c>
      <c r="AT295" s="71" t="str">
        <f t="shared" si="124"/>
        <v>B14</v>
      </c>
      <c r="AU295" s="105"/>
      <c r="AV295" s="202">
        <v>0.70646870719999999</v>
      </c>
      <c r="AW295" s="202">
        <v>124.3221242086</v>
      </c>
      <c r="AX295" s="106" t="s">
        <v>98</v>
      </c>
      <c r="AY295" s="106" t="s">
        <v>94</v>
      </c>
      <c r="AZ295" s="106" t="s">
        <v>94</v>
      </c>
      <c r="BA295" s="73" t="s">
        <v>77</v>
      </c>
      <c r="BB295" s="106" t="s">
        <v>98</v>
      </c>
      <c r="BC295" s="106">
        <v>31</v>
      </c>
      <c r="BD295" s="106" t="s">
        <v>98</v>
      </c>
      <c r="BE295" s="211" t="str">
        <f t="shared" si="129"/>
        <v>688, POYOWA BESAR,</v>
      </c>
    </row>
    <row r="296" spans="1:57" s="211" customFormat="1" ht="15.75" customHeight="1">
      <c r="A296" s="218"/>
      <c r="B296" s="219"/>
      <c r="C296" s="219"/>
      <c r="D296" s="219"/>
      <c r="E296" s="219"/>
      <c r="F296" s="219"/>
      <c r="G296" s="220"/>
      <c r="H296" s="12">
        <v>6</v>
      </c>
      <c r="I296" s="64" t="str">
        <f t="shared" si="137"/>
        <v>MR.KPBS.P094</v>
      </c>
      <c r="J296" s="64">
        <f t="shared" si="137"/>
        <v>0.70656300000000005</v>
      </c>
      <c r="K296" s="64">
        <f t="shared" si="137"/>
        <v>124.322001</v>
      </c>
      <c r="L296" s="64" t="str">
        <f t="shared" si="137"/>
        <v>JL. RAYA POYOWA BESAR</v>
      </c>
      <c r="M296" s="64" t="str">
        <f t="shared" si="137"/>
        <v>SULAWESI UTARA</v>
      </c>
      <c r="N296" s="65" t="s">
        <v>105</v>
      </c>
      <c r="O296" s="66" t="s">
        <v>118</v>
      </c>
      <c r="P296" s="65" t="s">
        <v>119</v>
      </c>
      <c r="Q296" s="66">
        <v>95717</v>
      </c>
      <c r="R296" s="98"/>
      <c r="S296" s="99"/>
      <c r="T296" s="100"/>
      <c r="U296" s="99"/>
      <c r="V296" s="100"/>
      <c r="W296" s="97" t="s">
        <v>105</v>
      </c>
      <c r="X296" s="101"/>
      <c r="Y296" s="64" t="s">
        <v>106</v>
      </c>
      <c r="Z296" s="64" t="str">
        <f t="shared" si="126"/>
        <v>KELURAHAN POYOWA BESAR SATU KOTAMOBAGU</v>
      </c>
      <c r="AA296" s="102"/>
      <c r="AB296" s="102"/>
      <c r="AC296" s="102" t="s">
        <v>70</v>
      </c>
      <c r="AD296" s="64" t="str">
        <f t="shared" si="138"/>
        <v>POYOWA BESAR</v>
      </c>
      <c r="AE296" s="103"/>
      <c r="AF296" s="103"/>
      <c r="AG296" s="103"/>
      <c r="AH296" s="103"/>
      <c r="AI296" s="104"/>
      <c r="AJ296" s="11" t="s">
        <v>863</v>
      </c>
      <c r="AK296" s="102" t="s">
        <v>96</v>
      </c>
      <c r="AL296" s="106"/>
      <c r="AM296" s="192"/>
      <c r="AN296" s="192"/>
      <c r="AO296" s="192"/>
      <c r="AP296" s="192"/>
      <c r="AQ296" s="180" t="s">
        <v>97</v>
      </c>
      <c r="AR296" s="70" t="str">
        <f t="shared" si="125"/>
        <v>KTG.100.0101</v>
      </c>
      <c r="AS296" s="71" t="str">
        <f t="shared" si="124"/>
        <v>KPBS-2.020</v>
      </c>
      <c r="AT296" s="71" t="str">
        <f t="shared" si="124"/>
        <v>B14</v>
      </c>
      <c r="AU296" s="105"/>
      <c r="AV296" s="202">
        <v>0.70647338339999999</v>
      </c>
      <c r="AW296" s="202">
        <v>124.3220299516</v>
      </c>
      <c r="AX296" s="106" t="s">
        <v>98</v>
      </c>
      <c r="AY296" s="106" t="s">
        <v>94</v>
      </c>
      <c r="AZ296" s="106" t="s">
        <v>94</v>
      </c>
      <c r="BA296" s="73" t="s">
        <v>77</v>
      </c>
      <c r="BB296" s="106" t="s">
        <v>98</v>
      </c>
      <c r="BC296" s="106">
        <v>31</v>
      </c>
      <c r="BD296" s="106" t="s">
        <v>98</v>
      </c>
      <c r="BE296" s="211" t="str">
        <f t="shared" si="129"/>
        <v>689, POYOWA BESAR,</v>
      </c>
    </row>
    <row r="297" spans="1:57" s="211" customFormat="1" ht="15.75" customHeight="1">
      <c r="A297" s="218"/>
      <c r="B297" s="219"/>
      <c r="C297" s="219"/>
      <c r="D297" s="219"/>
      <c r="E297" s="219"/>
      <c r="F297" s="219"/>
      <c r="G297" s="220"/>
      <c r="H297" s="12">
        <v>7</v>
      </c>
      <c r="I297" s="64" t="str">
        <f t="shared" si="137"/>
        <v>MR.KPBS.P094</v>
      </c>
      <c r="J297" s="64">
        <f t="shared" si="137"/>
        <v>0.70656300000000005</v>
      </c>
      <c r="K297" s="64">
        <f t="shared" si="137"/>
        <v>124.322001</v>
      </c>
      <c r="L297" s="64" t="str">
        <f t="shared" si="137"/>
        <v>JL. RAYA POYOWA BESAR</v>
      </c>
      <c r="M297" s="64" t="str">
        <f t="shared" si="137"/>
        <v>SULAWESI UTARA</v>
      </c>
      <c r="N297" s="65" t="s">
        <v>105</v>
      </c>
      <c r="O297" s="66" t="s">
        <v>118</v>
      </c>
      <c r="P297" s="65" t="s">
        <v>119</v>
      </c>
      <c r="Q297" s="66">
        <v>95717</v>
      </c>
      <c r="R297" s="98"/>
      <c r="S297" s="99"/>
      <c r="T297" s="100"/>
      <c r="U297" s="99"/>
      <c r="V297" s="100"/>
      <c r="W297" s="97" t="s">
        <v>105</v>
      </c>
      <c r="X297" s="101"/>
      <c r="Y297" s="64" t="s">
        <v>106</v>
      </c>
      <c r="Z297" s="64" t="str">
        <f t="shared" si="126"/>
        <v>KELURAHAN POYOWA BESAR SATU KOTAMOBAGU</v>
      </c>
      <c r="AA297" s="102"/>
      <c r="AB297" s="102"/>
      <c r="AC297" s="102" t="s">
        <v>70</v>
      </c>
      <c r="AD297" s="64" t="str">
        <f t="shared" si="138"/>
        <v>POYOWA BESAR</v>
      </c>
      <c r="AE297" s="103"/>
      <c r="AF297" s="103"/>
      <c r="AG297" s="103"/>
      <c r="AH297" s="103"/>
      <c r="AI297" s="104"/>
      <c r="AJ297" s="11" t="s">
        <v>864</v>
      </c>
      <c r="AK297" s="102" t="s">
        <v>96</v>
      </c>
      <c r="AL297" s="106"/>
      <c r="AM297" s="192"/>
      <c r="AN297" s="192"/>
      <c r="AO297" s="192"/>
      <c r="AP297" s="192"/>
      <c r="AQ297" s="180" t="s">
        <v>97</v>
      </c>
      <c r="AR297" s="70" t="str">
        <f t="shared" si="125"/>
        <v>KTG.100.0101</v>
      </c>
      <c r="AS297" s="71" t="str">
        <f t="shared" si="124"/>
        <v>KPBS-2.020</v>
      </c>
      <c r="AT297" s="71" t="str">
        <f t="shared" si="124"/>
        <v>B14</v>
      </c>
      <c r="AU297" s="105"/>
      <c r="AV297" s="202">
        <v>0.70668761079999998</v>
      </c>
      <c r="AW297" s="202">
        <v>124.3220316963</v>
      </c>
      <c r="AX297" s="106" t="s">
        <v>98</v>
      </c>
      <c r="AY297" s="106" t="s">
        <v>94</v>
      </c>
      <c r="AZ297" s="106" t="s">
        <v>94</v>
      </c>
      <c r="BA297" s="73" t="s">
        <v>77</v>
      </c>
      <c r="BB297" s="106" t="s">
        <v>98</v>
      </c>
      <c r="BC297" s="106">
        <v>31</v>
      </c>
      <c r="BD297" s="106" t="s">
        <v>98</v>
      </c>
      <c r="BE297" s="211" t="str">
        <f t="shared" si="129"/>
        <v>690, POYOWA BESAR,</v>
      </c>
    </row>
    <row r="298" spans="1:57" s="211" customFormat="1" ht="15.75" customHeight="1">
      <c r="A298" s="218"/>
      <c r="B298" s="219"/>
      <c r="C298" s="219"/>
      <c r="D298" s="219"/>
      <c r="E298" s="219"/>
      <c r="F298" s="219"/>
      <c r="G298" s="220"/>
      <c r="H298" s="12">
        <v>8</v>
      </c>
      <c r="I298" s="64" t="str">
        <f t="shared" si="137"/>
        <v>MR.KPBS.P094</v>
      </c>
      <c r="J298" s="64">
        <f t="shared" si="137"/>
        <v>0.70656300000000005</v>
      </c>
      <c r="K298" s="64">
        <f t="shared" si="137"/>
        <v>124.322001</v>
      </c>
      <c r="L298" s="64" t="str">
        <f t="shared" si="137"/>
        <v>JL. RAYA POYOWA BESAR</v>
      </c>
      <c r="M298" s="64" t="str">
        <f t="shared" si="137"/>
        <v>SULAWESI UTARA</v>
      </c>
      <c r="N298" s="65" t="s">
        <v>105</v>
      </c>
      <c r="O298" s="66" t="s">
        <v>118</v>
      </c>
      <c r="P298" s="65" t="s">
        <v>119</v>
      </c>
      <c r="Q298" s="66">
        <v>95717</v>
      </c>
      <c r="R298" s="98"/>
      <c r="S298" s="99"/>
      <c r="T298" s="100"/>
      <c r="U298" s="99"/>
      <c r="V298" s="100"/>
      <c r="W298" s="97" t="s">
        <v>105</v>
      </c>
      <c r="X298" s="101"/>
      <c r="Y298" s="64" t="s">
        <v>106</v>
      </c>
      <c r="Z298" s="64" t="str">
        <f t="shared" si="126"/>
        <v>KELURAHAN POYOWA BESAR SATU KOTAMOBAGU</v>
      </c>
      <c r="AA298" s="102"/>
      <c r="AB298" s="102"/>
      <c r="AC298" s="102" t="s">
        <v>70</v>
      </c>
      <c r="AD298" s="64" t="str">
        <f t="shared" si="138"/>
        <v>POYOWA BESAR</v>
      </c>
      <c r="AE298" s="103"/>
      <c r="AF298" s="103"/>
      <c r="AG298" s="103"/>
      <c r="AH298" s="103"/>
      <c r="AI298" s="104"/>
      <c r="AJ298" s="11" t="s">
        <v>865</v>
      </c>
      <c r="AK298" s="102" t="s">
        <v>96</v>
      </c>
      <c r="AL298" s="106"/>
      <c r="AM298" s="192"/>
      <c r="AN298" s="192"/>
      <c r="AO298" s="192"/>
      <c r="AP298" s="192"/>
      <c r="AQ298" s="180" t="s">
        <v>97</v>
      </c>
      <c r="AR298" s="70" t="str">
        <f t="shared" si="125"/>
        <v>KTG.100.0101</v>
      </c>
      <c r="AS298" s="71" t="str">
        <f t="shared" si="124"/>
        <v>KPBS-2.020</v>
      </c>
      <c r="AT298" s="71" t="str">
        <f t="shared" si="124"/>
        <v>B14</v>
      </c>
      <c r="AU298" s="105"/>
      <c r="AV298" s="202">
        <v>0.70668293459999998</v>
      </c>
      <c r="AW298" s="202">
        <v>124.3219393059</v>
      </c>
      <c r="AX298" s="106" t="s">
        <v>98</v>
      </c>
      <c r="AY298" s="106" t="s">
        <v>94</v>
      </c>
      <c r="AZ298" s="106" t="s">
        <v>94</v>
      </c>
      <c r="BA298" s="73" t="s">
        <v>77</v>
      </c>
      <c r="BB298" s="106" t="s">
        <v>98</v>
      </c>
      <c r="BC298" s="106">
        <v>31</v>
      </c>
      <c r="BD298" s="106" t="s">
        <v>98</v>
      </c>
      <c r="BE298" s="211" t="str">
        <f t="shared" si="129"/>
        <v>691, POYOWA BESAR,</v>
      </c>
    </row>
    <row r="299" spans="1:57" s="211" customFormat="1" ht="15.75" customHeight="1">
      <c r="A299" s="218"/>
      <c r="B299" s="219"/>
      <c r="C299" s="219"/>
      <c r="D299" s="219"/>
      <c r="E299" s="219"/>
      <c r="F299" s="219"/>
      <c r="G299" s="220"/>
      <c r="H299" s="12">
        <v>9</v>
      </c>
      <c r="I299" s="64" t="str">
        <f t="shared" si="137"/>
        <v>MR.KPBS.P094</v>
      </c>
      <c r="J299" s="64">
        <f t="shared" si="137"/>
        <v>0.70656300000000005</v>
      </c>
      <c r="K299" s="64">
        <f t="shared" si="137"/>
        <v>124.322001</v>
      </c>
      <c r="L299" s="64" t="str">
        <f t="shared" si="137"/>
        <v>JL. RAYA POYOWA BESAR</v>
      </c>
      <c r="M299" s="64" t="str">
        <f t="shared" si="137"/>
        <v>SULAWESI UTARA</v>
      </c>
      <c r="N299" s="65" t="s">
        <v>105</v>
      </c>
      <c r="O299" s="66" t="s">
        <v>118</v>
      </c>
      <c r="P299" s="65" t="s">
        <v>119</v>
      </c>
      <c r="Q299" s="66">
        <v>95717</v>
      </c>
      <c r="R299" s="98"/>
      <c r="S299" s="99"/>
      <c r="T299" s="100"/>
      <c r="U299" s="99"/>
      <c r="V299" s="100"/>
      <c r="W299" s="97" t="s">
        <v>105</v>
      </c>
      <c r="X299" s="101"/>
      <c r="Y299" s="64" t="s">
        <v>106</v>
      </c>
      <c r="Z299" s="64" t="str">
        <f t="shared" si="126"/>
        <v>KELURAHAN POYOWA BESAR SATU KOTAMOBAGU</v>
      </c>
      <c r="AA299" s="102"/>
      <c r="AB299" s="102"/>
      <c r="AC299" s="102" t="s">
        <v>70</v>
      </c>
      <c r="AD299" s="64" t="str">
        <f t="shared" si="138"/>
        <v>POYOWA BESAR</v>
      </c>
      <c r="AE299" s="103"/>
      <c r="AF299" s="103"/>
      <c r="AG299" s="103"/>
      <c r="AH299" s="103"/>
      <c r="AI299" s="104"/>
      <c r="AJ299" s="11" t="s">
        <v>866</v>
      </c>
      <c r="AK299" s="102" t="s">
        <v>96</v>
      </c>
      <c r="AL299" s="106"/>
      <c r="AM299" s="192"/>
      <c r="AN299" s="192"/>
      <c r="AO299" s="192"/>
      <c r="AP299" s="192"/>
      <c r="AQ299" s="180" t="s">
        <v>97</v>
      </c>
      <c r="AR299" s="70" t="str">
        <f t="shared" si="125"/>
        <v>KTG.100.0101</v>
      </c>
      <c r="AS299" s="71" t="str">
        <f t="shared" si="124"/>
        <v>KPBS-2.020</v>
      </c>
      <c r="AT299" s="71" t="str">
        <f t="shared" si="124"/>
        <v>B14</v>
      </c>
      <c r="AU299" s="105"/>
      <c r="AV299" s="202">
        <v>0.70648279329999997</v>
      </c>
      <c r="AW299" s="202">
        <v>124.32192810710001</v>
      </c>
      <c r="AX299" s="106" t="s">
        <v>98</v>
      </c>
      <c r="AY299" s="106" t="s">
        <v>94</v>
      </c>
      <c r="AZ299" s="106" t="s">
        <v>94</v>
      </c>
      <c r="BA299" s="73" t="s">
        <v>77</v>
      </c>
      <c r="BB299" s="106" t="s">
        <v>98</v>
      </c>
      <c r="BC299" s="106">
        <v>31</v>
      </c>
      <c r="BD299" s="106" t="s">
        <v>98</v>
      </c>
      <c r="BE299" s="211" t="str">
        <f t="shared" si="129"/>
        <v>692, POYOWA BESAR,</v>
      </c>
    </row>
    <row r="300" spans="1:57" s="211" customFormat="1" ht="15.75" customHeight="1">
      <c r="A300" s="218"/>
      <c r="B300" s="219"/>
      <c r="C300" s="219"/>
      <c r="D300" s="219"/>
      <c r="E300" s="219"/>
      <c r="F300" s="219"/>
      <c r="G300" s="220"/>
      <c r="H300" s="12">
        <v>10</v>
      </c>
      <c r="I300" s="64" t="str">
        <f t="shared" si="137"/>
        <v>MR.KPBS.P094</v>
      </c>
      <c r="J300" s="64">
        <f t="shared" si="137"/>
        <v>0.70656300000000005</v>
      </c>
      <c r="K300" s="64">
        <f t="shared" si="137"/>
        <v>124.322001</v>
      </c>
      <c r="L300" s="64" t="str">
        <f t="shared" si="137"/>
        <v>JL. RAYA POYOWA BESAR</v>
      </c>
      <c r="M300" s="64" t="str">
        <f t="shared" si="137"/>
        <v>SULAWESI UTARA</v>
      </c>
      <c r="N300" s="65" t="s">
        <v>105</v>
      </c>
      <c r="O300" s="66" t="s">
        <v>118</v>
      </c>
      <c r="P300" s="65" t="s">
        <v>119</v>
      </c>
      <c r="Q300" s="66">
        <v>95717</v>
      </c>
      <c r="R300" s="98"/>
      <c r="S300" s="99"/>
      <c r="T300" s="100"/>
      <c r="U300" s="99"/>
      <c r="V300" s="100"/>
      <c r="W300" s="97" t="s">
        <v>105</v>
      </c>
      <c r="X300" s="101"/>
      <c r="Y300" s="64" t="s">
        <v>106</v>
      </c>
      <c r="Z300" s="64" t="str">
        <f t="shared" si="126"/>
        <v>KELURAHAN POYOWA BESAR SATU KOTAMOBAGU</v>
      </c>
      <c r="AA300" s="102"/>
      <c r="AB300" s="102"/>
      <c r="AC300" s="102" t="s">
        <v>70</v>
      </c>
      <c r="AD300" s="64" t="str">
        <f t="shared" si="138"/>
        <v>POYOWA BESAR</v>
      </c>
      <c r="AE300" s="103"/>
      <c r="AF300" s="103"/>
      <c r="AG300" s="103"/>
      <c r="AH300" s="103"/>
      <c r="AI300" s="104"/>
      <c r="AJ300" s="11" t="s">
        <v>867</v>
      </c>
      <c r="AK300" s="102" t="s">
        <v>96</v>
      </c>
      <c r="AL300" s="106"/>
      <c r="AM300" s="192"/>
      <c r="AN300" s="192"/>
      <c r="AO300" s="192"/>
      <c r="AP300" s="192"/>
      <c r="AQ300" s="180" t="s">
        <v>97</v>
      </c>
      <c r="AR300" s="70" t="str">
        <f t="shared" si="125"/>
        <v>KTG.100.0101</v>
      </c>
      <c r="AS300" s="71" t="str">
        <f t="shared" si="124"/>
        <v>KPBS-2.020</v>
      </c>
      <c r="AT300" s="71" t="str">
        <f t="shared" si="124"/>
        <v>B14</v>
      </c>
      <c r="AU300" s="105"/>
      <c r="AV300" s="202">
        <v>0.70667918750000003</v>
      </c>
      <c r="AW300" s="202">
        <v>124.3218562478</v>
      </c>
      <c r="AX300" s="106" t="s">
        <v>98</v>
      </c>
      <c r="AY300" s="106" t="s">
        <v>94</v>
      </c>
      <c r="AZ300" s="106" t="s">
        <v>94</v>
      </c>
      <c r="BA300" s="73" t="s">
        <v>77</v>
      </c>
      <c r="BB300" s="106" t="s">
        <v>98</v>
      </c>
      <c r="BC300" s="106">
        <v>31</v>
      </c>
      <c r="BD300" s="106" t="s">
        <v>98</v>
      </c>
      <c r="BE300" s="211" t="str">
        <f t="shared" si="129"/>
        <v>693, POYOWA BESAR,</v>
      </c>
    </row>
    <row r="301" spans="1:57" s="211" customFormat="1" ht="15.75" customHeight="1">
      <c r="A301" s="218"/>
      <c r="B301" s="219"/>
      <c r="C301" s="219"/>
      <c r="D301" s="219"/>
      <c r="E301" s="219"/>
      <c r="F301" s="219"/>
      <c r="G301" s="220"/>
      <c r="H301" s="12">
        <v>11</v>
      </c>
      <c r="I301" s="64" t="str">
        <f t="shared" si="137"/>
        <v>MR.KPBS.P094</v>
      </c>
      <c r="J301" s="64">
        <f t="shared" si="137"/>
        <v>0.70656300000000005</v>
      </c>
      <c r="K301" s="64">
        <f t="shared" si="137"/>
        <v>124.322001</v>
      </c>
      <c r="L301" s="64" t="str">
        <f t="shared" si="137"/>
        <v>JL. RAYA POYOWA BESAR</v>
      </c>
      <c r="M301" s="64" t="str">
        <f t="shared" si="137"/>
        <v>SULAWESI UTARA</v>
      </c>
      <c r="N301" s="65" t="s">
        <v>105</v>
      </c>
      <c r="O301" s="66" t="s">
        <v>118</v>
      </c>
      <c r="P301" s="65" t="s">
        <v>119</v>
      </c>
      <c r="Q301" s="66">
        <v>95717</v>
      </c>
      <c r="R301" s="98"/>
      <c r="S301" s="99"/>
      <c r="T301" s="100"/>
      <c r="U301" s="99"/>
      <c r="V301" s="100"/>
      <c r="W301" s="97" t="s">
        <v>105</v>
      </c>
      <c r="X301" s="101"/>
      <c r="Y301" s="64" t="s">
        <v>106</v>
      </c>
      <c r="Z301" s="64" t="str">
        <f t="shared" si="126"/>
        <v>KELURAHAN POYOWA BESAR SATU KOTAMOBAGU</v>
      </c>
      <c r="AA301" s="102"/>
      <c r="AB301" s="102"/>
      <c r="AC301" s="102" t="s">
        <v>70</v>
      </c>
      <c r="AD301" s="64" t="str">
        <f t="shared" si="138"/>
        <v>POYOWA BESAR</v>
      </c>
      <c r="AE301" s="103"/>
      <c r="AF301" s="103"/>
      <c r="AG301" s="103"/>
      <c r="AH301" s="103"/>
      <c r="AI301" s="104"/>
      <c r="AJ301" s="11" t="s">
        <v>868</v>
      </c>
      <c r="AK301" s="102" t="s">
        <v>96</v>
      </c>
      <c r="AL301" s="106"/>
      <c r="AM301" s="192"/>
      <c r="AN301" s="192"/>
      <c r="AO301" s="192"/>
      <c r="AP301" s="192"/>
      <c r="AQ301" s="180" t="s">
        <v>97</v>
      </c>
      <c r="AR301" s="70" t="str">
        <f t="shared" si="125"/>
        <v>KTG.100.0101</v>
      </c>
      <c r="AS301" s="71" t="str">
        <f t="shared" si="124"/>
        <v>KPBS-2.020</v>
      </c>
      <c r="AT301" s="71" t="str">
        <f t="shared" si="124"/>
        <v>B14</v>
      </c>
      <c r="AU301" s="105"/>
      <c r="AV301" s="202">
        <v>0.70648559899999996</v>
      </c>
      <c r="AW301" s="202">
        <v>124.32183664999999</v>
      </c>
      <c r="AX301" s="106" t="s">
        <v>98</v>
      </c>
      <c r="AY301" s="106" t="s">
        <v>94</v>
      </c>
      <c r="AZ301" s="106" t="s">
        <v>94</v>
      </c>
      <c r="BA301" s="73" t="s">
        <v>77</v>
      </c>
      <c r="BB301" s="106" t="s">
        <v>98</v>
      </c>
      <c r="BC301" s="106">
        <v>31</v>
      </c>
      <c r="BD301" s="106" t="s">
        <v>98</v>
      </c>
      <c r="BE301" s="211" t="str">
        <f t="shared" si="129"/>
        <v>694, POYOWA BESAR,</v>
      </c>
    </row>
    <row r="302" spans="1:57" s="211" customFormat="1" ht="15.75" customHeight="1">
      <c r="A302" s="218"/>
      <c r="B302" s="219"/>
      <c r="C302" s="219"/>
      <c r="D302" s="219"/>
      <c r="E302" s="219"/>
      <c r="F302" s="219"/>
      <c r="G302" s="220"/>
      <c r="H302" s="12">
        <v>12</v>
      </c>
      <c r="I302" s="64" t="str">
        <f>I293</f>
        <v>MR.KPBS.P094</v>
      </c>
      <c r="J302" s="64">
        <f>J293</f>
        <v>0.70656300000000005</v>
      </c>
      <c r="K302" s="64">
        <f>K293</f>
        <v>124.322001</v>
      </c>
      <c r="L302" s="64" t="str">
        <f>L293</f>
        <v>JL. RAYA POYOWA BESAR</v>
      </c>
      <c r="M302" s="64" t="str">
        <f t="shared" ref="M302" si="139">M301</f>
        <v>SULAWESI UTARA</v>
      </c>
      <c r="N302" s="65" t="s">
        <v>105</v>
      </c>
      <c r="O302" s="66" t="s">
        <v>118</v>
      </c>
      <c r="P302" s="65" t="s">
        <v>119</v>
      </c>
      <c r="Q302" s="66">
        <v>95717</v>
      </c>
      <c r="R302" s="98"/>
      <c r="S302" s="99"/>
      <c r="T302" s="100"/>
      <c r="U302" s="99"/>
      <c r="V302" s="100"/>
      <c r="W302" s="97" t="s">
        <v>105</v>
      </c>
      <c r="X302" s="101"/>
      <c r="Y302" s="64" t="s">
        <v>106</v>
      </c>
      <c r="Z302" s="64" t="str">
        <f t="shared" si="126"/>
        <v>KELURAHAN POYOWA BESAR SATU KOTAMOBAGU</v>
      </c>
      <c r="AA302" s="102"/>
      <c r="AB302" s="102"/>
      <c r="AC302" s="102" t="s">
        <v>70</v>
      </c>
      <c r="AD302" s="64" t="str">
        <f t="shared" ref="AD302" si="140">AD293</f>
        <v>POYOWA BESAR</v>
      </c>
      <c r="AE302" s="103"/>
      <c r="AF302" s="103"/>
      <c r="AG302" s="103"/>
      <c r="AH302" s="103"/>
      <c r="AI302" s="104"/>
      <c r="AJ302" s="11" t="s">
        <v>869</v>
      </c>
      <c r="AK302" s="102" t="s">
        <v>96</v>
      </c>
      <c r="AL302" s="106"/>
      <c r="AM302" s="192"/>
      <c r="AN302" s="192"/>
      <c r="AO302" s="192"/>
      <c r="AP302" s="192"/>
      <c r="AQ302" s="180" t="s">
        <v>97</v>
      </c>
      <c r="AR302" s="70" t="str">
        <f t="shared" si="125"/>
        <v>KTG.100.0101</v>
      </c>
      <c r="AS302" s="71" t="str">
        <f>AS293</f>
        <v>KPBS-2.020</v>
      </c>
      <c r="AT302" s="71" t="str">
        <f>AT293</f>
        <v>B14</v>
      </c>
      <c r="AU302" s="105"/>
      <c r="AV302" s="202">
        <v>0.70669041659999998</v>
      </c>
      <c r="AW302" s="202">
        <v>124.32179092120001</v>
      </c>
      <c r="AX302" s="106" t="s">
        <v>98</v>
      </c>
      <c r="AY302" s="106" t="s">
        <v>94</v>
      </c>
      <c r="AZ302" s="106" t="s">
        <v>94</v>
      </c>
      <c r="BA302" s="73" t="s">
        <v>77</v>
      </c>
      <c r="BB302" s="106" t="s">
        <v>98</v>
      </c>
      <c r="BC302" s="106">
        <v>31</v>
      </c>
      <c r="BD302" s="106" t="s">
        <v>98</v>
      </c>
      <c r="BE302" s="211" t="str">
        <f t="shared" si="129"/>
        <v>695, POYOWA BESAR,</v>
      </c>
    </row>
    <row r="303" spans="1:57" s="211" customFormat="1" ht="15.75" customHeight="1">
      <c r="A303" s="218"/>
      <c r="B303" s="219"/>
      <c r="C303" s="219"/>
      <c r="D303" s="219"/>
      <c r="E303" s="219"/>
      <c r="F303" s="219"/>
      <c r="G303" s="220"/>
      <c r="H303" s="12">
        <v>13</v>
      </c>
      <c r="I303" s="64" t="str">
        <f t="shared" si="137"/>
        <v>MR.KPBS.P094</v>
      </c>
      <c r="J303" s="64">
        <f t="shared" si="137"/>
        <v>0.70656300000000005</v>
      </c>
      <c r="K303" s="64">
        <f t="shared" si="137"/>
        <v>124.322001</v>
      </c>
      <c r="L303" s="64" t="str">
        <f t="shared" si="137"/>
        <v>JL. RAYA POYOWA BESAR</v>
      </c>
      <c r="M303" s="64" t="str">
        <f t="shared" si="137"/>
        <v>SULAWESI UTARA</v>
      </c>
      <c r="N303" s="65" t="s">
        <v>105</v>
      </c>
      <c r="O303" s="66" t="s">
        <v>118</v>
      </c>
      <c r="P303" s="65" t="s">
        <v>119</v>
      </c>
      <c r="Q303" s="66">
        <v>95717</v>
      </c>
      <c r="R303" s="98"/>
      <c r="S303" s="99"/>
      <c r="T303" s="100"/>
      <c r="U303" s="99"/>
      <c r="V303" s="100"/>
      <c r="W303" s="97" t="s">
        <v>105</v>
      </c>
      <c r="X303" s="101"/>
      <c r="Y303" s="64" t="s">
        <v>106</v>
      </c>
      <c r="Z303" s="64" t="str">
        <f t="shared" si="126"/>
        <v>KELURAHAN POYOWA BESAR SATU KOTAMOBAGU</v>
      </c>
      <c r="AA303" s="102"/>
      <c r="AB303" s="102"/>
      <c r="AC303" s="102" t="s">
        <v>70</v>
      </c>
      <c r="AD303" s="64" t="str">
        <f t="shared" ref="AD303:AD306" si="141">AD302</f>
        <v>POYOWA BESAR</v>
      </c>
      <c r="AE303" s="103"/>
      <c r="AF303" s="103"/>
      <c r="AG303" s="103"/>
      <c r="AH303" s="103"/>
      <c r="AI303" s="104"/>
      <c r="AJ303" s="11" t="s">
        <v>870</v>
      </c>
      <c r="AK303" s="102" t="s">
        <v>96</v>
      </c>
      <c r="AL303" s="106"/>
      <c r="AM303" s="192"/>
      <c r="AN303" s="192"/>
      <c r="AO303" s="192"/>
      <c r="AP303" s="192"/>
      <c r="AQ303" s="180" t="s">
        <v>97</v>
      </c>
      <c r="AR303" s="70" t="str">
        <f t="shared" si="125"/>
        <v>KTG.100.0101</v>
      </c>
      <c r="AS303" s="71" t="str">
        <f t="shared" si="124"/>
        <v>KPBS-2.020</v>
      </c>
      <c r="AT303" s="71" t="str">
        <f t="shared" si="124"/>
        <v>B14</v>
      </c>
      <c r="AU303" s="105"/>
      <c r="AV303" s="202">
        <v>0.70643603129999999</v>
      </c>
      <c r="AW303" s="202">
        <v>124.32174519279999</v>
      </c>
      <c r="AX303" s="106" t="s">
        <v>98</v>
      </c>
      <c r="AY303" s="106" t="s">
        <v>94</v>
      </c>
      <c r="AZ303" s="106" t="s">
        <v>94</v>
      </c>
      <c r="BA303" s="73" t="s">
        <v>77</v>
      </c>
      <c r="BB303" s="106" t="s">
        <v>98</v>
      </c>
      <c r="BC303" s="106">
        <v>31</v>
      </c>
      <c r="BD303" s="106" t="s">
        <v>98</v>
      </c>
      <c r="BE303" s="211" t="str">
        <f t="shared" si="129"/>
        <v>696, POYOWA BESAR,</v>
      </c>
    </row>
    <row r="304" spans="1:57" s="211" customFormat="1" ht="15.75" customHeight="1">
      <c r="A304" s="218"/>
      <c r="B304" s="219"/>
      <c r="C304" s="219"/>
      <c r="D304" s="219"/>
      <c r="E304" s="219"/>
      <c r="F304" s="219"/>
      <c r="G304" s="220"/>
      <c r="H304" s="12">
        <v>14</v>
      </c>
      <c r="I304" s="64" t="str">
        <f t="shared" si="137"/>
        <v>MR.KPBS.P094</v>
      </c>
      <c r="J304" s="64">
        <f t="shared" si="137"/>
        <v>0.70656300000000005</v>
      </c>
      <c r="K304" s="64">
        <f t="shared" si="137"/>
        <v>124.322001</v>
      </c>
      <c r="L304" s="64" t="str">
        <f t="shared" si="137"/>
        <v>JL. RAYA POYOWA BESAR</v>
      </c>
      <c r="M304" s="64" t="str">
        <f t="shared" si="137"/>
        <v>SULAWESI UTARA</v>
      </c>
      <c r="N304" s="65" t="s">
        <v>105</v>
      </c>
      <c r="O304" s="66" t="s">
        <v>118</v>
      </c>
      <c r="P304" s="65" t="s">
        <v>119</v>
      </c>
      <c r="Q304" s="66">
        <v>95717</v>
      </c>
      <c r="R304" s="98"/>
      <c r="S304" s="99"/>
      <c r="T304" s="100"/>
      <c r="U304" s="99"/>
      <c r="V304" s="100"/>
      <c r="W304" s="97" t="s">
        <v>105</v>
      </c>
      <c r="X304" s="101"/>
      <c r="Y304" s="64" t="s">
        <v>106</v>
      </c>
      <c r="Z304" s="64" t="str">
        <f t="shared" si="126"/>
        <v>KELURAHAN POYOWA BESAR SATU KOTAMOBAGU</v>
      </c>
      <c r="AA304" s="102"/>
      <c r="AB304" s="102"/>
      <c r="AC304" s="102" t="s">
        <v>70</v>
      </c>
      <c r="AD304" s="64" t="str">
        <f t="shared" si="141"/>
        <v>POYOWA BESAR</v>
      </c>
      <c r="AE304" s="103"/>
      <c r="AF304" s="103"/>
      <c r="AG304" s="103"/>
      <c r="AH304" s="103"/>
      <c r="AI304" s="104"/>
      <c r="AJ304" s="11" t="s">
        <v>871</v>
      </c>
      <c r="AK304" s="102" t="s">
        <v>96</v>
      </c>
      <c r="AL304" s="106"/>
      <c r="AM304" s="192"/>
      <c r="AN304" s="192"/>
      <c r="AO304" s="192"/>
      <c r="AP304" s="192"/>
      <c r="AQ304" s="180" t="s">
        <v>97</v>
      </c>
      <c r="AR304" s="70" t="str">
        <f t="shared" si="125"/>
        <v>KTG.100.0101</v>
      </c>
      <c r="AS304" s="71" t="str">
        <f t="shared" si="124"/>
        <v>KPBS-2.020</v>
      </c>
      <c r="AT304" s="71" t="str">
        <f t="shared" si="124"/>
        <v>B14</v>
      </c>
      <c r="AU304" s="105"/>
      <c r="AV304" s="202">
        <v>0.70648833929999999</v>
      </c>
      <c r="AW304" s="202">
        <v>124.32166479279999</v>
      </c>
      <c r="AX304" s="106" t="s">
        <v>98</v>
      </c>
      <c r="AY304" s="106" t="s">
        <v>94</v>
      </c>
      <c r="AZ304" s="106" t="s">
        <v>94</v>
      </c>
      <c r="BA304" s="73" t="s">
        <v>77</v>
      </c>
      <c r="BB304" s="106" t="s">
        <v>98</v>
      </c>
      <c r="BC304" s="106">
        <v>31</v>
      </c>
      <c r="BD304" s="106" t="s">
        <v>98</v>
      </c>
      <c r="BE304" s="211" t="str">
        <f t="shared" si="129"/>
        <v>697, POYOWA BESAR,</v>
      </c>
    </row>
    <row r="305" spans="1:57" s="211" customFormat="1" ht="15.75" customHeight="1">
      <c r="A305" s="218"/>
      <c r="B305" s="219"/>
      <c r="C305" s="219"/>
      <c r="D305" s="219"/>
      <c r="E305" s="219"/>
      <c r="F305" s="219"/>
      <c r="G305" s="220"/>
      <c r="H305" s="12">
        <v>15</v>
      </c>
      <c r="I305" s="64" t="str">
        <f t="shared" si="137"/>
        <v>MR.KPBS.P094</v>
      </c>
      <c r="J305" s="64">
        <f t="shared" si="137"/>
        <v>0.70656300000000005</v>
      </c>
      <c r="K305" s="64">
        <f t="shared" si="137"/>
        <v>124.322001</v>
      </c>
      <c r="L305" s="64" t="str">
        <f t="shared" si="137"/>
        <v>JL. RAYA POYOWA BESAR</v>
      </c>
      <c r="M305" s="64" t="str">
        <f t="shared" si="137"/>
        <v>SULAWESI UTARA</v>
      </c>
      <c r="N305" s="65" t="s">
        <v>105</v>
      </c>
      <c r="O305" s="66" t="s">
        <v>118</v>
      </c>
      <c r="P305" s="65" t="s">
        <v>119</v>
      </c>
      <c r="Q305" s="66">
        <v>95717</v>
      </c>
      <c r="R305" s="98"/>
      <c r="S305" s="99"/>
      <c r="T305" s="100"/>
      <c r="U305" s="99"/>
      <c r="V305" s="100"/>
      <c r="W305" s="97" t="s">
        <v>105</v>
      </c>
      <c r="X305" s="101"/>
      <c r="Y305" s="64" t="s">
        <v>106</v>
      </c>
      <c r="Z305" s="64" t="str">
        <f t="shared" si="126"/>
        <v>KELURAHAN POYOWA BESAR SATU KOTAMOBAGU</v>
      </c>
      <c r="AA305" s="102"/>
      <c r="AB305" s="102"/>
      <c r="AC305" s="102" t="s">
        <v>70</v>
      </c>
      <c r="AD305" s="64" t="str">
        <f t="shared" si="141"/>
        <v>POYOWA BESAR</v>
      </c>
      <c r="AE305" s="103"/>
      <c r="AF305" s="103"/>
      <c r="AG305" s="103"/>
      <c r="AH305" s="103"/>
      <c r="AI305" s="104"/>
      <c r="AJ305" s="11" t="s">
        <v>872</v>
      </c>
      <c r="AK305" s="102" t="s">
        <v>96</v>
      </c>
      <c r="AL305" s="106"/>
      <c r="AM305" s="192"/>
      <c r="AN305" s="192"/>
      <c r="AO305" s="192"/>
      <c r="AP305" s="192"/>
      <c r="AQ305" s="180" t="s">
        <v>97</v>
      </c>
      <c r="AR305" s="70" t="str">
        <f t="shared" si="125"/>
        <v>KTG.100.0101</v>
      </c>
      <c r="AS305" s="71" t="str">
        <f t="shared" ref="AS305:AT363" si="142">AS304</f>
        <v>KPBS-2.020</v>
      </c>
      <c r="AT305" s="71" t="str">
        <f t="shared" si="142"/>
        <v>B14</v>
      </c>
      <c r="AU305" s="105"/>
      <c r="AV305" s="202">
        <v>0.70670736249999999</v>
      </c>
      <c r="AW305" s="202">
        <v>124.3216899929</v>
      </c>
      <c r="AX305" s="106" t="s">
        <v>98</v>
      </c>
      <c r="AY305" s="106" t="s">
        <v>94</v>
      </c>
      <c r="AZ305" s="106" t="s">
        <v>94</v>
      </c>
      <c r="BA305" s="73" t="s">
        <v>77</v>
      </c>
      <c r="BB305" s="106" t="s">
        <v>98</v>
      </c>
      <c r="BC305" s="106">
        <v>31</v>
      </c>
      <c r="BD305" s="106" t="s">
        <v>98</v>
      </c>
      <c r="BE305" s="211" t="str">
        <f t="shared" si="129"/>
        <v>699, POYOWA BESAR,</v>
      </c>
    </row>
    <row r="306" spans="1:57" s="211" customFormat="1" ht="15.75" customHeight="1">
      <c r="A306" s="218"/>
      <c r="B306" s="219"/>
      <c r="C306" s="219"/>
      <c r="D306" s="219"/>
      <c r="E306" s="219"/>
      <c r="F306" s="219"/>
      <c r="G306" s="220"/>
      <c r="H306" s="12">
        <v>16</v>
      </c>
      <c r="I306" s="64" t="str">
        <f t="shared" si="137"/>
        <v>MR.KPBS.P094</v>
      </c>
      <c r="J306" s="64">
        <f t="shared" si="137"/>
        <v>0.70656300000000005</v>
      </c>
      <c r="K306" s="64">
        <f t="shared" si="137"/>
        <v>124.322001</v>
      </c>
      <c r="L306" s="64" t="str">
        <f t="shared" si="137"/>
        <v>JL. RAYA POYOWA BESAR</v>
      </c>
      <c r="M306" s="64" t="str">
        <f t="shared" si="137"/>
        <v>SULAWESI UTARA</v>
      </c>
      <c r="N306" s="65" t="s">
        <v>105</v>
      </c>
      <c r="O306" s="66" t="s">
        <v>118</v>
      </c>
      <c r="P306" s="65" t="s">
        <v>119</v>
      </c>
      <c r="Q306" s="66">
        <v>95717</v>
      </c>
      <c r="R306" s="98"/>
      <c r="S306" s="99"/>
      <c r="T306" s="100"/>
      <c r="U306" s="99"/>
      <c r="V306" s="100"/>
      <c r="W306" s="97" t="s">
        <v>105</v>
      </c>
      <c r="X306" s="101"/>
      <c r="Y306" s="64" t="s">
        <v>106</v>
      </c>
      <c r="Z306" s="64" t="str">
        <f t="shared" si="126"/>
        <v>KELURAHAN POYOWA BESAR SATU KOTAMOBAGU</v>
      </c>
      <c r="AA306" s="102"/>
      <c r="AB306" s="102"/>
      <c r="AC306" s="102" t="s">
        <v>70</v>
      </c>
      <c r="AD306" s="64" t="str">
        <f t="shared" si="141"/>
        <v>POYOWA BESAR</v>
      </c>
      <c r="AE306" s="103"/>
      <c r="AF306" s="103"/>
      <c r="AG306" s="103"/>
      <c r="AH306" s="103"/>
      <c r="AI306" s="104"/>
      <c r="AJ306" s="11" t="s">
        <v>873</v>
      </c>
      <c r="AK306" s="102" t="s">
        <v>96</v>
      </c>
      <c r="AL306" s="106"/>
      <c r="AM306" s="192"/>
      <c r="AN306" s="192"/>
      <c r="AO306" s="192"/>
      <c r="AP306" s="192"/>
      <c r="AQ306" s="193" t="s">
        <v>97</v>
      </c>
      <c r="AR306" s="70" t="str">
        <f t="shared" si="125"/>
        <v>KTG.100.0101</v>
      </c>
      <c r="AS306" s="71" t="str">
        <f t="shared" si="142"/>
        <v>KPBS-2.020</v>
      </c>
      <c r="AT306" s="71" t="str">
        <f t="shared" si="142"/>
        <v>B14</v>
      </c>
      <c r="AU306" s="105"/>
      <c r="AV306" s="202">
        <v>0.70649020979999999</v>
      </c>
      <c r="AW306" s="202">
        <v>124.3215901338</v>
      </c>
      <c r="AX306" s="106" t="s">
        <v>98</v>
      </c>
      <c r="AY306" s="106" t="s">
        <v>94</v>
      </c>
      <c r="AZ306" s="106" t="s">
        <v>94</v>
      </c>
      <c r="BA306" s="73" t="s">
        <v>77</v>
      </c>
      <c r="BB306" s="106" t="s">
        <v>98</v>
      </c>
      <c r="BC306" s="106">
        <v>31</v>
      </c>
      <c r="BD306" s="106" t="s">
        <v>98</v>
      </c>
      <c r="BE306" s="211" t="str">
        <f t="shared" si="129"/>
        <v>698, POYOWA BESAR,</v>
      </c>
    </row>
    <row r="307" spans="1:57" s="211" customFormat="1" ht="15.75" customHeight="1">
      <c r="A307" s="121" t="s">
        <v>100</v>
      </c>
      <c r="B307" s="121">
        <f>B291+1</f>
        <v>23</v>
      </c>
      <c r="C307" s="122" t="s">
        <v>99</v>
      </c>
      <c r="D307" s="122" t="s">
        <v>351</v>
      </c>
      <c r="E307" s="122">
        <v>3</v>
      </c>
      <c r="F307" s="2">
        <f>F292+1</f>
        <v>33</v>
      </c>
      <c r="G307" s="213" t="s">
        <v>102</v>
      </c>
      <c r="H307" s="123">
        <v>1</v>
      </c>
      <c r="I307" s="124" t="s">
        <v>968</v>
      </c>
      <c r="J307" s="125">
        <v>0.70652355460000005</v>
      </c>
      <c r="K307" s="125">
        <v>124.32316422149999</v>
      </c>
      <c r="L307" s="16" t="s">
        <v>116</v>
      </c>
      <c r="M307" s="140" t="str">
        <f t="shared" ref="M307" si="143">M306</f>
        <v>SULAWESI UTARA</v>
      </c>
      <c r="N307" s="13" t="s">
        <v>105</v>
      </c>
      <c r="O307" s="127" t="s">
        <v>118</v>
      </c>
      <c r="P307" s="13" t="s">
        <v>119</v>
      </c>
      <c r="Q307" s="127">
        <v>95717</v>
      </c>
      <c r="R307" s="128"/>
      <c r="S307" s="129"/>
      <c r="T307" s="130"/>
      <c r="U307" s="129"/>
      <c r="V307" s="130"/>
      <c r="W307" s="126" t="s">
        <v>105</v>
      </c>
      <c r="X307" s="125"/>
      <c r="Y307" s="140" t="s">
        <v>106</v>
      </c>
      <c r="Z307" s="140" t="str">
        <f t="shared" si="126"/>
        <v>KELURAHAN POYOWA BESAR SATU KOTAMOBAGU</v>
      </c>
      <c r="AA307" s="131"/>
      <c r="AB307" s="131"/>
      <c r="AC307" s="131" t="s">
        <v>70</v>
      </c>
      <c r="AD307" s="16" t="s">
        <v>119</v>
      </c>
      <c r="AE307" s="15"/>
      <c r="AF307" s="15"/>
      <c r="AG307" s="15"/>
      <c r="AH307" s="15"/>
      <c r="AI307" s="132"/>
      <c r="AJ307" s="133" t="s">
        <v>874</v>
      </c>
      <c r="AK307" s="131" t="s">
        <v>96</v>
      </c>
      <c r="AL307" s="137"/>
      <c r="AM307" s="194"/>
      <c r="AN307" s="194"/>
      <c r="AO307" s="194"/>
      <c r="AP307" s="194"/>
      <c r="AQ307" s="195" t="s">
        <v>97</v>
      </c>
      <c r="AR307" s="134" t="str">
        <f t="shared" si="125"/>
        <v>KTG.100.0101</v>
      </c>
      <c r="AS307" s="135" t="str">
        <f>AS291</f>
        <v>KPBS-2.020</v>
      </c>
      <c r="AT307" s="135" t="str">
        <f>G307</f>
        <v>B15</v>
      </c>
      <c r="AU307" s="136"/>
      <c r="AV307" s="205">
        <v>0.70663572080000003</v>
      </c>
      <c r="AW307" s="205">
        <v>124.32322180600001</v>
      </c>
      <c r="AX307" s="137" t="s">
        <v>98</v>
      </c>
      <c r="AY307" s="137" t="s">
        <v>94</v>
      </c>
      <c r="AZ307" s="137" t="s">
        <v>94</v>
      </c>
      <c r="BA307" s="138" t="s">
        <v>77</v>
      </c>
      <c r="BB307" s="137" t="s">
        <v>98</v>
      </c>
      <c r="BC307" s="137">
        <v>31</v>
      </c>
      <c r="BD307" s="137" t="s">
        <v>98</v>
      </c>
      <c r="BE307" s="211" t="str">
        <f t="shared" si="129"/>
        <v>705, POYOWA BESAR,</v>
      </c>
    </row>
    <row r="308" spans="1:57" s="211" customFormat="1" ht="15.75" customHeight="1">
      <c r="A308" s="21"/>
      <c r="B308" s="21"/>
      <c r="C308" s="22" t="s">
        <v>99</v>
      </c>
      <c r="D308" s="22" t="s">
        <v>351</v>
      </c>
      <c r="E308" s="122">
        <v>3</v>
      </c>
      <c r="F308" s="6">
        <f>F307+1</f>
        <v>34</v>
      </c>
      <c r="G308" s="213"/>
      <c r="H308" s="12">
        <v>2</v>
      </c>
      <c r="I308" s="64" t="str">
        <f t="shared" ref="I308:M321" si="144">I307</f>
        <v>MR.KPBS.P095</v>
      </c>
      <c r="J308" s="64">
        <f t="shared" si="144"/>
        <v>0.70652355460000005</v>
      </c>
      <c r="K308" s="64">
        <f t="shared" si="144"/>
        <v>124.32316422149999</v>
      </c>
      <c r="L308" s="64" t="str">
        <f t="shared" si="144"/>
        <v>JL. RAYA POYOWA BESAR</v>
      </c>
      <c r="M308" s="64" t="str">
        <f t="shared" si="144"/>
        <v>SULAWESI UTARA</v>
      </c>
      <c r="N308" s="65" t="s">
        <v>105</v>
      </c>
      <c r="O308" s="66" t="s">
        <v>118</v>
      </c>
      <c r="P308" s="65" t="s">
        <v>119</v>
      </c>
      <c r="Q308" s="66">
        <v>95717</v>
      </c>
      <c r="R308" s="98"/>
      <c r="S308" s="99"/>
      <c r="T308" s="100"/>
      <c r="U308" s="99"/>
      <c r="V308" s="100"/>
      <c r="W308" s="97" t="s">
        <v>105</v>
      </c>
      <c r="X308" s="101"/>
      <c r="Y308" s="64" t="s">
        <v>106</v>
      </c>
      <c r="Z308" s="64" t="str">
        <f t="shared" si="126"/>
        <v>KELURAHAN POYOWA BESAR SATU KOTAMOBAGU</v>
      </c>
      <c r="AA308" s="102"/>
      <c r="AB308" s="102"/>
      <c r="AC308" s="102" t="s">
        <v>70</v>
      </c>
      <c r="AD308" s="64" t="str">
        <f t="shared" ref="AD308:AD321" si="145">AD307</f>
        <v>POYOWA BESAR</v>
      </c>
      <c r="AE308" s="103"/>
      <c r="AF308" s="103"/>
      <c r="AG308" s="103"/>
      <c r="AH308" s="103"/>
      <c r="AI308" s="104"/>
      <c r="AJ308" s="11" t="s">
        <v>875</v>
      </c>
      <c r="AK308" s="102" t="s">
        <v>96</v>
      </c>
      <c r="AL308" s="106"/>
      <c r="AM308" s="192"/>
      <c r="AN308" s="192"/>
      <c r="AO308" s="192"/>
      <c r="AP308" s="192"/>
      <c r="AQ308" s="180" t="s">
        <v>97</v>
      </c>
      <c r="AR308" s="70" t="str">
        <f t="shared" si="125"/>
        <v>KTG.100.0101</v>
      </c>
      <c r="AS308" s="71" t="str">
        <f t="shared" si="142"/>
        <v>KPBS-2.020</v>
      </c>
      <c r="AT308" s="71" t="str">
        <f t="shared" si="142"/>
        <v>B15</v>
      </c>
      <c r="AU308" s="105"/>
      <c r="AV308" s="202">
        <v>0.70643227330000002</v>
      </c>
      <c r="AW308" s="202">
        <v>124.32292711159999</v>
      </c>
      <c r="AX308" s="106" t="s">
        <v>98</v>
      </c>
      <c r="AY308" s="106" t="s">
        <v>94</v>
      </c>
      <c r="AZ308" s="106" t="s">
        <v>94</v>
      </c>
      <c r="BA308" s="73" t="s">
        <v>77</v>
      </c>
      <c r="BB308" s="106" t="s">
        <v>98</v>
      </c>
      <c r="BC308" s="106">
        <v>31</v>
      </c>
      <c r="BD308" s="106" t="s">
        <v>98</v>
      </c>
      <c r="BE308" s="211" t="str">
        <f t="shared" si="129"/>
        <v>701, POYOWA BESAR,</v>
      </c>
    </row>
    <row r="309" spans="1:57" s="211" customFormat="1" ht="15.75" customHeight="1">
      <c r="A309" s="215"/>
      <c r="B309" s="216"/>
      <c r="C309" s="216"/>
      <c r="D309" s="216"/>
      <c r="E309" s="216"/>
      <c r="F309" s="216"/>
      <c r="G309" s="217"/>
      <c r="H309" s="12">
        <v>3</v>
      </c>
      <c r="I309" s="64" t="str">
        <f t="shared" si="144"/>
        <v>MR.KPBS.P095</v>
      </c>
      <c r="J309" s="64">
        <f t="shared" si="144"/>
        <v>0.70652355460000005</v>
      </c>
      <c r="K309" s="64">
        <f t="shared" si="144"/>
        <v>124.32316422149999</v>
      </c>
      <c r="L309" s="64" t="str">
        <f t="shared" si="144"/>
        <v>JL. RAYA POYOWA BESAR</v>
      </c>
      <c r="M309" s="64" t="str">
        <f t="shared" si="144"/>
        <v>SULAWESI UTARA</v>
      </c>
      <c r="N309" s="65" t="s">
        <v>105</v>
      </c>
      <c r="O309" s="66" t="s">
        <v>118</v>
      </c>
      <c r="P309" s="65" t="s">
        <v>119</v>
      </c>
      <c r="Q309" s="66">
        <v>95717</v>
      </c>
      <c r="R309" s="98"/>
      <c r="S309" s="99"/>
      <c r="T309" s="100"/>
      <c r="U309" s="99"/>
      <c r="V309" s="100"/>
      <c r="W309" s="97" t="s">
        <v>105</v>
      </c>
      <c r="X309" s="101"/>
      <c r="Y309" s="64" t="s">
        <v>106</v>
      </c>
      <c r="Z309" s="64" t="str">
        <f t="shared" si="126"/>
        <v>KELURAHAN POYOWA BESAR SATU KOTAMOBAGU</v>
      </c>
      <c r="AA309" s="102"/>
      <c r="AB309" s="102"/>
      <c r="AC309" s="102" t="s">
        <v>70</v>
      </c>
      <c r="AD309" s="64" t="str">
        <f t="shared" si="145"/>
        <v>POYOWA BESAR</v>
      </c>
      <c r="AE309" s="103"/>
      <c r="AF309" s="103"/>
      <c r="AG309" s="103"/>
      <c r="AH309" s="103"/>
      <c r="AI309" s="104"/>
      <c r="AJ309" s="11" t="s">
        <v>876</v>
      </c>
      <c r="AK309" s="102" t="s">
        <v>96</v>
      </c>
      <c r="AL309" s="106"/>
      <c r="AM309" s="192"/>
      <c r="AN309" s="192"/>
      <c r="AO309" s="192"/>
      <c r="AP309" s="192"/>
      <c r="AQ309" s="180" t="s">
        <v>97</v>
      </c>
      <c r="AR309" s="70" t="str">
        <f t="shared" si="125"/>
        <v>KTG.100.0101</v>
      </c>
      <c r="AS309" s="71" t="str">
        <f t="shared" si="142"/>
        <v>KPBS-2.020</v>
      </c>
      <c r="AT309" s="71" t="str">
        <f t="shared" si="142"/>
        <v>B15</v>
      </c>
      <c r="AU309" s="105"/>
      <c r="AV309" s="202">
        <v>0.7064266481</v>
      </c>
      <c r="AW309" s="202">
        <v>124.32302160090001</v>
      </c>
      <c r="AX309" s="106" t="s">
        <v>98</v>
      </c>
      <c r="AY309" s="106" t="s">
        <v>94</v>
      </c>
      <c r="AZ309" s="106" t="s">
        <v>94</v>
      </c>
      <c r="BA309" s="73" t="s">
        <v>77</v>
      </c>
      <c r="BB309" s="106" t="s">
        <v>98</v>
      </c>
      <c r="BC309" s="106">
        <v>31</v>
      </c>
      <c r="BD309" s="106" t="s">
        <v>98</v>
      </c>
      <c r="BE309" s="211" t="str">
        <f t="shared" si="129"/>
        <v>702, POYOWA BESAR,</v>
      </c>
    </row>
    <row r="310" spans="1:57" s="211" customFormat="1" ht="15.75" customHeight="1">
      <c r="A310" s="218"/>
      <c r="B310" s="219"/>
      <c r="C310" s="219"/>
      <c r="D310" s="219"/>
      <c r="E310" s="219"/>
      <c r="F310" s="219"/>
      <c r="G310" s="220"/>
      <c r="H310" s="12">
        <v>4</v>
      </c>
      <c r="I310" s="64" t="str">
        <f t="shared" si="144"/>
        <v>MR.KPBS.P095</v>
      </c>
      <c r="J310" s="64">
        <f t="shared" si="144"/>
        <v>0.70652355460000005</v>
      </c>
      <c r="K310" s="64">
        <f t="shared" si="144"/>
        <v>124.32316422149999</v>
      </c>
      <c r="L310" s="64" t="str">
        <f t="shared" si="144"/>
        <v>JL. RAYA POYOWA BESAR</v>
      </c>
      <c r="M310" s="64" t="str">
        <f t="shared" si="144"/>
        <v>SULAWESI UTARA</v>
      </c>
      <c r="N310" s="65" t="s">
        <v>105</v>
      </c>
      <c r="O310" s="66" t="s">
        <v>118</v>
      </c>
      <c r="P310" s="65" t="s">
        <v>119</v>
      </c>
      <c r="Q310" s="66">
        <v>95717</v>
      </c>
      <c r="R310" s="98"/>
      <c r="S310" s="99"/>
      <c r="T310" s="100"/>
      <c r="U310" s="99"/>
      <c r="V310" s="100"/>
      <c r="W310" s="97" t="s">
        <v>105</v>
      </c>
      <c r="X310" s="101"/>
      <c r="Y310" s="64" t="s">
        <v>106</v>
      </c>
      <c r="Z310" s="64" t="str">
        <f t="shared" si="126"/>
        <v>KELURAHAN POYOWA BESAR SATU KOTAMOBAGU</v>
      </c>
      <c r="AA310" s="102"/>
      <c r="AB310" s="102"/>
      <c r="AC310" s="102" t="s">
        <v>70</v>
      </c>
      <c r="AD310" s="64" t="str">
        <f t="shared" si="145"/>
        <v>POYOWA BESAR</v>
      </c>
      <c r="AE310" s="103"/>
      <c r="AF310" s="103"/>
      <c r="AG310" s="103"/>
      <c r="AH310" s="103"/>
      <c r="AI310" s="104"/>
      <c r="AJ310" s="11" t="s">
        <v>877</v>
      </c>
      <c r="AK310" s="102" t="s">
        <v>96</v>
      </c>
      <c r="AL310" s="106"/>
      <c r="AM310" s="192"/>
      <c r="AN310" s="192"/>
      <c r="AO310" s="192"/>
      <c r="AP310" s="192"/>
      <c r="AQ310" s="180" t="s">
        <v>97</v>
      </c>
      <c r="AR310" s="70" t="str">
        <f t="shared" si="125"/>
        <v>KTG.100.0101</v>
      </c>
      <c r="AS310" s="71" t="str">
        <f t="shared" si="142"/>
        <v>KPBS-2.020</v>
      </c>
      <c r="AT310" s="71" t="str">
        <f t="shared" si="142"/>
        <v>B15</v>
      </c>
      <c r="AU310" s="105"/>
      <c r="AV310" s="202">
        <v>0.70658602469999898</v>
      </c>
      <c r="AW310" s="202">
        <v>124.3230880241</v>
      </c>
      <c r="AX310" s="106" t="s">
        <v>98</v>
      </c>
      <c r="AY310" s="106" t="s">
        <v>94</v>
      </c>
      <c r="AZ310" s="106" t="s">
        <v>94</v>
      </c>
      <c r="BA310" s="73" t="s">
        <v>77</v>
      </c>
      <c r="BB310" s="106" t="s">
        <v>98</v>
      </c>
      <c r="BC310" s="106">
        <v>31</v>
      </c>
      <c r="BD310" s="106" t="s">
        <v>98</v>
      </c>
      <c r="BE310" s="211" t="str">
        <f t="shared" si="129"/>
        <v>703, POYOWA BESAR,</v>
      </c>
    </row>
    <row r="311" spans="1:57" s="211" customFormat="1" ht="15.75" customHeight="1">
      <c r="A311" s="218"/>
      <c r="B311" s="219"/>
      <c r="C311" s="219"/>
      <c r="D311" s="219"/>
      <c r="E311" s="219"/>
      <c r="F311" s="219"/>
      <c r="G311" s="220"/>
      <c r="H311" s="12">
        <v>5</v>
      </c>
      <c r="I311" s="64" t="str">
        <f t="shared" si="144"/>
        <v>MR.KPBS.P095</v>
      </c>
      <c r="J311" s="64">
        <f t="shared" si="144"/>
        <v>0.70652355460000005</v>
      </c>
      <c r="K311" s="64">
        <f t="shared" si="144"/>
        <v>124.32316422149999</v>
      </c>
      <c r="L311" s="64" t="str">
        <f t="shared" si="144"/>
        <v>JL. RAYA POYOWA BESAR</v>
      </c>
      <c r="M311" s="64" t="str">
        <f t="shared" si="144"/>
        <v>SULAWESI UTARA</v>
      </c>
      <c r="N311" s="65" t="s">
        <v>105</v>
      </c>
      <c r="O311" s="66" t="s">
        <v>118</v>
      </c>
      <c r="P311" s="65" t="s">
        <v>119</v>
      </c>
      <c r="Q311" s="66">
        <v>95717</v>
      </c>
      <c r="R311" s="98"/>
      <c r="S311" s="99"/>
      <c r="T311" s="100"/>
      <c r="U311" s="99"/>
      <c r="V311" s="100"/>
      <c r="W311" s="97" t="s">
        <v>105</v>
      </c>
      <c r="X311" s="101"/>
      <c r="Y311" s="64" t="s">
        <v>106</v>
      </c>
      <c r="Z311" s="64" t="str">
        <f t="shared" si="126"/>
        <v>KELURAHAN POYOWA BESAR SATU KOTAMOBAGU</v>
      </c>
      <c r="AA311" s="102"/>
      <c r="AB311" s="102"/>
      <c r="AC311" s="102" t="s">
        <v>70</v>
      </c>
      <c r="AD311" s="64" t="str">
        <f t="shared" si="145"/>
        <v>POYOWA BESAR</v>
      </c>
      <c r="AE311" s="103"/>
      <c r="AF311" s="103"/>
      <c r="AG311" s="103"/>
      <c r="AH311" s="103"/>
      <c r="AI311" s="104"/>
      <c r="AJ311" s="11" t="s">
        <v>878</v>
      </c>
      <c r="AK311" s="102" t="s">
        <v>96</v>
      </c>
      <c r="AL311" s="106"/>
      <c r="AM311" s="192"/>
      <c r="AN311" s="192"/>
      <c r="AO311" s="192"/>
      <c r="AP311" s="192"/>
      <c r="AQ311" s="180" t="s">
        <v>97</v>
      </c>
      <c r="AR311" s="70" t="str">
        <f t="shared" si="125"/>
        <v>KTG.100.0101</v>
      </c>
      <c r="AS311" s="71" t="str">
        <f t="shared" si="142"/>
        <v>KPBS-2.020</v>
      </c>
      <c r="AT311" s="71" t="str">
        <f t="shared" si="142"/>
        <v>B15</v>
      </c>
      <c r="AU311" s="105"/>
      <c r="AV311" s="202">
        <v>0.70641258480000002</v>
      </c>
      <c r="AW311" s="202">
        <v>124.32311515470001</v>
      </c>
      <c r="AX311" s="106" t="s">
        <v>98</v>
      </c>
      <c r="AY311" s="106" t="s">
        <v>94</v>
      </c>
      <c r="AZ311" s="106" t="s">
        <v>94</v>
      </c>
      <c r="BA311" s="73" t="s">
        <v>77</v>
      </c>
      <c r="BB311" s="106" t="s">
        <v>98</v>
      </c>
      <c r="BC311" s="106">
        <v>31</v>
      </c>
      <c r="BD311" s="106" t="s">
        <v>98</v>
      </c>
      <c r="BE311" s="211" t="str">
        <f t="shared" si="129"/>
        <v>704, POYOWA BESAR,</v>
      </c>
    </row>
    <row r="312" spans="1:57" s="211" customFormat="1" ht="15.75" customHeight="1">
      <c r="A312" s="218"/>
      <c r="B312" s="219"/>
      <c r="C312" s="219"/>
      <c r="D312" s="219"/>
      <c r="E312" s="219"/>
      <c r="F312" s="219"/>
      <c r="G312" s="220"/>
      <c r="H312" s="12">
        <v>6</v>
      </c>
      <c r="I312" s="64" t="str">
        <f t="shared" si="144"/>
        <v>MR.KPBS.P095</v>
      </c>
      <c r="J312" s="64">
        <f t="shared" si="144"/>
        <v>0.70652355460000005</v>
      </c>
      <c r="K312" s="64">
        <f t="shared" si="144"/>
        <v>124.32316422149999</v>
      </c>
      <c r="L312" s="64" t="str">
        <f t="shared" si="144"/>
        <v>JL. RAYA POYOWA BESAR</v>
      </c>
      <c r="M312" s="64" t="str">
        <f t="shared" si="144"/>
        <v>SULAWESI UTARA</v>
      </c>
      <c r="N312" s="65" t="s">
        <v>105</v>
      </c>
      <c r="O312" s="66" t="s">
        <v>118</v>
      </c>
      <c r="P312" s="65" t="s">
        <v>119</v>
      </c>
      <c r="Q312" s="66">
        <v>95717</v>
      </c>
      <c r="R312" s="98"/>
      <c r="S312" s="99"/>
      <c r="T312" s="100"/>
      <c r="U312" s="99"/>
      <c r="V312" s="100"/>
      <c r="W312" s="97" t="s">
        <v>105</v>
      </c>
      <c r="X312" s="101"/>
      <c r="Y312" s="64" t="s">
        <v>106</v>
      </c>
      <c r="Z312" s="64" t="str">
        <f t="shared" si="126"/>
        <v>KELURAHAN POYOWA BESAR SATU KOTAMOBAGU</v>
      </c>
      <c r="AA312" s="102"/>
      <c r="AB312" s="102"/>
      <c r="AC312" s="102" t="s">
        <v>70</v>
      </c>
      <c r="AD312" s="64" t="str">
        <f t="shared" si="145"/>
        <v>POYOWA BESAR</v>
      </c>
      <c r="AE312" s="103"/>
      <c r="AF312" s="103"/>
      <c r="AG312" s="103"/>
      <c r="AH312" s="103"/>
      <c r="AI312" s="104"/>
      <c r="AJ312" s="11" t="s">
        <v>879</v>
      </c>
      <c r="AK312" s="102" t="s">
        <v>96</v>
      </c>
      <c r="AL312" s="106"/>
      <c r="AM312" s="192"/>
      <c r="AN312" s="192"/>
      <c r="AO312" s="192"/>
      <c r="AP312" s="192"/>
      <c r="AQ312" s="180" t="s">
        <v>97</v>
      </c>
      <c r="AR312" s="70" t="str">
        <f t="shared" si="125"/>
        <v>KTG.100.0101</v>
      </c>
      <c r="AS312" s="71" t="str">
        <f t="shared" si="142"/>
        <v>KPBS-2.020</v>
      </c>
      <c r="AT312" s="71" t="str">
        <f t="shared" si="142"/>
        <v>B15</v>
      </c>
      <c r="AU312" s="105"/>
      <c r="AV312" s="202">
        <v>0.70628151293667296</v>
      </c>
      <c r="AW312" s="202">
        <v>124.323087584375</v>
      </c>
      <c r="AX312" s="106" t="s">
        <v>98</v>
      </c>
      <c r="AY312" s="106" t="s">
        <v>94</v>
      </c>
      <c r="AZ312" s="106" t="s">
        <v>94</v>
      </c>
      <c r="BA312" s="73" t="s">
        <v>77</v>
      </c>
      <c r="BB312" s="106" t="s">
        <v>98</v>
      </c>
      <c r="BC312" s="106">
        <v>31</v>
      </c>
      <c r="BD312" s="106" t="s">
        <v>98</v>
      </c>
      <c r="BE312" s="211" t="str">
        <f t="shared" si="129"/>
        <v>704A, POYOWA BESAR,</v>
      </c>
    </row>
    <row r="313" spans="1:57" s="211" customFormat="1" ht="15.75" customHeight="1">
      <c r="A313" s="218"/>
      <c r="B313" s="219"/>
      <c r="C313" s="219"/>
      <c r="D313" s="219"/>
      <c r="E313" s="219"/>
      <c r="F313" s="219"/>
      <c r="G313" s="220"/>
      <c r="H313" s="12">
        <v>7</v>
      </c>
      <c r="I313" s="64" t="str">
        <f t="shared" si="144"/>
        <v>MR.KPBS.P095</v>
      </c>
      <c r="J313" s="64">
        <f t="shared" si="144"/>
        <v>0.70652355460000005</v>
      </c>
      <c r="K313" s="64">
        <f t="shared" si="144"/>
        <v>124.32316422149999</v>
      </c>
      <c r="L313" s="64" t="str">
        <f t="shared" si="144"/>
        <v>JL. RAYA POYOWA BESAR</v>
      </c>
      <c r="M313" s="64" t="str">
        <f t="shared" si="144"/>
        <v>SULAWESI UTARA</v>
      </c>
      <c r="N313" s="65" t="s">
        <v>105</v>
      </c>
      <c r="O313" s="66" t="s">
        <v>118</v>
      </c>
      <c r="P313" s="65" t="s">
        <v>119</v>
      </c>
      <c r="Q313" s="66">
        <v>95717</v>
      </c>
      <c r="R313" s="98"/>
      <c r="S313" s="99"/>
      <c r="T313" s="100"/>
      <c r="U313" s="99"/>
      <c r="V313" s="100"/>
      <c r="W313" s="97" t="s">
        <v>105</v>
      </c>
      <c r="X313" s="101"/>
      <c r="Y313" s="64" t="s">
        <v>106</v>
      </c>
      <c r="Z313" s="64" t="str">
        <f t="shared" si="126"/>
        <v>KELURAHAN POYOWA BESAR SATU KOTAMOBAGU</v>
      </c>
      <c r="AA313" s="102"/>
      <c r="AB313" s="102"/>
      <c r="AC313" s="102" t="s">
        <v>70</v>
      </c>
      <c r="AD313" s="64" t="str">
        <f t="shared" si="145"/>
        <v>POYOWA BESAR</v>
      </c>
      <c r="AE313" s="103"/>
      <c r="AF313" s="103"/>
      <c r="AG313" s="103"/>
      <c r="AH313" s="103"/>
      <c r="AI313" s="104"/>
      <c r="AJ313" s="11" t="s">
        <v>880</v>
      </c>
      <c r="AK313" s="102" t="s">
        <v>96</v>
      </c>
      <c r="AL313" s="106"/>
      <c r="AM313" s="192"/>
      <c r="AN313" s="192"/>
      <c r="AO313" s="192"/>
      <c r="AP313" s="192"/>
      <c r="AQ313" s="180" t="s">
        <v>97</v>
      </c>
      <c r="AR313" s="70" t="str">
        <f t="shared" si="125"/>
        <v>KTG.100.0101</v>
      </c>
      <c r="AS313" s="71" t="str">
        <f t="shared" si="142"/>
        <v>KPBS-2.020</v>
      </c>
      <c r="AT313" s="71" t="str">
        <f t="shared" si="142"/>
        <v>B15</v>
      </c>
      <c r="AU313" s="105"/>
      <c r="AV313" s="202">
        <v>0.70636664510000002</v>
      </c>
      <c r="AW313" s="202">
        <v>124.32322274160001</v>
      </c>
      <c r="AX313" s="106" t="s">
        <v>98</v>
      </c>
      <c r="AY313" s="106" t="s">
        <v>94</v>
      </c>
      <c r="AZ313" s="106" t="s">
        <v>94</v>
      </c>
      <c r="BA313" s="73" t="s">
        <v>77</v>
      </c>
      <c r="BB313" s="106" t="s">
        <v>98</v>
      </c>
      <c r="BC313" s="106">
        <v>31</v>
      </c>
      <c r="BD313" s="106" t="s">
        <v>98</v>
      </c>
      <c r="BE313" s="211" t="str">
        <f t="shared" si="129"/>
        <v>706, POYOWA BESAR,</v>
      </c>
    </row>
    <row r="314" spans="1:57" s="211" customFormat="1" ht="15.75" customHeight="1">
      <c r="A314" s="218"/>
      <c r="B314" s="219"/>
      <c r="C314" s="219"/>
      <c r="D314" s="219"/>
      <c r="E314" s="219"/>
      <c r="F314" s="219"/>
      <c r="G314" s="220"/>
      <c r="H314" s="12">
        <v>8</v>
      </c>
      <c r="I314" s="64" t="str">
        <f t="shared" si="144"/>
        <v>MR.KPBS.P095</v>
      </c>
      <c r="J314" s="64">
        <f t="shared" si="144"/>
        <v>0.70652355460000005</v>
      </c>
      <c r="K314" s="64">
        <f t="shared" si="144"/>
        <v>124.32316422149999</v>
      </c>
      <c r="L314" s="64" t="str">
        <f t="shared" si="144"/>
        <v>JL. RAYA POYOWA BESAR</v>
      </c>
      <c r="M314" s="64" t="str">
        <f t="shared" si="144"/>
        <v>SULAWESI UTARA</v>
      </c>
      <c r="N314" s="65" t="s">
        <v>105</v>
      </c>
      <c r="O314" s="66" t="s">
        <v>118</v>
      </c>
      <c r="P314" s="65" t="s">
        <v>119</v>
      </c>
      <c r="Q314" s="66">
        <v>95717</v>
      </c>
      <c r="R314" s="98"/>
      <c r="S314" s="99"/>
      <c r="T314" s="100"/>
      <c r="U314" s="99"/>
      <c r="V314" s="100"/>
      <c r="W314" s="97" t="s">
        <v>105</v>
      </c>
      <c r="X314" s="101"/>
      <c r="Y314" s="64" t="s">
        <v>106</v>
      </c>
      <c r="Z314" s="64" t="str">
        <f t="shared" si="126"/>
        <v>KELURAHAN POYOWA BESAR SATU KOTAMOBAGU</v>
      </c>
      <c r="AA314" s="102"/>
      <c r="AB314" s="102"/>
      <c r="AC314" s="102" t="s">
        <v>70</v>
      </c>
      <c r="AD314" s="64" t="str">
        <f t="shared" si="145"/>
        <v>POYOWA BESAR</v>
      </c>
      <c r="AE314" s="103"/>
      <c r="AF314" s="103"/>
      <c r="AG314" s="103"/>
      <c r="AH314" s="103"/>
      <c r="AI314" s="104"/>
      <c r="AJ314" s="11" t="s">
        <v>881</v>
      </c>
      <c r="AK314" s="102" t="s">
        <v>96</v>
      </c>
      <c r="AL314" s="106"/>
      <c r="AM314" s="192"/>
      <c r="AN314" s="192"/>
      <c r="AO314" s="192"/>
      <c r="AP314" s="192"/>
      <c r="AQ314" s="193" t="s">
        <v>97</v>
      </c>
      <c r="AR314" s="70" t="str">
        <f t="shared" si="125"/>
        <v>KTG.100.0101</v>
      </c>
      <c r="AS314" s="71" t="str">
        <f t="shared" si="142"/>
        <v>KPBS-2.020</v>
      </c>
      <c r="AT314" s="71" t="str">
        <f t="shared" si="142"/>
        <v>B15</v>
      </c>
      <c r="AU314" s="105"/>
      <c r="AV314" s="202">
        <v>0.70662447019999997</v>
      </c>
      <c r="AW314" s="202">
        <v>124.3233462324</v>
      </c>
      <c r="AX314" s="106" t="s">
        <v>98</v>
      </c>
      <c r="AY314" s="106" t="s">
        <v>94</v>
      </c>
      <c r="AZ314" s="106" t="s">
        <v>94</v>
      </c>
      <c r="BA314" s="73" t="s">
        <v>77</v>
      </c>
      <c r="BB314" s="106" t="s">
        <v>98</v>
      </c>
      <c r="BC314" s="106">
        <v>31</v>
      </c>
      <c r="BD314" s="106" t="s">
        <v>98</v>
      </c>
      <c r="BE314" s="211" t="str">
        <f t="shared" si="129"/>
        <v>707, POYOWA BESAR,</v>
      </c>
    </row>
    <row r="315" spans="1:57" s="211" customFormat="1" ht="15.75" customHeight="1">
      <c r="A315" s="218"/>
      <c r="B315" s="219"/>
      <c r="C315" s="219"/>
      <c r="D315" s="219"/>
      <c r="E315" s="219"/>
      <c r="F315" s="219"/>
      <c r="G315" s="220"/>
      <c r="H315" s="12">
        <v>9</v>
      </c>
      <c r="I315" s="64" t="str">
        <f t="shared" si="144"/>
        <v>MR.KPBS.P095</v>
      </c>
      <c r="J315" s="64">
        <f t="shared" si="144"/>
        <v>0.70652355460000005</v>
      </c>
      <c r="K315" s="64">
        <f t="shared" si="144"/>
        <v>124.32316422149999</v>
      </c>
      <c r="L315" s="64" t="str">
        <f t="shared" si="144"/>
        <v>JL. RAYA POYOWA BESAR</v>
      </c>
      <c r="M315" s="64" t="str">
        <f t="shared" si="144"/>
        <v>SULAWESI UTARA</v>
      </c>
      <c r="N315" s="65" t="s">
        <v>105</v>
      </c>
      <c r="O315" s="66" t="s">
        <v>118</v>
      </c>
      <c r="P315" s="65" t="s">
        <v>119</v>
      </c>
      <c r="Q315" s="66">
        <v>95717</v>
      </c>
      <c r="R315" s="98"/>
      <c r="S315" s="99"/>
      <c r="T315" s="100"/>
      <c r="U315" s="99"/>
      <c r="V315" s="100"/>
      <c r="W315" s="97" t="s">
        <v>105</v>
      </c>
      <c r="X315" s="101"/>
      <c r="Y315" s="64" t="s">
        <v>106</v>
      </c>
      <c r="Z315" s="64" t="str">
        <f t="shared" si="126"/>
        <v>KELURAHAN POYOWA BESAR SATU KOTAMOBAGU</v>
      </c>
      <c r="AA315" s="102"/>
      <c r="AB315" s="102"/>
      <c r="AC315" s="102" t="s">
        <v>70</v>
      </c>
      <c r="AD315" s="64" t="str">
        <f t="shared" si="145"/>
        <v>POYOWA BESAR</v>
      </c>
      <c r="AE315" s="103"/>
      <c r="AF315" s="103"/>
      <c r="AG315" s="103"/>
      <c r="AH315" s="103"/>
      <c r="AI315" s="104"/>
      <c r="AJ315" s="11" t="s">
        <v>882</v>
      </c>
      <c r="AK315" s="102" t="s">
        <v>96</v>
      </c>
      <c r="AL315" s="106"/>
      <c r="AM315" s="106"/>
      <c r="AN315" s="106"/>
      <c r="AO315" s="106"/>
      <c r="AP315" s="106"/>
      <c r="AQ315" s="180" t="s">
        <v>97</v>
      </c>
      <c r="AR315" s="70" t="str">
        <f t="shared" si="125"/>
        <v>KTG.100.0101</v>
      </c>
      <c r="AS315" s="71" t="str">
        <f t="shared" si="142"/>
        <v>KPBS-2.020</v>
      </c>
      <c r="AT315" s="71" t="str">
        <f t="shared" si="142"/>
        <v>B15</v>
      </c>
      <c r="AU315" s="105"/>
      <c r="AV315" s="202">
        <v>0.70661603230000003</v>
      </c>
      <c r="AW315" s="202">
        <v>124.3234453995</v>
      </c>
      <c r="AX315" s="106" t="s">
        <v>98</v>
      </c>
      <c r="AY315" s="106" t="s">
        <v>94</v>
      </c>
      <c r="AZ315" s="106" t="s">
        <v>94</v>
      </c>
      <c r="BA315" s="73" t="s">
        <v>77</v>
      </c>
      <c r="BB315" s="106" t="s">
        <v>98</v>
      </c>
      <c r="BC315" s="106">
        <v>31</v>
      </c>
      <c r="BD315" s="106" t="s">
        <v>98</v>
      </c>
      <c r="BE315" s="211" t="str">
        <f t="shared" si="129"/>
        <v>708, POYOWA BESAR,</v>
      </c>
    </row>
    <row r="316" spans="1:57" s="211" customFormat="1" ht="15.75" customHeight="1">
      <c r="A316" s="218"/>
      <c r="B316" s="219"/>
      <c r="C316" s="219"/>
      <c r="D316" s="219"/>
      <c r="E316" s="219"/>
      <c r="F316" s="219"/>
      <c r="G316" s="220"/>
      <c r="H316" s="12">
        <v>10</v>
      </c>
      <c r="I316" s="64" t="str">
        <f t="shared" si="144"/>
        <v>MR.KPBS.P095</v>
      </c>
      <c r="J316" s="64">
        <f t="shared" si="144"/>
        <v>0.70652355460000005</v>
      </c>
      <c r="K316" s="64">
        <f t="shared" si="144"/>
        <v>124.32316422149999</v>
      </c>
      <c r="L316" s="64" t="str">
        <f t="shared" si="144"/>
        <v>JL. RAYA POYOWA BESAR</v>
      </c>
      <c r="M316" s="64" t="str">
        <f t="shared" si="144"/>
        <v>SULAWESI UTARA</v>
      </c>
      <c r="N316" s="65" t="s">
        <v>105</v>
      </c>
      <c r="O316" s="66" t="s">
        <v>118</v>
      </c>
      <c r="P316" s="65" t="s">
        <v>119</v>
      </c>
      <c r="Q316" s="66">
        <v>95717</v>
      </c>
      <c r="R316" s="98"/>
      <c r="S316" s="99"/>
      <c r="T316" s="100"/>
      <c r="U316" s="99"/>
      <c r="V316" s="100"/>
      <c r="W316" s="97" t="s">
        <v>105</v>
      </c>
      <c r="X316" s="101"/>
      <c r="Y316" s="64" t="s">
        <v>106</v>
      </c>
      <c r="Z316" s="64" t="str">
        <f t="shared" si="126"/>
        <v>KELURAHAN POYOWA BESAR SATU KOTAMOBAGU</v>
      </c>
      <c r="AA316" s="102"/>
      <c r="AB316" s="102"/>
      <c r="AC316" s="102" t="s">
        <v>70</v>
      </c>
      <c r="AD316" s="64" t="str">
        <f t="shared" si="145"/>
        <v>POYOWA BESAR</v>
      </c>
      <c r="AE316" s="103"/>
      <c r="AF316" s="103"/>
      <c r="AG316" s="103"/>
      <c r="AH316" s="103"/>
      <c r="AI316" s="104"/>
      <c r="AJ316" s="11" t="s">
        <v>883</v>
      </c>
      <c r="AK316" s="102" t="s">
        <v>96</v>
      </c>
      <c r="AL316" s="106"/>
      <c r="AM316" s="106"/>
      <c r="AN316" s="106"/>
      <c r="AO316" s="106"/>
      <c r="AP316" s="106"/>
      <c r="AQ316" s="180" t="s">
        <v>97</v>
      </c>
      <c r="AR316" s="70" t="str">
        <f t="shared" si="125"/>
        <v>KTG.100.0101</v>
      </c>
      <c r="AS316" s="71" t="str">
        <f t="shared" si="142"/>
        <v>KPBS-2.020</v>
      </c>
      <c r="AT316" s="71" t="str">
        <f t="shared" si="142"/>
        <v>B15</v>
      </c>
      <c r="AU316" s="105"/>
      <c r="AV316" s="202">
        <v>0.70661228209999905</v>
      </c>
      <c r="AW316" s="202">
        <v>124.3235333401</v>
      </c>
      <c r="AX316" s="106" t="s">
        <v>98</v>
      </c>
      <c r="AY316" s="106" t="s">
        <v>94</v>
      </c>
      <c r="AZ316" s="106" t="s">
        <v>94</v>
      </c>
      <c r="BA316" s="73" t="s">
        <v>77</v>
      </c>
      <c r="BB316" s="106" t="s">
        <v>98</v>
      </c>
      <c r="BC316" s="106">
        <v>31</v>
      </c>
      <c r="BD316" s="106" t="s">
        <v>98</v>
      </c>
      <c r="BE316" s="211" t="str">
        <f t="shared" si="129"/>
        <v>709, POYOWA BESAR,</v>
      </c>
    </row>
    <row r="317" spans="1:57" s="211" customFormat="1" ht="15.75" customHeight="1">
      <c r="A317" s="218"/>
      <c r="B317" s="219"/>
      <c r="C317" s="219"/>
      <c r="D317" s="219"/>
      <c r="E317" s="219"/>
      <c r="F317" s="219"/>
      <c r="G317" s="220"/>
      <c r="H317" s="12">
        <v>11</v>
      </c>
      <c r="I317" s="64" t="str">
        <f t="shared" si="144"/>
        <v>MR.KPBS.P095</v>
      </c>
      <c r="J317" s="64">
        <f t="shared" si="144"/>
        <v>0.70652355460000005</v>
      </c>
      <c r="K317" s="64">
        <f t="shared" si="144"/>
        <v>124.32316422149999</v>
      </c>
      <c r="L317" s="64" t="str">
        <f t="shared" si="144"/>
        <v>JL. RAYA POYOWA BESAR</v>
      </c>
      <c r="M317" s="64" t="str">
        <f t="shared" si="144"/>
        <v>SULAWESI UTARA</v>
      </c>
      <c r="N317" s="65" t="s">
        <v>105</v>
      </c>
      <c r="O317" s="66" t="s">
        <v>118</v>
      </c>
      <c r="P317" s="65" t="s">
        <v>119</v>
      </c>
      <c r="Q317" s="66">
        <v>95717</v>
      </c>
      <c r="R317" s="98"/>
      <c r="S317" s="99"/>
      <c r="T317" s="100"/>
      <c r="U317" s="99"/>
      <c r="V317" s="100"/>
      <c r="W317" s="97" t="s">
        <v>105</v>
      </c>
      <c r="X317" s="101"/>
      <c r="Y317" s="64" t="s">
        <v>106</v>
      </c>
      <c r="Z317" s="64" t="str">
        <f t="shared" si="126"/>
        <v>KELURAHAN POYOWA BESAR SATU KOTAMOBAGU</v>
      </c>
      <c r="AA317" s="102"/>
      <c r="AB317" s="102"/>
      <c r="AC317" s="102" t="s">
        <v>70</v>
      </c>
      <c r="AD317" s="64" t="str">
        <f t="shared" si="145"/>
        <v>POYOWA BESAR</v>
      </c>
      <c r="AE317" s="103"/>
      <c r="AF317" s="103"/>
      <c r="AG317" s="103"/>
      <c r="AH317" s="103"/>
      <c r="AI317" s="104"/>
      <c r="AJ317" s="11" t="s">
        <v>884</v>
      </c>
      <c r="AK317" s="102" t="s">
        <v>96</v>
      </c>
      <c r="AL317" s="106"/>
      <c r="AM317" s="106"/>
      <c r="AN317" s="106"/>
      <c r="AO317" s="106"/>
      <c r="AP317" s="106"/>
      <c r="AQ317" s="180" t="s">
        <v>97</v>
      </c>
      <c r="AR317" s="70" t="str">
        <f t="shared" si="125"/>
        <v>KTG.100.0101</v>
      </c>
      <c r="AS317" s="71" t="str">
        <f t="shared" si="142"/>
        <v>KPBS-2.020</v>
      </c>
      <c r="AT317" s="71" t="str">
        <f t="shared" si="142"/>
        <v>B15</v>
      </c>
      <c r="AU317" s="105"/>
      <c r="AV317" s="202">
        <v>0.70658790589999898</v>
      </c>
      <c r="AW317" s="202">
        <v>124.3236540245</v>
      </c>
      <c r="AX317" s="106" t="s">
        <v>98</v>
      </c>
      <c r="AY317" s="106" t="s">
        <v>94</v>
      </c>
      <c r="AZ317" s="106" t="s">
        <v>94</v>
      </c>
      <c r="BA317" s="73" t="s">
        <v>77</v>
      </c>
      <c r="BB317" s="106" t="s">
        <v>98</v>
      </c>
      <c r="BC317" s="106">
        <v>31</v>
      </c>
      <c r="BD317" s="106" t="s">
        <v>98</v>
      </c>
      <c r="BE317" s="211" t="str">
        <f t="shared" si="129"/>
        <v>710, POYOWA BESAR,</v>
      </c>
    </row>
    <row r="318" spans="1:57" s="211" customFormat="1" ht="15.75" customHeight="1">
      <c r="A318" s="218"/>
      <c r="B318" s="219"/>
      <c r="C318" s="219"/>
      <c r="D318" s="219"/>
      <c r="E318" s="219"/>
      <c r="F318" s="219"/>
      <c r="G318" s="220"/>
      <c r="H318" s="12">
        <v>12</v>
      </c>
      <c r="I318" s="64" t="str">
        <f t="shared" si="144"/>
        <v>MR.KPBS.P095</v>
      </c>
      <c r="J318" s="64">
        <f t="shared" si="144"/>
        <v>0.70652355460000005</v>
      </c>
      <c r="K318" s="64">
        <f t="shared" si="144"/>
        <v>124.32316422149999</v>
      </c>
      <c r="L318" s="64" t="str">
        <f t="shared" si="144"/>
        <v>JL. RAYA POYOWA BESAR</v>
      </c>
      <c r="M318" s="64" t="str">
        <f t="shared" si="144"/>
        <v>SULAWESI UTARA</v>
      </c>
      <c r="N318" s="65" t="s">
        <v>105</v>
      </c>
      <c r="O318" s="66" t="s">
        <v>118</v>
      </c>
      <c r="P318" s="65" t="s">
        <v>119</v>
      </c>
      <c r="Q318" s="66">
        <v>95717</v>
      </c>
      <c r="R318" s="98"/>
      <c r="S318" s="99"/>
      <c r="T318" s="100"/>
      <c r="U318" s="99"/>
      <c r="V318" s="100"/>
      <c r="W318" s="97" t="s">
        <v>105</v>
      </c>
      <c r="X318" s="101"/>
      <c r="Y318" s="64" t="s">
        <v>106</v>
      </c>
      <c r="Z318" s="64" t="str">
        <f t="shared" si="126"/>
        <v>KELURAHAN POYOWA BESAR SATU KOTAMOBAGU</v>
      </c>
      <c r="AA318" s="102"/>
      <c r="AB318" s="102"/>
      <c r="AC318" s="102" t="s">
        <v>70</v>
      </c>
      <c r="AD318" s="64" t="str">
        <f t="shared" si="145"/>
        <v>POYOWA BESAR</v>
      </c>
      <c r="AE318" s="103"/>
      <c r="AF318" s="103"/>
      <c r="AG318" s="103"/>
      <c r="AH318" s="103"/>
      <c r="AI318" s="104"/>
      <c r="AJ318" s="11" t="s">
        <v>885</v>
      </c>
      <c r="AK318" s="102" t="s">
        <v>96</v>
      </c>
      <c r="AL318" s="106"/>
      <c r="AM318" s="106"/>
      <c r="AN318" s="106"/>
      <c r="AO318" s="106"/>
      <c r="AP318" s="106"/>
      <c r="AQ318" s="180" t="s">
        <v>97</v>
      </c>
      <c r="AR318" s="70" t="str">
        <f t="shared" si="125"/>
        <v>KTG.100.0101</v>
      </c>
      <c r="AS318" s="71" t="str">
        <f t="shared" si="142"/>
        <v>KPBS-2.020</v>
      </c>
      <c r="AT318" s="71" t="str">
        <f t="shared" si="142"/>
        <v>B15</v>
      </c>
      <c r="AU318" s="105"/>
      <c r="AV318" s="202">
        <v>0.70624866799999997</v>
      </c>
      <c r="AW318" s="202">
        <v>124.3236474757</v>
      </c>
      <c r="AX318" s="106" t="s">
        <v>98</v>
      </c>
      <c r="AY318" s="106" t="s">
        <v>94</v>
      </c>
      <c r="AZ318" s="106" t="s">
        <v>94</v>
      </c>
      <c r="BA318" s="73" t="s">
        <v>77</v>
      </c>
      <c r="BB318" s="106" t="s">
        <v>98</v>
      </c>
      <c r="BC318" s="106">
        <v>31</v>
      </c>
      <c r="BD318" s="106" t="s">
        <v>98</v>
      </c>
      <c r="BE318" s="211" t="str">
        <f t="shared" si="129"/>
        <v>714, POYOWA BESAR,</v>
      </c>
    </row>
    <row r="319" spans="1:57" s="211" customFormat="1" ht="15.75" customHeight="1">
      <c r="A319" s="218"/>
      <c r="B319" s="219"/>
      <c r="C319" s="219"/>
      <c r="D319" s="219"/>
      <c r="E319" s="219"/>
      <c r="F319" s="219"/>
      <c r="G319" s="220"/>
      <c r="H319" s="12">
        <v>13</v>
      </c>
      <c r="I319" s="64" t="str">
        <f t="shared" si="144"/>
        <v>MR.KPBS.P095</v>
      </c>
      <c r="J319" s="64">
        <f t="shared" si="144"/>
        <v>0.70652355460000005</v>
      </c>
      <c r="K319" s="64">
        <f t="shared" si="144"/>
        <v>124.32316422149999</v>
      </c>
      <c r="L319" s="64" t="str">
        <f t="shared" si="144"/>
        <v>JL. RAYA POYOWA BESAR</v>
      </c>
      <c r="M319" s="64" t="str">
        <f t="shared" si="144"/>
        <v>SULAWESI UTARA</v>
      </c>
      <c r="N319" s="65" t="s">
        <v>105</v>
      </c>
      <c r="O319" s="66" t="s">
        <v>118</v>
      </c>
      <c r="P319" s="65" t="s">
        <v>119</v>
      </c>
      <c r="Q319" s="66">
        <v>95717</v>
      </c>
      <c r="R319" s="98"/>
      <c r="S319" s="99"/>
      <c r="T319" s="100"/>
      <c r="U319" s="99"/>
      <c r="V319" s="100"/>
      <c r="W319" s="97" t="s">
        <v>105</v>
      </c>
      <c r="X319" s="101"/>
      <c r="Y319" s="64" t="s">
        <v>106</v>
      </c>
      <c r="Z319" s="64" t="str">
        <f t="shared" si="126"/>
        <v>KELURAHAN POYOWA BESAR SATU KOTAMOBAGU</v>
      </c>
      <c r="AA319" s="102"/>
      <c r="AB319" s="102"/>
      <c r="AC319" s="102" t="s">
        <v>70</v>
      </c>
      <c r="AD319" s="64" t="str">
        <f t="shared" si="145"/>
        <v>POYOWA BESAR</v>
      </c>
      <c r="AE319" s="103"/>
      <c r="AF319" s="103"/>
      <c r="AG319" s="103"/>
      <c r="AH319" s="103"/>
      <c r="AI319" s="104"/>
      <c r="AJ319" s="11" t="s">
        <v>886</v>
      </c>
      <c r="AK319" s="181" t="s">
        <v>96</v>
      </c>
      <c r="AL319" s="181"/>
      <c r="AM319" s="181"/>
      <c r="AN319" s="181"/>
      <c r="AO319" s="181"/>
      <c r="AP319" s="181"/>
      <c r="AQ319" s="182" t="s">
        <v>97</v>
      </c>
      <c r="AR319" s="70" t="str">
        <f t="shared" si="125"/>
        <v>KTG.100.0101</v>
      </c>
      <c r="AS319" s="71" t="str">
        <f t="shared" si="142"/>
        <v>KPBS-2.020</v>
      </c>
      <c r="AT319" s="71" t="str">
        <f t="shared" si="142"/>
        <v>B15</v>
      </c>
      <c r="AU319" s="105"/>
      <c r="AV319" s="202">
        <v>0.70625975880000003</v>
      </c>
      <c r="AW319" s="202">
        <v>124.3235445665</v>
      </c>
      <c r="AX319" s="106" t="s">
        <v>98</v>
      </c>
      <c r="AY319" s="106" t="s">
        <v>94</v>
      </c>
      <c r="AZ319" s="106" t="s">
        <v>94</v>
      </c>
      <c r="BA319" s="73" t="s">
        <v>77</v>
      </c>
      <c r="BB319" s="106" t="s">
        <v>98</v>
      </c>
      <c r="BC319" s="106">
        <v>31</v>
      </c>
      <c r="BD319" s="106" t="s">
        <v>98</v>
      </c>
      <c r="BE319" s="211" t="str">
        <f t="shared" si="129"/>
        <v>713, POYOWA BESAR,</v>
      </c>
    </row>
    <row r="320" spans="1:57" s="211" customFormat="1" ht="15.75" customHeight="1">
      <c r="A320" s="218"/>
      <c r="B320" s="219"/>
      <c r="C320" s="219"/>
      <c r="D320" s="219"/>
      <c r="E320" s="219"/>
      <c r="F320" s="219"/>
      <c r="G320" s="220"/>
      <c r="H320" s="12">
        <v>14</v>
      </c>
      <c r="I320" s="64" t="str">
        <f t="shared" si="144"/>
        <v>MR.KPBS.P095</v>
      </c>
      <c r="J320" s="64">
        <f t="shared" si="144"/>
        <v>0.70652355460000005</v>
      </c>
      <c r="K320" s="64">
        <f t="shared" si="144"/>
        <v>124.32316422149999</v>
      </c>
      <c r="L320" s="64" t="str">
        <f t="shared" si="144"/>
        <v>JL. RAYA POYOWA BESAR</v>
      </c>
      <c r="M320" s="64" t="str">
        <f t="shared" si="144"/>
        <v>SULAWESI UTARA</v>
      </c>
      <c r="N320" s="65" t="s">
        <v>105</v>
      </c>
      <c r="O320" s="66" t="s">
        <v>118</v>
      </c>
      <c r="P320" s="65" t="s">
        <v>119</v>
      </c>
      <c r="Q320" s="66">
        <v>95717</v>
      </c>
      <c r="R320" s="98"/>
      <c r="S320" s="99"/>
      <c r="T320" s="100"/>
      <c r="U320" s="99"/>
      <c r="V320" s="100"/>
      <c r="W320" s="97" t="s">
        <v>105</v>
      </c>
      <c r="X320" s="101"/>
      <c r="Y320" s="64" t="s">
        <v>106</v>
      </c>
      <c r="Z320" s="64" t="str">
        <f t="shared" si="126"/>
        <v>KELURAHAN POYOWA BESAR SATU KOTAMOBAGU</v>
      </c>
      <c r="AA320" s="102"/>
      <c r="AB320" s="102"/>
      <c r="AC320" s="102" t="s">
        <v>70</v>
      </c>
      <c r="AD320" s="64" t="str">
        <f t="shared" si="145"/>
        <v>POYOWA BESAR</v>
      </c>
      <c r="AE320" s="103"/>
      <c r="AF320" s="103"/>
      <c r="AG320" s="103"/>
      <c r="AH320" s="103"/>
      <c r="AI320" s="104"/>
      <c r="AJ320" s="11" t="s">
        <v>887</v>
      </c>
      <c r="AK320" s="181" t="s">
        <v>96</v>
      </c>
      <c r="AL320" s="181"/>
      <c r="AM320" s="181"/>
      <c r="AN320" s="181"/>
      <c r="AO320" s="181"/>
      <c r="AP320" s="181"/>
      <c r="AQ320" s="182" t="s">
        <v>97</v>
      </c>
      <c r="AR320" s="70" t="str">
        <f t="shared" ref="AR320:AR391" si="146">AR319</f>
        <v>KTG.100.0101</v>
      </c>
      <c r="AS320" s="71" t="str">
        <f t="shared" si="142"/>
        <v>KPBS-2.020</v>
      </c>
      <c r="AT320" s="71" t="str">
        <f t="shared" si="142"/>
        <v>B15</v>
      </c>
      <c r="AU320" s="105"/>
      <c r="AV320" s="202">
        <v>0.70628429469999998</v>
      </c>
      <c r="AW320" s="202">
        <v>124.3234491417</v>
      </c>
      <c r="AX320" s="106" t="s">
        <v>98</v>
      </c>
      <c r="AY320" s="106" t="s">
        <v>94</v>
      </c>
      <c r="AZ320" s="106" t="s">
        <v>94</v>
      </c>
      <c r="BA320" s="73" t="s">
        <v>77</v>
      </c>
      <c r="BB320" s="106" t="s">
        <v>98</v>
      </c>
      <c r="BC320" s="106">
        <v>31</v>
      </c>
      <c r="BD320" s="106" t="s">
        <v>98</v>
      </c>
      <c r="BE320" s="211" t="str">
        <f t="shared" si="129"/>
        <v>712, POYOWA BESAR,</v>
      </c>
    </row>
    <row r="321" spans="1:57" s="211" customFormat="1" ht="15.75" customHeight="1">
      <c r="A321" s="209"/>
      <c r="B321" s="210"/>
      <c r="C321" s="210"/>
      <c r="D321" s="210"/>
      <c r="E321" s="210"/>
      <c r="F321" s="210"/>
      <c r="G321" s="248"/>
      <c r="H321" s="12">
        <v>15</v>
      </c>
      <c r="I321" s="64" t="str">
        <f t="shared" si="144"/>
        <v>MR.KPBS.P095</v>
      </c>
      <c r="J321" s="64">
        <f t="shared" si="144"/>
        <v>0.70652355460000005</v>
      </c>
      <c r="K321" s="64">
        <f t="shared" si="144"/>
        <v>124.32316422149999</v>
      </c>
      <c r="L321" s="64" t="str">
        <f t="shared" si="144"/>
        <v>JL. RAYA POYOWA BESAR</v>
      </c>
      <c r="M321" s="64" t="str">
        <f t="shared" si="144"/>
        <v>SULAWESI UTARA</v>
      </c>
      <c r="N321" s="65" t="s">
        <v>105</v>
      </c>
      <c r="O321" s="66" t="s">
        <v>118</v>
      </c>
      <c r="P321" s="65" t="s">
        <v>119</v>
      </c>
      <c r="Q321" s="66">
        <v>95717</v>
      </c>
      <c r="R321" s="98"/>
      <c r="S321" s="99"/>
      <c r="T321" s="100"/>
      <c r="U321" s="99"/>
      <c r="V321" s="100"/>
      <c r="W321" s="97" t="s">
        <v>105</v>
      </c>
      <c r="X321" s="101"/>
      <c r="Y321" s="64" t="s">
        <v>106</v>
      </c>
      <c r="Z321" s="64" t="str">
        <f t="shared" si="126"/>
        <v>KELURAHAN POYOWA BESAR SATU KOTAMOBAGU</v>
      </c>
      <c r="AA321" s="102"/>
      <c r="AB321" s="102"/>
      <c r="AC321" s="102" t="s">
        <v>70</v>
      </c>
      <c r="AD321" s="64" t="str">
        <f t="shared" si="145"/>
        <v>POYOWA BESAR</v>
      </c>
      <c r="AE321" s="103"/>
      <c r="AF321" s="103"/>
      <c r="AG321" s="103"/>
      <c r="AH321" s="103"/>
      <c r="AI321" s="104"/>
      <c r="AJ321" s="11" t="s">
        <v>888</v>
      </c>
      <c r="AK321" s="181" t="s">
        <v>96</v>
      </c>
      <c r="AL321" s="181"/>
      <c r="AM321" s="181"/>
      <c r="AN321" s="181"/>
      <c r="AO321" s="181"/>
      <c r="AP321" s="181"/>
      <c r="AQ321" s="182" t="s">
        <v>97</v>
      </c>
      <c r="AR321" s="70" t="str">
        <f t="shared" si="146"/>
        <v>KTG.100.0101</v>
      </c>
      <c r="AS321" s="71" t="str">
        <f t="shared" si="142"/>
        <v>KPBS-2.020</v>
      </c>
      <c r="AT321" s="71" t="str">
        <f t="shared" si="142"/>
        <v>B15</v>
      </c>
      <c r="AU321" s="105"/>
      <c r="AV321" s="202">
        <v>0.70626460629999999</v>
      </c>
      <c r="AW321" s="202">
        <v>124.3233462325</v>
      </c>
      <c r="AX321" s="106" t="s">
        <v>98</v>
      </c>
      <c r="AY321" s="106" t="s">
        <v>94</v>
      </c>
      <c r="AZ321" s="106" t="s">
        <v>94</v>
      </c>
      <c r="BA321" s="73" t="s">
        <v>77</v>
      </c>
      <c r="BB321" s="106" t="s">
        <v>98</v>
      </c>
      <c r="BC321" s="106">
        <v>31</v>
      </c>
      <c r="BD321" s="106" t="s">
        <v>98</v>
      </c>
      <c r="BE321" s="211" t="str">
        <f t="shared" ref="BE321" si="147">AJ321&amp;", "&amp;AD321&amp;","&amp;AI321</f>
        <v>711, POYOWA BESAR,</v>
      </c>
    </row>
    <row r="322" spans="1:57" s="211" customFormat="1" ht="15.75" customHeight="1">
      <c r="A322" s="152" t="s">
        <v>100</v>
      </c>
      <c r="B322" s="152">
        <f>B307+1</f>
        <v>24</v>
      </c>
      <c r="C322" s="153" t="s">
        <v>99</v>
      </c>
      <c r="D322" s="153" t="s">
        <v>351</v>
      </c>
      <c r="E322" s="153">
        <v>4</v>
      </c>
      <c r="F322" s="154">
        <v>37</v>
      </c>
      <c r="G322" s="213" t="s">
        <v>103</v>
      </c>
      <c r="H322" s="155">
        <v>1</v>
      </c>
      <c r="I322" s="156" t="s">
        <v>969</v>
      </c>
      <c r="J322" s="157">
        <v>0.70546432140000004</v>
      </c>
      <c r="K322" s="157">
        <v>124.3231118473</v>
      </c>
      <c r="L322" s="158" t="s">
        <v>116</v>
      </c>
      <c r="M322" s="159" t="str">
        <f t="shared" ref="M322" si="148">M320</f>
        <v>SULAWESI UTARA</v>
      </c>
      <c r="N322" s="160" t="s">
        <v>105</v>
      </c>
      <c r="O322" s="161" t="s">
        <v>118</v>
      </c>
      <c r="P322" s="160" t="s">
        <v>119</v>
      </c>
      <c r="Q322" s="161">
        <v>95717</v>
      </c>
      <c r="R322" s="162"/>
      <c r="S322" s="163"/>
      <c r="T322" s="164"/>
      <c r="U322" s="163"/>
      <c r="V322" s="164"/>
      <c r="W322" s="165" t="s">
        <v>105</v>
      </c>
      <c r="X322" s="157"/>
      <c r="Y322" s="159" t="s">
        <v>106</v>
      </c>
      <c r="Z322" s="159" t="str">
        <f>Z320</f>
        <v>KELURAHAN POYOWA BESAR SATU KOTAMOBAGU</v>
      </c>
      <c r="AA322" s="166"/>
      <c r="AB322" s="166"/>
      <c r="AC322" s="166" t="s">
        <v>70</v>
      </c>
      <c r="AD322" s="158" t="s">
        <v>119</v>
      </c>
      <c r="AE322" s="167"/>
      <c r="AF322" s="167"/>
      <c r="AG322" s="167"/>
      <c r="AH322" s="167"/>
      <c r="AI322" s="168"/>
      <c r="AJ322" s="169" t="s">
        <v>889</v>
      </c>
      <c r="AK322" s="166" t="s">
        <v>96</v>
      </c>
      <c r="AL322" s="173"/>
      <c r="AM322" s="199"/>
      <c r="AN322" s="199"/>
      <c r="AO322" s="199"/>
      <c r="AP322" s="199"/>
      <c r="AQ322" s="200" t="s">
        <v>97</v>
      </c>
      <c r="AR322" s="170" t="str">
        <f>AR320</f>
        <v>KTG.100.0101</v>
      </c>
      <c r="AS322" s="171" t="str">
        <f>AS307</f>
        <v>KPBS-2.020</v>
      </c>
      <c r="AT322" s="171" t="str">
        <f>G322</f>
        <v>B16</v>
      </c>
      <c r="AU322" s="172"/>
      <c r="AV322" s="206">
        <v>0.70580389870000004</v>
      </c>
      <c r="AW322" s="206">
        <v>124.3231664132</v>
      </c>
      <c r="AX322" s="173" t="s">
        <v>98</v>
      </c>
      <c r="AY322" s="173" t="s">
        <v>94</v>
      </c>
      <c r="AZ322" s="173" t="s">
        <v>94</v>
      </c>
      <c r="BA322" s="174" t="s">
        <v>77</v>
      </c>
      <c r="BB322" s="173" t="s">
        <v>98</v>
      </c>
      <c r="BC322" s="173">
        <v>31</v>
      </c>
      <c r="BD322" s="173" t="s">
        <v>98</v>
      </c>
      <c r="BE322" s="211" t="str">
        <f t="shared" si="129"/>
        <v>716, POYOWA BESAR,</v>
      </c>
    </row>
    <row r="323" spans="1:57" s="211" customFormat="1" ht="15.75" customHeight="1">
      <c r="A323" s="21"/>
      <c r="B323" s="21"/>
      <c r="C323" s="22" t="s">
        <v>99</v>
      </c>
      <c r="D323" s="22" t="s">
        <v>351</v>
      </c>
      <c r="E323" s="153">
        <v>4</v>
      </c>
      <c r="F323" s="6">
        <f>F322+1</f>
        <v>38</v>
      </c>
      <c r="G323" s="213"/>
      <c r="H323" s="12">
        <v>2</v>
      </c>
      <c r="I323" s="64" t="str">
        <f t="shared" ref="I323:M329" si="149">I322</f>
        <v>MR.KPBS.P099</v>
      </c>
      <c r="J323" s="64">
        <f t="shared" si="149"/>
        <v>0.70546432140000004</v>
      </c>
      <c r="K323" s="64">
        <f t="shared" si="149"/>
        <v>124.3231118473</v>
      </c>
      <c r="L323" s="64" t="str">
        <f t="shared" si="149"/>
        <v>JL. RAYA POYOWA BESAR</v>
      </c>
      <c r="M323" s="64" t="str">
        <f t="shared" si="149"/>
        <v>SULAWESI UTARA</v>
      </c>
      <c r="N323" s="65" t="s">
        <v>105</v>
      </c>
      <c r="O323" s="66" t="s">
        <v>118</v>
      </c>
      <c r="P323" s="65" t="s">
        <v>119</v>
      </c>
      <c r="Q323" s="66">
        <v>95717</v>
      </c>
      <c r="R323" s="98"/>
      <c r="S323" s="99"/>
      <c r="T323" s="100"/>
      <c r="U323" s="99"/>
      <c r="V323" s="100"/>
      <c r="W323" s="97" t="s">
        <v>105</v>
      </c>
      <c r="X323" s="101"/>
      <c r="Y323" s="64" t="s">
        <v>106</v>
      </c>
      <c r="Z323" s="64" t="str">
        <f t="shared" ref="Z323:Z392" si="150">Z322</f>
        <v>KELURAHAN POYOWA BESAR SATU KOTAMOBAGU</v>
      </c>
      <c r="AA323" s="102"/>
      <c r="AB323" s="102"/>
      <c r="AC323" s="102" t="s">
        <v>70</v>
      </c>
      <c r="AD323" s="64" t="str">
        <f t="shared" ref="AD323:AD329" si="151">AD322</f>
        <v>POYOWA BESAR</v>
      </c>
      <c r="AE323" s="103"/>
      <c r="AF323" s="103"/>
      <c r="AG323" s="103"/>
      <c r="AH323" s="103"/>
      <c r="AI323" s="104"/>
      <c r="AJ323" s="11" t="s">
        <v>890</v>
      </c>
      <c r="AK323" s="102" t="s">
        <v>96</v>
      </c>
      <c r="AL323" s="106"/>
      <c r="AM323" s="192"/>
      <c r="AN323" s="192"/>
      <c r="AO323" s="192"/>
      <c r="AP323" s="192"/>
      <c r="AQ323" s="180" t="s">
        <v>97</v>
      </c>
      <c r="AR323" s="70" t="str">
        <f t="shared" si="146"/>
        <v>KTG.100.0101</v>
      </c>
      <c r="AS323" s="71" t="str">
        <f t="shared" si="142"/>
        <v>KPBS-2.020</v>
      </c>
      <c r="AT323" s="71" t="str">
        <f t="shared" si="142"/>
        <v>B16</v>
      </c>
      <c r="AU323" s="105"/>
      <c r="AV323" s="202">
        <v>0.70587532789999996</v>
      </c>
      <c r="AW323" s="202">
        <v>124.3231504698</v>
      </c>
      <c r="AX323" s="106" t="s">
        <v>98</v>
      </c>
      <c r="AY323" s="106" t="s">
        <v>94</v>
      </c>
      <c r="AZ323" s="106" t="s">
        <v>94</v>
      </c>
      <c r="BA323" s="73" t="s">
        <v>77</v>
      </c>
      <c r="BB323" s="106" t="s">
        <v>98</v>
      </c>
      <c r="BC323" s="106">
        <v>31</v>
      </c>
      <c r="BD323" s="106" t="s">
        <v>98</v>
      </c>
      <c r="BE323" s="211" t="str">
        <f t="shared" si="129"/>
        <v>715, POYOWA BESAR,</v>
      </c>
    </row>
    <row r="324" spans="1:57" s="211" customFormat="1" ht="15.75" customHeight="1">
      <c r="A324" s="215"/>
      <c r="B324" s="216"/>
      <c r="C324" s="216"/>
      <c r="D324" s="216"/>
      <c r="E324" s="216"/>
      <c r="F324" s="216"/>
      <c r="G324" s="217"/>
      <c r="H324" s="12">
        <v>3</v>
      </c>
      <c r="I324" s="64" t="str">
        <f t="shared" si="149"/>
        <v>MR.KPBS.P099</v>
      </c>
      <c r="J324" s="64">
        <f t="shared" si="149"/>
        <v>0.70546432140000004</v>
      </c>
      <c r="K324" s="64">
        <f t="shared" si="149"/>
        <v>124.3231118473</v>
      </c>
      <c r="L324" s="64" t="str">
        <f t="shared" si="149"/>
        <v>JL. RAYA POYOWA BESAR</v>
      </c>
      <c r="M324" s="64" t="str">
        <f t="shared" si="149"/>
        <v>SULAWESI UTARA</v>
      </c>
      <c r="N324" s="65" t="s">
        <v>105</v>
      </c>
      <c r="O324" s="66" t="s">
        <v>118</v>
      </c>
      <c r="P324" s="65" t="s">
        <v>119</v>
      </c>
      <c r="Q324" s="66">
        <v>95717</v>
      </c>
      <c r="R324" s="98"/>
      <c r="S324" s="99"/>
      <c r="T324" s="100"/>
      <c r="U324" s="99"/>
      <c r="V324" s="100"/>
      <c r="W324" s="97" t="s">
        <v>105</v>
      </c>
      <c r="X324" s="101"/>
      <c r="Y324" s="64" t="s">
        <v>106</v>
      </c>
      <c r="Z324" s="64" t="str">
        <f t="shared" si="150"/>
        <v>KELURAHAN POYOWA BESAR SATU KOTAMOBAGU</v>
      </c>
      <c r="AA324" s="102"/>
      <c r="AB324" s="102"/>
      <c r="AC324" s="102" t="s">
        <v>70</v>
      </c>
      <c r="AD324" s="64" t="str">
        <f t="shared" si="151"/>
        <v>POYOWA BESAR</v>
      </c>
      <c r="AE324" s="103"/>
      <c r="AF324" s="103"/>
      <c r="AG324" s="103"/>
      <c r="AH324" s="103"/>
      <c r="AI324" s="104"/>
      <c r="AJ324" s="11" t="s">
        <v>891</v>
      </c>
      <c r="AK324" s="102" t="s">
        <v>96</v>
      </c>
      <c r="AL324" s="106"/>
      <c r="AM324" s="192"/>
      <c r="AN324" s="192"/>
      <c r="AO324" s="192"/>
      <c r="AP324" s="192"/>
      <c r="AQ324" s="180" t="s">
        <v>97</v>
      </c>
      <c r="AR324" s="70" t="str">
        <f t="shared" si="146"/>
        <v>KTG.100.0101</v>
      </c>
      <c r="AS324" s="71" t="str">
        <f t="shared" si="142"/>
        <v>KPBS-2.020</v>
      </c>
      <c r="AT324" s="71" t="str">
        <f t="shared" si="142"/>
        <v>B16</v>
      </c>
      <c r="AU324" s="105"/>
      <c r="AV324" s="202">
        <v>0.70569314920000004</v>
      </c>
      <c r="AW324" s="202">
        <v>124.3232226838</v>
      </c>
      <c r="AX324" s="106" t="s">
        <v>98</v>
      </c>
      <c r="AY324" s="106" t="s">
        <v>94</v>
      </c>
      <c r="AZ324" s="106" t="s">
        <v>94</v>
      </c>
      <c r="BA324" s="73" t="s">
        <v>77</v>
      </c>
      <c r="BB324" s="106" t="s">
        <v>98</v>
      </c>
      <c r="BC324" s="106">
        <v>31</v>
      </c>
      <c r="BD324" s="106" t="s">
        <v>98</v>
      </c>
      <c r="BE324" s="211" t="str">
        <f t="shared" ref="BE324:BE373" si="152">AJ324&amp;", "&amp;AD324&amp;","&amp;AI324</f>
        <v>717, POYOWA BESAR,</v>
      </c>
    </row>
    <row r="325" spans="1:57" s="211" customFormat="1" ht="15.75" customHeight="1">
      <c r="A325" s="218"/>
      <c r="B325" s="219"/>
      <c r="C325" s="219"/>
      <c r="D325" s="219"/>
      <c r="E325" s="219"/>
      <c r="F325" s="219"/>
      <c r="G325" s="220"/>
      <c r="H325" s="12">
        <v>4</v>
      </c>
      <c r="I325" s="64" t="str">
        <f t="shared" si="149"/>
        <v>MR.KPBS.P099</v>
      </c>
      <c r="J325" s="64">
        <f t="shared" si="149"/>
        <v>0.70546432140000004</v>
      </c>
      <c r="K325" s="64">
        <f t="shared" si="149"/>
        <v>124.3231118473</v>
      </c>
      <c r="L325" s="64" t="str">
        <f t="shared" si="149"/>
        <v>JL. RAYA POYOWA BESAR</v>
      </c>
      <c r="M325" s="64" t="str">
        <f t="shared" si="149"/>
        <v>SULAWESI UTARA</v>
      </c>
      <c r="N325" s="65" t="s">
        <v>105</v>
      </c>
      <c r="O325" s="66" t="s">
        <v>118</v>
      </c>
      <c r="P325" s="65" t="s">
        <v>119</v>
      </c>
      <c r="Q325" s="66">
        <v>95717</v>
      </c>
      <c r="R325" s="98"/>
      <c r="S325" s="99"/>
      <c r="T325" s="100"/>
      <c r="U325" s="99"/>
      <c r="V325" s="100"/>
      <c r="W325" s="97" t="s">
        <v>105</v>
      </c>
      <c r="X325" s="101"/>
      <c r="Y325" s="64" t="s">
        <v>106</v>
      </c>
      <c r="Z325" s="64" t="str">
        <f t="shared" si="150"/>
        <v>KELURAHAN POYOWA BESAR SATU KOTAMOBAGU</v>
      </c>
      <c r="AA325" s="102"/>
      <c r="AB325" s="102"/>
      <c r="AC325" s="102" t="s">
        <v>70</v>
      </c>
      <c r="AD325" s="64" t="str">
        <f t="shared" si="151"/>
        <v>POYOWA BESAR</v>
      </c>
      <c r="AE325" s="103"/>
      <c r="AF325" s="103"/>
      <c r="AG325" s="103"/>
      <c r="AH325" s="103"/>
      <c r="AI325" s="104"/>
      <c r="AJ325" s="11" t="s">
        <v>892</v>
      </c>
      <c r="AK325" s="102" t="s">
        <v>96</v>
      </c>
      <c r="AL325" s="106"/>
      <c r="AM325" s="192"/>
      <c r="AN325" s="192"/>
      <c r="AO325" s="192"/>
      <c r="AP325" s="192"/>
      <c r="AQ325" s="180" t="s">
        <v>97</v>
      </c>
      <c r="AR325" s="70" t="str">
        <f t="shared" si="146"/>
        <v>KTG.100.0101</v>
      </c>
      <c r="AS325" s="71" t="str">
        <f t="shared" si="142"/>
        <v>KPBS-2.020</v>
      </c>
      <c r="AT325" s="71" t="str">
        <f t="shared" si="142"/>
        <v>B16</v>
      </c>
      <c r="AU325" s="105"/>
      <c r="AV325" s="202">
        <v>0.70551034239999999</v>
      </c>
      <c r="AW325" s="202">
        <v>124.3233605949</v>
      </c>
      <c r="AX325" s="106" t="s">
        <v>98</v>
      </c>
      <c r="AY325" s="106" t="s">
        <v>94</v>
      </c>
      <c r="AZ325" s="106" t="s">
        <v>94</v>
      </c>
      <c r="BA325" s="73" t="s">
        <v>77</v>
      </c>
      <c r="BB325" s="106" t="s">
        <v>98</v>
      </c>
      <c r="BC325" s="106">
        <v>31</v>
      </c>
      <c r="BD325" s="106" t="s">
        <v>98</v>
      </c>
      <c r="BE325" s="211" t="str">
        <f t="shared" si="152"/>
        <v>720, POYOWA BESAR,</v>
      </c>
    </row>
    <row r="326" spans="1:57" s="211" customFormat="1" ht="15.75" customHeight="1">
      <c r="A326" s="218"/>
      <c r="B326" s="219"/>
      <c r="C326" s="219"/>
      <c r="D326" s="219"/>
      <c r="E326" s="219"/>
      <c r="F326" s="219"/>
      <c r="G326" s="220"/>
      <c r="H326" s="12">
        <v>5</v>
      </c>
      <c r="I326" s="64" t="str">
        <f t="shared" si="149"/>
        <v>MR.KPBS.P099</v>
      </c>
      <c r="J326" s="64">
        <f t="shared" si="149"/>
        <v>0.70546432140000004</v>
      </c>
      <c r="K326" s="64">
        <f t="shared" si="149"/>
        <v>124.3231118473</v>
      </c>
      <c r="L326" s="64" t="str">
        <f t="shared" si="149"/>
        <v>JL. RAYA POYOWA BESAR</v>
      </c>
      <c r="M326" s="64" t="str">
        <f t="shared" si="149"/>
        <v>SULAWESI UTARA</v>
      </c>
      <c r="N326" s="65" t="s">
        <v>105</v>
      </c>
      <c r="O326" s="66" t="s">
        <v>118</v>
      </c>
      <c r="P326" s="65" t="s">
        <v>119</v>
      </c>
      <c r="Q326" s="66">
        <v>95717</v>
      </c>
      <c r="R326" s="98"/>
      <c r="S326" s="99"/>
      <c r="T326" s="100"/>
      <c r="U326" s="99"/>
      <c r="V326" s="100"/>
      <c r="W326" s="97" t="s">
        <v>105</v>
      </c>
      <c r="X326" s="101"/>
      <c r="Y326" s="64" t="s">
        <v>106</v>
      </c>
      <c r="Z326" s="64" t="str">
        <f t="shared" si="150"/>
        <v>KELURAHAN POYOWA BESAR SATU KOTAMOBAGU</v>
      </c>
      <c r="AA326" s="102"/>
      <c r="AB326" s="102"/>
      <c r="AC326" s="102" t="s">
        <v>70</v>
      </c>
      <c r="AD326" s="64" t="str">
        <f t="shared" si="151"/>
        <v>POYOWA BESAR</v>
      </c>
      <c r="AE326" s="103"/>
      <c r="AF326" s="103"/>
      <c r="AG326" s="103"/>
      <c r="AH326" s="103"/>
      <c r="AI326" s="104"/>
      <c r="AJ326" s="11" t="s">
        <v>893</v>
      </c>
      <c r="AK326" s="102" t="s">
        <v>96</v>
      </c>
      <c r="AL326" s="106"/>
      <c r="AM326" s="192"/>
      <c r="AN326" s="192"/>
      <c r="AO326" s="192"/>
      <c r="AP326" s="192"/>
      <c r="AQ326" s="180" t="s">
        <v>97</v>
      </c>
      <c r="AR326" s="70" t="str">
        <f t="shared" si="146"/>
        <v>KTG.100.0101</v>
      </c>
      <c r="AS326" s="71" t="str">
        <f t="shared" si="142"/>
        <v>KPBS-2.020</v>
      </c>
      <c r="AT326" s="71" t="str">
        <f t="shared" si="142"/>
        <v>B16</v>
      </c>
      <c r="AU326" s="105"/>
      <c r="AV326" s="202">
        <v>0.70558303219999996</v>
      </c>
      <c r="AW326" s="202">
        <v>124.3232011134</v>
      </c>
      <c r="AX326" s="106" t="s">
        <v>98</v>
      </c>
      <c r="AY326" s="106" t="s">
        <v>94</v>
      </c>
      <c r="AZ326" s="106" t="s">
        <v>94</v>
      </c>
      <c r="BA326" s="73" t="s">
        <v>77</v>
      </c>
      <c r="BB326" s="106" t="s">
        <v>98</v>
      </c>
      <c r="BC326" s="106">
        <v>31</v>
      </c>
      <c r="BD326" s="106" t="s">
        <v>98</v>
      </c>
      <c r="BE326" s="211" t="str">
        <f t="shared" si="152"/>
        <v>718, POYOWA BESAR,</v>
      </c>
    </row>
    <row r="327" spans="1:57" s="211" customFormat="1" ht="15.75" customHeight="1">
      <c r="A327" s="218"/>
      <c r="B327" s="219"/>
      <c r="C327" s="219"/>
      <c r="D327" s="219"/>
      <c r="E327" s="219"/>
      <c r="F327" s="219"/>
      <c r="G327" s="220"/>
      <c r="H327" s="12">
        <v>6</v>
      </c>
      <c r="I327" s="64" t="str">
        <f t="shared" si="149"/>
        <v>MR.KPBS.P099</v>
      </c>
      <c r="J327" s="64">
        <f t="shared" si="149"/>
        <v>0.70546432140000004</v>
      </c>
      <c r="K327" s="64">
        <f t="shared" si="149"/>
        <v>124.3231118473</v>
      </c>
      <c r="L327" s="64" t="str">
        <f t="shared" si="149"/>
        <v>JL. RAYA POYOWA BESAR</v>
      </c>
      <c r="M327" s="64" t="str">
        <f t="shared" si="149"/>
        <v>SULAWESI UTARA</v>
      </c>
      <c r="N327" s="65" t="s">
        <v>105</v>
      </c>
      <c r="O327" s="66" t="s">
        <v>118</v>
      </c>
      <c r="P327" s="65" t="s">
        <v>119</v>
      </c>
      <c r="Q327" s="66">
        <v>95717</v>
      </c>
      <c r="R327" s="98"/>
      <c r="S327" s="99"/>
      <c r="T327" s="100"/>
      <c r="U327" s="99"/>
      <c r="V327" s="100"/>
      <c r="W327" s="97" t="s">
        <v>105</v>
      </c>
      <c r="X327" s="101"/>
      <c r="Y327" s="64" t="s">
        <v>106</v>
      </c>
      <c r="Z327" s="64" t="str">
        <f t="shared" si="150"/>
        <v>KELURAHAN POYOWA BESAR SATU KOTAMOBAGU</v>
      </c>
      <c r="AA327" s="102"/>
      <c r="AB327" s="102"/>
      <c r="AC327" s="102" t="s">
        <v>70</v>
      </c>
      <c r="AD327" s="64" t="str">
        <f t="shared" si="151"/>
        <v>POYOWA BESAR</v>
      </c>
      <c r="AE327" s="103"/>
      <c r="AF327" s="103"/>
      <c r="AG327" s="103"/>
      <c r="AH327" s="103"/>
      <c r="AI327" s="104"/>
      <c r="AJ327" s="11" t="s">
        <v>894</v>
      </c>
      <c r="AK327" s="102" t="s">
        <v>96</v>
      </c>
      <c r="AL327" s="106"/>
      <c r="AM327" s="192"/>
      <c r="AN327" s="192"/>
      <c r="AO327" s="192"/>
      <c r="AP327" s="192"/>
      <c r="AQ327" s="180" t="s">
        <v>97</v>
      </c>
      <c r="AR327" s="70" t="str">
        <f t="shared" si="146"/>
        <v>KTG.100.0101</v>
      </c>
      <c r="AS327" s="71" t="str">
        <f t="shared" si="142"/>
        <v>KPBS-2.020</v>
      </c>
      <c r="AT327" s="71" t="str">
        <f t="shared" si="142"/>
        <v>B16</v>
      </c>
      <c r="AU327" s="105"/>
      <c r="AV327" s="202">
        <v>0.70548434719999997</v>
      </c>
      <c r="AW327" s="202">
        <v>124.3232133055</v>
      </c>
      <c r="AX327" s="106" t="s">
        <v>98</v>
      </c>
      <c r="AY327" s="106" t="s">
        <v>94</v>
      </c>
      <c r="AZ327" s="106" t="s">
        <v>94</v>
      </c>
      <c r="BA327" s="73" t="s">
        <v>77</v>
      </c>
      <c r="BB327" s="106" t="s">
        <v>98</v>
      </c>
      <c r="BC327" s="106">
        <v>31</v>
      </c>
      <c r="BD327" s="106" t="s">
        <v>98</v>
      </c>
      <c r="BE327" s="211" t="str">
        <f t="shared" si="152"/>
        <v>719, POYOWA BESAR,</v>
      </c>
    </row>
    <row r="328" spans="1:57" s="211" customFormat="1" ht="15.75" customHeight="1">
      <c r="A328" s="218"/>
      <c r="B328" s="219"/>
      <c r="C328" s="219"/>
      <c r="D328" s="219"/>
      <c r="E328" s="219"/>
      <c r="F328" s="219"/>
      <c r="G328" s="220"/>
      <c r="H328" s="12">
        <v>7</v>
      </c>
      <c r="I328" s="64" t="str">
        <f t="shared" si="149"/>
        <v>MR.KPBS.P099</v>
      </c>
      <c r="J328" s="64">
        <f t="shared" si="149"/>
        <v>0.70546432140000004</v>
      </c>
      <c r="K328" s="64">
        <f t="shared" si="149"/>
        <v>124.3231118473</v>
      </c>
      <c r="L328" s="64" t="str">
        <f t="shared" si="149"/>
        <v>JL. RAYA POYOWA BESAR</v>
      </c>
      <c r="M328" s="64" t="str">
        <f t="shared" si="149"/>
        <v>SULAWESI UTARA</v>
      </c>
      <c r="N328" s="65" t="s">
        <v>105</v>
      </c>
      <c r="O328" s="66" t="s">
        <v>118</v>
      </c>
      <c r="P328" s="65" t="s">
        <v>119</v>
      </c>
      <c r="Q328" s="66">
        <v>95717</v>
      </c>
      <c r="R328" s="98"/>
      <c r="S328" s="99"/>
      <c r="T328" s="100"/>
      <c r="U328" s="99"/>
      <c r="V328" s="100"/>
      <c r="W328" s="97" t="s">
        <v>105</v>
      </c>
      <c r="X328" s="101"/>
      <c r="Y328" s="64" t="s">
        <v>106</v>
      </c>
      <c r="Z328" s="64" t="str">
        <f t="shared" si="150"/>
        <v>KELURAHAN POYOWA BESAR SATU KOTAMOBAGU</v>
      </c>
      <c r="AA328" s="102"/>
      <c r="AB328" s="102"/>
      <c r="AC328" s="102" t="s">
        <v>70</v>
      </c>
      <c r="AD328" s="64" t="str">
        <f t="shared" si="151"/>
        <v>POYOWA BESAR</v>
      </c>
      <c r="AE328" s="103"/>
      <c r="AF328" s="103"/>
      <c r="AG328" s="103"/>
      <c r="AH328" s="103"/>
      <c r="AI328" s="104"/>
      <c r="AJ328" s="11" t="s">
        <v>895</v>
      </c>
      <c r="AK328" s="102" t="s">
        <v>96</v>
      </c>
      <c r="AL328" s="106"/>
      <c r="AM328" s="192"/>
      <c r="AN328" s="192"/>
      <c r="AO328" s="192"/>
      <c r="AP328" s="192"/>
      <c r="AQ328" s="180" t="s">
        <v>97</v>
      </c>
      <c r="AR328" s="70" t="str">
        <f t="shared" si="146"/>
        <v>KTG.100.0101</v>
      </c>
      <c r="AS328" s="71" t="str">
        <f t="shared" si="142"/>
        <v>KPBS-2.020</v>
      </c>
      <c r="AT328" s="71" t="str">
        <f t="shared" si="142"/>
        <v>B16</v>
      </c>
      <c r="AU328" s="105"/>
      <c r="AV328" s="202">
        <v>0.70532440429999999</v>
      </c>
      <c r="AW328" s="202">
        <v>124.32320116139999</v>
      </c>
      <c r="AX328" s="106" t="s">
        <v>98</v>
      </c>
      <c r="AY328" s="106" t="s">
        <v>94</v>
      </c>
      <c r="AZ328" s="106" t="s">
        <v>94</v>
      </c>
      <c r="BA328" s="73" t="s">
        <v>77</v>
      </c>
      <c r="BB328" s="106" t="s">
        <v>98</v>
      </c>
      <c r="BC328" s="106">
        <v>31</v>
      </c>
      <c r="BD328" s="106" t="s">
        <v>98</v>
      </c>
      <c r="BE328" s="211" t="str">
        <f t="shared" si="152"/>
        <v>721, POYOWA BESAR,</v>
      </c>
    </row>
    <row r="329" spans="1:57" s="211" customFormat="1" ht="15.75" customHeight="1">
      <c r="A329" s="218"/>
      <c r="B329" s="219"/>
      <c r="C329" s="219"/>
      <c r="D329" s="219"/>
      <c r="E329" s="219"/>
      <c r="F329" s="219"/>
      <c r="G329" s="220"/>
      <c r="H329" s="12">
        <v>8</v>
      </c>
      <c r="I329" s="64" t="str">
        <f t="shared" si="149"/>
        <v>MR.KPBS.P099</v>
      </c>
      <c r="J329" s="64">
        <f t="shared" si="149"/>
        <v>0.70546432140000004</v>
      </c>
      <c r="K329" s="64">
        <f t="shared" si="149"/>
        <v>124.3231118473</v>
      </c>
      <c r="L329" s="64" t="str">
        <f t="shared" si="149"/>
        <v>JL. RAYA POYOWA BESAR</v>
      </c>
      <c r="M329" s="64" t="str">
        <f t="shared" si="149"/>
        <v>SULAWESI UTARA</v>
      </c>
      <c r="N329" s="65" t="s">
        <v>105</v>
      </c>
      <c r="O329" s="66" t="s">
        <v>118</v>
      </c>
      <c r="P329" s="65" t="s">
        <v>119</v>
      </c>
      <c r="Q329" s="66">
        <v>95717</v>
      </c>
      <c r="R329" s="98"/>
      <c r="S329" s="99"/>
      <c r="T329" s="100"/>
      <c r="U329" s="99"/>
      <c r="V329" s="100"/>
      <c r="W329" s="97" t="s">
        <v>105</v>
      </c>
      <c r="X329" s="101"/>
      <c r="Y329" s="64" t="s">
        <v>106</v>
      </c>
      <c r="Z329" s="64" t="str">
        <f t="shared" si="150"/>
        <v>KELURAHAN POYOWA BESAR SATU KOTAMOBAGU</v>
      </c>
      <c r="AA329" s="102"/>
      <c r="AB329" s="102"/>
      <c r="AC329" s="102" t="s">
        <v>70</v>
      </c>
      <c r="AD329" s="64" t="str">
        <f t="shared" si="151"/>
        <v>POYOWA BESAR</v>
      </c>
      <c r="AE329" s="103"/>
      <c r="AF329" s="103"/>
      <c r="AG329" s="103"/>
      <c r="AH329" s="103"/>
      <c r="AI329" s="104"/>
      <c r="AJ329" s="11" t="s">
        <v>896</v>
      </c>
      <c r="AK329" s="102" t="s">
        <v>96</v>
      </c>
      <c r="AL329" s="106"/>
      <c r="AM329" s="192"/>
      <c r="AN329" s="192"/>
      <c r="AO329" s="192"/>
      <c r="AP329" s="192"/>
      <c r="AQ329" s="180" t="s">
        <v>97</v>
      </c>
      <c r="AR329" s="70" t="str">
        <f t="shared" si="146"/>
        <v>KTG.100.0101</v>
      </c>
      <c r="AS329" s="71" t="str">
        <f t="shared" si="142"/>
        <v>KPBS-2.020</v>
      </c>
      <c r="AT329" s="71" t="str">
        <f t="shared" si="142"/>
        <v>B16</v>
      </c>
      <c r="AU329" s="105"/>
      <c r="AV329" s="202">
        <v>0.70519594094308102</v>
      </c>
      <c r="AW329" s="202">
        <v>124.32325250188801</v>
      </c>
      <c r="AX329" s="106" t="s">
        <v>98</v>
      </c>
      <c r="AY329" s="106" t="s">
        <v>94</v>
      </c>
      <c r="AZ329" s="106" t="s">
        <v>94</v>
      </c>
      <c r="BA329" s="73" t="s">
        <v>77</v>
      </c>
      <c r="BB329" s="106" t="s">
        <v>98</v>
      </c>
      <c r="BC329" s="106">
        <v>31</v>
      </c>
      <c r="BD329" s="106" t="s">
        <v>98</v>
      </c>
      <c r="BE329" s="211" t="str">
        <f t="shared" si="152"/>
        <v>721A, POYOWA BESAR,</v>
      </c>
    </row>
    <row r="330" spans="1:57" s="211" customFormat="1" ht="15.75" customHeight="1">
      <c r="A330" s="218"/>
      <c r="B330" s="219"/>
      <c r="C330" s="219"/>
      <c r="D330" s="219"/>
      <c r="E330" s="219"/>
      <c r="F330" s="219"/>
      <c r="G330" s="220"/>
      <c r="H330" s="12">
        <v>9</v>
      </c>
      <c r="I330" s="64" t="str">
        <f t="shared" ref="I330:L330" si="153">I327</f>
        <v>MR.KPBS.P099</v>
      </c>
      <c r="J330" s="64">
        <f t="shared" si="153"/>
        <v>0.70546432140000004</v>
      </c>
      <c r="K330" s="64">
        <f t="shared" si="153"/>
        <v>124.3231118473</v>
      </c>
      <c r="L330" s="64" t="str">
        <f t="shared" si="153"/>
        <v>JL. RAYA POYOWA BESAR</v>
      </c>
      <c r="M330" s="64" t="str">
        <f t="shared" ref="M330" si="154">M329</f>
        <v>SULAWESI UTARA</v>
      </c>
      <c r="N330" s="65" t="s">
        <v>105</v>
      </c>
      <c r="O330" s="66" t="s">
        <v>118</v>
      </c>
      <c r="P330" s="65" t="s">
        <v>119</v>
      </c>
      <c r="Q330" s="66">
        <v>95717</v>
      </c>
      <c r="R330" s="98"/>
      <c r="S330" s="99"/>
      <c r="T330" s="100"/>
      <c r="U330" s="99"/>
      <c r="V330" s="100"/>
      <c r="W330" s="97" t="s">
        <v>105</v>
      </c>
      <c r="X330" s="101"/>
      <c r="Y330" s="64" t="s">
        <v>106</v>
      </c>
      <c r="Z330" s="64" t="str">
        <f t="shared" si="150"/>
        <v>KELURAHAN POYOWA BESAR SATU KOTAMOBAGU</v>
      </c>
      <c r="AA330" s="102"/>
      <c r="AB330" s="102"/>
      <c r="AC330" s="102" t="s">
        <v>70</v>
      </c>
      <c r="AD330" s="64" t="str">
        <f t="shared" ref="AD330" si="155">AD327</f>
        <v>POYOWA BESAR</v>
      </c>
      <c r="AE330" s="103"/>
      <c r="AF330" s="103"/>
      <c r="AG330" s="103"/>
      <c r="AH330" s="103"/>
      <c r="AI330" s="104"/>
      <c r="AJ330" s="11" t="s">
        <v>897</v>
      </c>
      <c r="AK330" s="102" t="s">
        <v>96</v>
      </c>
      <c r="AL330" s="106"/>
      <c r="AM330" s="192"/>
      <c r="AN330" s="192"/>
      <c r="AO330" s="192"/>
      <c r="AP330" s="192"/>
      <c r="AQ330" s="180" t="s">
        <v>97</v>
      </c>
      <c r="AR330" s="70" t="str">
        <f t="shared" si="146"/>
        <v>KTG.100.0101</v>
      </c>
      <c r="AS330" s="71" t="str">
        <f t="shared" ref="AS330:AT330" si="156">AS327</f>
        <v>KPBS-2.020</v>
      </c>
      <c r="AT330" s="71" t="str">
        <f t="shared" si="156"/>
        <v>B16</v>
      </c>
      <c r="AU330" s="105"/>
      <c r="AV330" s="202">
        <v>0.70500967650000002</v>
      </c>
      <c r="AW330" s="202">
        <v>124.3233817822</v>
      </c>
      <c r="AX330" s="106" t="s">
        <v>98</v>
      </c>
      <c r="AY330" s="106" t="s">
        <v>94</v>
      </c>
      <c r="AZ330" s="106" t="s">
        <v>94</v>
      </c>
      <c r="BA330" s="73" t="s">
        <v>77</v>
      </c>
      <c r="BB330" s="106" t="s">
        <v>98</v>
      </c>
      <c r="BC330" s="106">
        <v>31</v>
      </c>
      <c r="BD330" s="106" t="s">
        <v>98</v>
      </c>
      <c r="BE330" s="211" t="str">
        <f t="shared" si="152"/>
        <v>722, POYOWA BESAR,</v>
      </c>
    </row>
    <row r="331" spans="1:57" s="211" customFormat="1" ht="15.75" customHeight="1">
      <c r="A331" s="218"/>
      <c r="B331" s="219"/>
      <c r="C331" s="219"/>
      <c r="D331" s="219"/>
      <c r="E331" s="219"/>
      <c r="F331" s="219"/>
      <c r="G331" s="220"/>
      <c r="H331" s="12">
        <v>10</v>
      </c>
      <c r="I331" s="64" t="str">
        <f t="shared" ref="I331:M333" si="157">I330</f>
        <v>MR.KPBS.P099</v>
      </c>
      <c r="J331" s="64">
        <f t="shared" si="157"/>
        <v>0.70546432140000004</v>
      </c>
      <c r="K331" s="64">
        <f t="shared" si="157"/>
        <v>124.3231118473</v>
      </c>
      <c r="L331" s="64" t="str">
        <f t="shared" si="157"/>
        <v>JL. RAYA POYOWA BESAR</v>
      </c>
      <c r="M331" s="64" t="str">
        <f t="shared" si="157"/>
        <v>SULAWESI UTARA</v>
      </c>
      <c r="N331" s="65" t="s">
        <v>105</v>
      </c>
      <c r="O331" s="66" t="s">
        <v>118</v>
      </c>
      <c r="P331" s="65" t="s">
        <v>119</v>
      </c>
      <c r="Q331" s="66">
        <v>95717</v>
      </c>
      <c r="R331" s="98"/>
      <c r="S331" s="99"/>
      <c r="T331" s="100"/>
      <c r="U331" s="99"/>
      <c r="V331" s="100"/>
      <c r="W331" s="97" t="s">
        <v>105</v>
      </c>
      <c r="X331" s="101"/>
      <c r="Y331" s="64" t="s">
        <v>106</v>
      </c>
      <c r="Z331" s="64" t="str">
        <f t="shared" si="150"/>
        <v>KELURAHAN POYOWA BESAR SATU KOTAMOBAGU</v>
      </c>
      <c r="AA331" s="102"/>
      <c r="AB331" s="102"/>
      <c r="AC331" s="102" t="s">
        <v>70</v>
      </c>
      <c r="AD331" s="64" t="str">
        <f t="shared" ref="AD331:AD333" si="158">AD330</f>
        <v>POYOWA BESAR</v>
      </c>
      <c r="AE331" s="103"/>
      <c r="AF331" s="103"/>
      <c r="AG331" s="103"/>
      <c r="AH331" s="103"/>
      <c r="AI331" s="104"/>
      <c r="AJ331" s="11" t="s">
        <v>898</v>
      </c>
      <c r="AK331" s="102" t="s">
        <v>96</v>
      </c>
      <c r="AL331" s="106"/>
      <c r="AM331" s="192"/>
      <c r="AN331" s="192"/>
      <c r="AO331" s="192"/>
      <c r="AP331" s="192"/>
      <c r="AQ331" s="193" t="s">
        <v>97</v>
      </c>
      <c r="AR331" s="70" t="str">
        <f t="shared" si="146"/>
        <v>KTG.100.0101</v>
      </c>
      <c r="AS331" s="71" t="str">
        <f t="shared" si="142"/>
        <v>KPBS-2.020</v>
      </c>
      <c r="AT331" s="71" t="str">
        <f t="shared" si="142"/>
        <v>B16</v>
      </c>
      <c r="AU331" s="105"/>
      <c r="AV331" s="202">
        <v>0.70492223030000001</v>
      </c>
      <c r="AW331" s="202">
        <v>124.3235544794</v>
      </c>
      <c r="AX331" s="106" t="s">
        <v>98</v>
      </c>
      <c r="AY331" s="106" t="s">
        <v>94</v>
      </c>
      <c r="AZ331" s="106" t="s">
        <v>94</v>
      </c>
      <c r="BA331" s="73" t="s">
        <v>77</v>
      </c>
      <c r="BB331" s="106" t="s">
        <v>98</v>
      </c>
      <c r="BC331" s="106">
        <v>31</v>
      </c>
      <c r="BD331" s="106" t="s">
        <v>98</v>
      </c>
      <c r="BE331" s="211" t="str">
        <f t="shared" si="152"/>
        <v>723, POYOWA BESAR,</v>
      </c>
    </row>
    <row r="332" spans="1:57" s="211" customFormat="1" ht="15.75" customHeight="1">
      <c r="A332" s="218"/>
      <c r="B332" s="219"/>
      <c r="C332" s="219"/>
      <c r="D332" s="219"/>
      <c r="E332" s="219"/>
      <c r="F332" s="219"/>
      <c r="G332" s="220"/>
      <c r="H332" s="12">
        <v>11</v>
      </c>
      <c r="I332" s="64" t="str">
        <f t="shared" si="157"/>
        <v>MR.KPBS.P099</v>
      </c>
      <c r="J332" s="64">
        <f t="shared" si="157"/>
        <v>0.70546432140000004</v>
      </c>
      <c r="K332" s="64">
        <f t="shared" si="157"/>
        <v>124.3231118473</v>
      </c>
      <c r="L332" s="64" t="str">
        <f t="shared" si="157"/>
        <v>JL. RAYA POYOWA BESAR</v>
      </c>
      <c r="M332" s="64" t="str">
        <f t="shared" si="157"/>
        <v>SULAWESI UTARA</v>
      </c>
      <c r="N332" s="65" t="s">
        <v>105</v>
      </c>
      <c r="O332" s="66" t="s">
        <v>118</v>
      </c>
      <c r="P332" s="65" t="s">
        <v>119</v>
      </c>
      <c r="Q332" s="66">
        <v>95717</v>
      </c>
      <c r="R332" s="98"/>
      <c r="S332" s="99"/>
      <c r="T332" s="100"/>
      <c r="U332" s="99"/>
      <c r="V332" s="100"/>
      <c r="W332" s="97" t="s">
        <v>105</v>
      </c>
      <c r="X332" s="101"/>
      <c r="Y332" s="64" t="s">
        <v>106</v>
      </c>
      <c r="Z332" s="64" t="str">
        <f t="shared" si="150"/>
        <v>KELURAHAN POYOWA BESAR SATU KOTAMOBAGU</v>
      </c>
      <c r="AA332" s="102"/>
      <c r="AB332" s="102"/>
      <c r="AC332" s="102" t="s">
        <v>70</v>
      </c>
      <c r="AD332" s="64" t="str">
        <f t="shared" si="158"/>
        <v>POYOWA BESAR</v>
      </c>
      <c r="AE332" s="103"/>
      <c r="AF332" s="103"/>
      <c r="AG332" s="103"/>
      <c r="AH332" s="103"/>
      <c r="AI332" s="104"/>
      <c r="AJ332" s="11" t="s">
        <v>899</v>
      </c>
      <c r="AK332" s="102" t="s">
        <v>96</v>
      </c>
      <c r="AL332" s="106"/>
      <c r="AM332" s="106"/>
      <c r="AN332" s="106"/>
      <c r="AO332" s="106"/>
      <c r="AP332" s="106"/>
      <c r="AQ332" s="180" t="s">
        <v>97</v>
      </c>
      <c r="AR332" s="70" t="str">
        <f t="shared" si="146"/>
        <v>KTG.100.0101</v>
      </c>
      <c r="AS332" s="71" t="str">
        <f t="shared" si="142"/>
        <v>KPBS-2.020</v>
      </c>
      <c r="AT332" s="71" t="str">
        <f t="shared" si="142"/>
        <v>B16</v>
      </c>
      <c r="AU332" s="105"/>
      <c r="AV332" s="202">
        <v>0.70486219260000005</v>
      </c>
      <c r="AW332" s="202">
        <v>124.3233667651</v>
      </c>
      <c r="AX332" s="106" t="s">
        <v>98</v>
      </c>
      <c r="AY332" s="106" t="s">
        <v>94</v>
      </c>
      <c r="AZ332" s="106" t="s">
        <v>94</v>
      </c>
      <c r="BA332" s="73" t="s">
        <v>77</v>
      </c>
      <c r="BB332" s="106" t="s">
        <v>98</v>
      </c>
      <c r="BC332" s="106">
        <v>31</v>
      </c>
      <c r="BD332" s="106" t="s">
        <v>98</v>
      </c>
      <c r="BE332" s="211" t="str">
        <f t="shared" si="152"/>
        <v>724, POYOWA BESAR,</v>
      </c>
    </row>
    <row r="333" spans="1:57" s="211" customFormat="1" ht="15.75" customHeight="1">
      <c r="A333" s="209"/>
      <c r="B333" s="210"/>
      <c r="C333" s="210"/>
      <c r="D333" s="210"/>
      <c r="E333" s="210"/>
      <c r="F333" s="210"/>
      <c r="G333" s="210"/>
      <c r="H333" s="12">
        <v>12</v>
      </c>
      <c r="I333" s="64" t="str">
        <f t="shared" si="157"/>
        <v>MR.KPBS.P099</v>
      </c>
      <c r="J333" s="64">
        <f t="shared" si="157"/>
        <v>0.70546432140000004</v>
      </c>
      <c r="K333" s="64">
        <f t="shared" si="157"/>
        <v>124.3231118473</v>
      </c>
      <c r="L333" s="64" t="str">
        <f t="shared" si="157"/>
        <v>JL. RAYA POYOWA BESAR</v>
      </c>
      <c r="M333" s="64" t="str">
        <f t="shared" si="157"/>
        <v>SULAWESI UTARA</v>
      </c>
      <c r="N333" s="65" t="s">
        <v>105</v>
      </c>
      <c r="O333" s="66" t="s">
        <v>118</v>
      </c>
      <c r="P333" s="65" t="s">
        <v>119</v>
      </c>
      <c r="Q333" s="66">
        <v>95717</v>
      </c>
      <c r="R333" s="98"/>
      <c r="S333" s="99"/>
      <c r="T333" s="100"/>
      <c r="U333" s="99"/>
      <c r="V333" s="100"/>
      <c r="W333" s="97" t="s">
        <v>105</v>
      </c>
      <c r="X333" s="101"/>
      <c r="Y333" s="64" t="s">
        <v>106</v>
      </c>
      <c r="Z333" s="64" t="str">
        <f t="shared" si="150"/>
        <v>KELURAHAN POYOWA BESAR SATU KOTAMOBAGU</v>
      </c>
      <c r="AA333" s="102"/>
      <c r="AB333" s="102"/>
      <c r="AC333" s="102" t="s">
        <v>70</v>
      </c>
      <c r="AD333" s="64" t="str">
        <f t="shared" si="158"/>
        <v>POYOWA BESAR</v>
      </c>
      <c r="AE333" s="103"/>
      <c r="AF333" s="103"/>
      <c r="AG333" s="103"/>
      <c r="AH333" s="103"/>
      <c r="AI333" s="104"/>
      <c r="AJ333" s="11" t="s">
        <v>900</v>
      </c>
      <c r="AK333" s="102" t="s">
        <v>96</v>
      </c>
      <c r="AL333" s="106"/>
      <c r="AM333" s="106"/>
      <c r="AN333" s="106"/>
      <c r="AO333" s="106"/>
      <c r="AP333" s="106"/>
      <c r="AQ333" s="180" t="s">
        <v>97</v>
      </c>
      <c r="AR333" s="70" t="str">
        <f t="shared" si="146"/>
        <v>KTG.100.0101</v>
      </c>
      <c r="AS333" s="71" t="str">
        <f t="shared" si="142"/>
        <v>KPBS-2.020</v>
      </c>
      <c r="AT333" s="71" t="str">
        <f t="shared" si="142"/>
        <v>B16</v>
      </c>
      <c r="AU333" s="105"/>
      <c r="AV333" s="202">
        <v>0.70474164390000005</v>
      </c>
      <c r="AW333" s="202">
        <v>124.3233397342</v>
      </c>
      <c r="AX333" s="106" t="s">
        <v>98</v>
      </c>
      <c r="AY333" s="106" t="s">
        <v>94</v>
      </c>
      <c r="AZ333" s="106" t="s">
        <v>94</v>
      </c>
      <c r="BA333" s="73" t="s">
        <v>77</v>
      </c>
      <c r="BB333" s="106" t="s">
        <v>98</v>
      </c>
      <c r="BC333" s="106">
        <v>31</v>
      </c>
      <c r="BD333" s="106" t="s">
        <v>98</v>
      </c>
      <c r="BE333" s="211" t="str">
        <f t="shared" ref="BE333" si="159">AJ333&amp;", "&amp;AD333&amp;","&amp;AI333</f>
        <v>725, POYOWA BESAR,</v>
      </c>
    </row>
    <row r="334" spans="1:57" s="211" customFormat="1" ht="15.75" customHeight="1">
      <c r="A334" s="34" t="s">
        <v>104</v>
      </c>
      <c r="B334" s="34">
        <f>B322+1</f>
        <v>25</v>
      </c>
      <c r="C334" s="33" t="s">
        <v>350</v>
      </c>
      <c r="D334" s="33" t="s">
        <v>348</v>
      </c>
      <c r="E334" s="33">
        <v>1</v>
      </c>
      <c r="F334" s="9">
        <v>1</v>
      </c>
      <c r="G334" s="213" t="s">
        <v>255</v>
      </c>
      <c r="H334" s="35">
        <v>1</v>
      </c>
      <c r="I334" s="48" t="s">
        <v>341</v>
      </c>
      <c r="J334" s="54">
        <v>0.71007952220000004</v>
      </c>
      <c r="K334" s="54">
        <v>124.3259559431</v>
      </c>
      <c r="L334" s="112" t="s">
        <v>116</v>
      </c>
      <c r="M334" s="56" t="str">
        <f t="shared" ref="M334" si="160">M332</f>
        <v>SULAWESI UTARA</v>
      </c>
      <c r="N334" s="76" t="s">
        <v>105</v>
      </c>
      <c r="O334" s="49" t="s">
        <v>118</v>
      </c>
      <c r="P334" s="76" t="s">
        <v>119</v>
      </c>
      <c r="Q334" s="49">
        <v>95717</v>
      </c>
      <c r="R334" s="51"/>
      <c r="S334" s="52"/>
      <c r="T334" s="53"/>
      <c r="U334" s="52"/>
      <c r="V334" s="53"/>
      <c r="W334" s="50" t="s">
        <v>105</v>
      </c>
      <c r="X334" s="54"/>
      <c r="Y334" s="56" t="s">
        <v>106</v>
      </c>
      <c r="Z334" s="56" t="str">
        <f>Z332</f>
        <v>KELURAHAN POYOWA BESAR SATU KOTAMOBAGU</v>
      </c>
      <c r="AA334" s="55"/>
      <c r="AB334" s="55"/>
      <c r="AC334" s="55" t="s">
        <v>70</v>
      </c>
      <c r="AD334" s="112" t="s">
        <v>119</v>
      </c>
      <c r="AE334" s="57"/>
      <c r="AF334" s="57"/>
      <c r="AG334" s="57"/>
      <c r="AH334" s="57"/>
      <c r="AI334" s="58"/>
      <c r="AJ334" s="114" t="s">
        <v>901</v>
      </c>
      <c r="AK334" s="55" t="s">
        <v>96</v>
      </c>
      <c r="AL334" s="62"/>
      <c r="AM334" s="184"/>
      <c r="AN334" s="184"/>
      <c r="AO334" s="184"/>
      <c r="AP334" s="184"/>
      <c r="AQ334" s="185" t="s">
        <v>97</v>
      </c>
      <c r="AR334" s="59" t="str">
        <f>AR332</f>
        <v>KTG.100.0101</v>
      </c>
      <c r="AS334" s="60" t="str">
        <f>AS322</f>
        <v>KPBS-2.020</v>
      </c>
      <c r="AT334" s="60" t="str">
        <f>G334</f>
        <v>C01</v>
      </c>
      <c r="AU334" s="61"/>
      <c r="AV334" s="201">
        <v>0.70997535020000002</v>
      </c>
      <c r="AW334" s="201">
        <v>124.3261866157</v>
      </c>
      <c r="AX334" s="62" t="s">
        <v>98</v>
      </c>
      <c r="AY334" s="62" t="s">
        <v>94</v>
      </c>
      <c r="AZ334" s="62" t="s">
        <v>94</v>
      </c>
      <c r="BA334" s="63" t="s">
        <v>77</v>
      </c>
      <c r="BB334" s="62" t="s">
        <v>98</v>
      </c>
      <c r="BC334" s="62">
        <v>31</v>
      </c>
      <c r="BD334" s="62" t="s">
        <v>98</v>
      </c>
      <c r="BE334" s="211" t="str">
        <f t="shared" si="152"/>
        <v>473, POYOWA BESAR,</v>
      </c>
    </row>
    <row r="335" spans="1:57" s="211" customFormat="1" ht="15.75" customHeight="1">
      <c r="A335" s="21"/>
      <c r="B335" s="21"/>
      <c r="C335" s="22" t="s">
        <v>350</v>
      </c>
      <c r="D335" s="22" t="s">
        <v>348</v>
      </c>
      <c r="E335" s="33">
        <v>1</v>
      </c>
      <c r="F335" s="6">
        <f>F334+1</f>
        <v>2</v>
      </c>
      <c r="G335" s="213"/>
      <c r="H335" s="12">
        <v>2</v>
      </c>
      <c r="I335" s="64" t="str">
        <f t="shared" ref="I335:M340" si="161">I334</f>
        <v>MR.KPBS.P101</v>
      </c>
      <c r="J335" s="64">
        <f t="shared" si="161"/>
        <v>0.71007952220000004</v>
      </c>
      <c r="K335" s="64">
        <f t="shared" si="161"/>
        <v>124.3259559431</v>
      </c>
      <c r="L335" s="64" t="str">
        <f t="shared" si="161"/>
        <v>JL. RAYA POYOWA BESAR</v>
      </c>
      <c r="M335" s="64" t="str">
        <f t="shared" si="161"/>
        <v>SULAWESI UTARA</v>
      </c>
      <c r="N335" s="65" t="s">
        <v>105</v>
      </c>
      <c r="O335" s="66" t="s">
        <v>118</v>
      </c>
      <c r="P335" s="65" t="s">
        <v>119</v>
      </c>
      <c r="Q335" s="66">
        <v>95717</v>
      </c>
      <c r="R335" s="98"/>
      <c r="S335" s="99"/>
      <c r="T335" s="100"/>
      <c r="U335" s="99"/>
      <c r="V335" s="100"/>
      <c r="W335" s="97" t="s">
        <v>105</v>
      </c>
      <c r="X335" s="101"/>
      <c r="Y335" s="64" t="s">
        <v>106</v>
      </c>
      <c r="Z335" s="64" t="str">
        <f t="shared" si="150"/>
        <v>KELURAHAN POYOWA BESAR SATU KOTAMOBAGU</v>
      </c>
      <c r="AA335" s="102"/>
      <c r="AB335" s="102"/>
      <c r="AC335" s="102" t="s">
        <v>70</v>
      </c>
      <c r="AD335" s="64" t="str">
        <f t="shared" ref="AD335:AD340" si="162">AD334</f>
        <v>POYOWA BESAR</v>
      </c>
      <c r="AE335" s="103"/>
      <c r="AF335" s="103"/>
      <c r="AG335" s="103"/>
      <c r="AH335" s="103"/>
      <c r="AI335" s="104"/>
      <c r="AJ335" s="11" t="s">
        <v>902</v>
      </c>
      <c r="AK335" s="102" t="s">
        <v>96</v>
      </c>
      <c r="AL335" s="106"/>
      <c r="AM335" s="192"/>
      <c r="AN335" s="192"/>
      <c r="AO335" s="192"/>
      <c r="AP335" s="192"/>
      <c r="AQ335" s="180" t="s">
        <v>97</v>
      </c>
      <c r="AR335" s="70" t="str">
        <f t="shared" si="146"/>
        <v>KTG.100.0101</v>
      </c>
      <c r="AS335" s="71" t="str">
        <f t="shared" si="142"/>
        <v>KPBS-2.020</v>
      </c>
      <c r="AT335" s="71" t="str">
        <f t="shared" si="142"/>
        <v>C01</v>
      </c>
      <c r="AU335" s="105"/>
      <c r="AV335" s="202">
        <v>0.70994125970787403</v>
      </c>
      <c r="AW335" s="202">
        <v>124.32609835637901</v>
      </c>
      <c r="AX335" s="106" t="s">
        <v>98</v>
      </c>
      <c r="AY335" s="106" t="s">
        <v>94</v>
      </c>
      <c r="AZ335" s="106" t="s">
        <v>94</v>
      </c>
      <c r="BA335" s="73" t="s">
        <v>77</v>
      </c>
      <c r="BB335" s="106" t="s">
        <v>98</v>
      </c>
      <c r="BC335" s="106">
        <v>31</v>
      </c>
      <c r="BD335" s="106" t="s">
        <v>98</v>
      </c>
      <c r="BE335" s="211" t="str">
        <f t="shared" si="152"/>
        <v>473A, POYOWA BESAR,</v>
      </c>
    </row>
    <row r="336" spans="1:57" s="211" customFormat="1" ht="15.75" customHeight="1">
      <c r="A336" s="215"/>
      <c r="B336" s="216"/>
      <c r="C336" s="216"/>
      <c r="D336" s="216"/>
      <c r="E336" s="216"/>
      <c r="F336" s="216"/>
      <c r="G336" s="217"/>
      <c r="H336" s="12">
        <v>3</v>
      </c>
      <c r="I336" s="64" t="str">
        <f t="shared" si="161"/>
        <v>MR.KPBS.P101</v>
      </c>
      <c r="J336" s="64">
        <f t="shared" si="161"/>
        <v>0.71007952220000004</v>
      </c>
      <c r="K336" s="64">
        <f t="shared" si="161"/>
        <v>124.3259559431</v>
      </c>
      <c r="L336" s="64" t="str">
        <f t="shared" si="161"/>
        <v>JL. RAYA POYOWA BESAR</v>
      </c>
      <c r="M336" s="64" t="str">
        <f t="shared" si="161"/>
        <v>SULAWESI UTARA</v>
      </c>
      <c r="N336" s="65" t="s">
        <v>105</v>
      </c>
      <c r="O336" s="66" t="s">
        <v>118</v>
      </c>
      <c r="P336" s="65" t="s">
        <v>119</v>
      </c>
      <c r="Q336" s="66">
        <v>95717</v>
      </c>
      <c r="R336" s="98"/>
      <c r="S336" s="99"/>
      <c r="T336" s="100"/>
      <c r="U336" s="99"/>
      <c r="V336" s="100"/>
      <c r="W336" s="97" t="s">
        <v>105</v>
      </c>
      <c r="X336" s="101"/>
      <c r="Y336" s="64" t="s">
        <v>106</v>
      </c>
      <c r="Z336" s="64" t="str">
        <f t="shared" si="150"/>
        <v>KELURAHAN POYOWA BESAR SATU KOTAMOBAGU</v>
      </c>
      <c r="AA336" s="102"/>
      <c r="AB336" s="102"/>
      <c r="AC336" s="102" t="s">
        <v>70</v>
      </c>
      <c r="AD336" s="64" t="str">
        <f t="shared" si="162"/>
        <v>POYOWA BESAR</v>
      </c>
      <c r="AE336" s="103"/>
      <c r="AF336" s="103"/>
      <c r="AG336" s="103"/>
      <c r="AH336" s="103"/>
      <c r="AI336" s="104"/>
      <c r="AJ336" s="11" t="s">
        <v>903</v>
      </c>
      <c r="AK336" s="102" t="s">
        <v>96</v>
      </c>
      <c r="AL336" s="106"/>
      <c r="AM336" s="192"/>
      <c r="AN336" s="192"/>
      <c r="AO336" s="192"/>
      <c r="AP336" s="192"/>
      <c r="AQ336" s="180" t="s">
        <v>97</v>
      </c>
      <c r="AR336" s="70" t="str">
        <f t="shared" si="146"/>
        <v>KTG.100.0101</v>
      </c>
      <c r="AS336" s="71" t="str">
        <f t="shared" si="142"/>
        <v>KPBS-2.020</v>
      </c>
      <c r="AT336" s="71" t="str">
        <f t="shared" si="142"/>
        <v>C01</v>
      </c>
      <c r="AU336" s="105"/>
      <c r="AV336" s="202">
        <v>0.71024510429999899</v>
      </c>
      <c r="AW336" s="202">
        <v>124.32578318</v>
      </c>
      <c r="AX336" s="106" t="s">
        <v>98</v>
      </c>
      <c r="AY336" s="106" t="s">
        <v>94</v>
      </c>
      <c r="AZ336" s="106" t="s">
        <v>94</v>
      </c>
      <c r="BA336" s="73" t="s">
        <v>77</v>
      </c>
      <c r="BB336" s="106" t="s">
        <v>98</v>
      </c>
      <c r="BC336" s="106">
        <v>31</v>
      </c>
      <c r="BD336" s="106" t="s">
        <v>98</v>
      </c>
      <c r="BE336" s="211" t="str">
        <f t="shared" si="152"/>
        <v>463, POYOWA BESAR,</v>
      </c>
    </row>
    <row r="337" spans="1:57" s="211" customFormat="1" ht="15.75" customHeight="1">
      <c r="A337" s="218"/>
      <c r="B337" s="219"/>
      <c r="C337" s="219"/>
      <c r="D337" s="219"/>
      <c r="E337" s="219"/>
      <c r="F337" s="219"/>
      <c r="G337" s="220"/>
      <c r="H337" s="12">
        <v>4</v>
      </c>
      <c r="I337" s="64" t="str">
        <f t="shared" si="161"/>
        <v>MR.KPBS.P101</v>
      </c>
      <c r="J337" s="64">
        <f t="shared" si="161"/>
        <v>0.71007952220000004</v>
      </c>
      <c r="K337" s="64">
        <f t="shared" si="161"/>
        <v>124.3259559431</v>
      </c>
      <c r="L337" s="64" t="str">
        <f t="shared" si="161"/>
        <v>JL. RAYA POYOWA BESAR</v>
      </c>
      <c r="M337" s="64" t="str">
        <f t="shared" si="161"/>
        <v>SULAWESI UTARA</v>
      </c>
      <c r="N337" s="65" t="s">
        <v>105</v>
      </c>
      <c r="O337" s="66" t="s">
        <v>118</v>
      </c>
      <c r="P337" s="65" t="s">
        <v>119</v>
      </c>
      <c r="Q337" s="66">
        <v>95717</v>
      </c>
      <c r="R337" s="98"/>
      <c r="S337" s="99"/>
      <c r="T337" s="100"/>
      <c r="U337" s="99"/>
      <c r="V337" s="100"/>
      <c r="W337" s="97" t="s">
        <v>105</v>
      </c>
      <c r="X337" s="101"/>
      <c r="Y337" s="64" t="s">
        <v>106</v>
      </c>
      <c r="Z337" s="64" t="str">
        <f t="shared" si="150"/>
        <v>KELURAHAN POYOWA BESAR SATU KOTAMOBAGU</v>
      </c>
      <c r="AA337" s="102"/>
      <c r="AB337" s="102"/>
      <c r="AC337" s="102" t="s">
        <v>70</v>
      </c>
      <c r="AD337" s="64" t="str">
        <f t="shared" si="162"/>
        <v>POYOWA BESAR</v>
      </c>
      <c r="AE337" s="103"/>
      <c r="AF337" s="103"/>
      <c r="AG337" s="103"/>
      <c r="AH337" s="103"/>
      <c r="AI337" s="104"/>
      <c r="AJ337" s="11" t="s">
        <v>904</v>
      </c>
      <c r="AK337" s="102" t="s">
        <v>96</v>
      </c>
      <c r="AL337" s="106"/>
      <c r="AM337" s="192"/>
      <c r="AN337" s="192"/>
      <c r="AO337" s="192"/>
      <c r="AP337" s="192"/>
      <c r="AQ337" s="180" t="s">
        <v>97</v>
      </c>
      <c r="AR337" s="70" t="str">
        <f t="shared" si="146"/>
        <v>KTG.100.0101</v>
      </c>
      <c r="AS337" s="71" t="str">
        <f t="shared" si="142"/>
        <v>KPBS-2.020</v>
      </c>
      <c r="AT337" s="71" t="str">
        <f t="shared" si="142"/>
        <v>C01</v>
      </c>
      <c r="AU337" s="105"/>
      <c r="AV337" s="202">
        <v>0.71026268709999996</v>
      </c>
      <c r="AW337" s="202">
        <v>124.3259571084</v>
      </c>
      <c r="AX337" s="106" t="s">
        <v>98</v>
      </c>
      <c r="AY337" s="106" t="s">
        <v>94</v>
      </c>
      <c r="AZ337" s="106" t="s">
        <v>94</v>
      </c>
      <c r="BA337" s="73" t="s">
        <v>77</v>
      </c>
      <c r="BB337" s="106" t="s">
        <v>98</v>
      </c>
      <c r="BC337" s="106">
        <v>31</v>
      </c>
      <c r="BD337" s="106" t="s">
        <v>98</v>
      </c>
      <c r="BE337" s="211" t="str">
        <f t="shared" si="152"/>
        <v>464, POYOWA BESAR,</v>
      </c>
    </row>
    <row r="338" spans="1:57" s="211" customFormat="1" ht="15.75" customHeight="1">
      <c r="A338" s="218"/>
      <c r="B338" s="219"/>
      <c r="C338" s="219"/>
      <c r="D338" s="219"/>
      <c r="E338" s="219"/>
      <c r="F338" s="219"/>
      <c r="G338" s="220"/>
      <c r="H338" s="12">
        <v>5</v>
      </c>
      <c r="I338" s="64" t="str">
        <f t="shared" si="161"/>
        <v>MR.KPBS.P101</v>
      </c>
      <c r="J338" s="64">
        <f t="shared" si="161"/>
        <v>0.71007952220000004</v>
      </c>
      <c r="K338" s="64">
        <f t="shared" si="161"/>
        <v>124.3259559431</v>
      </c>
      <c r="L338" s="64" t="str">
        <f t="shared" si="161"/>
        <v>JL. RAYA POYOWA BESAR</v>
      </c>
      <c r="M338" s="64" t="str">
        <f t="shared" si="161"/>
        <v>SULAWESI UTARA</v>
      </c>
      <c r="N338" s="65" t="s">
        <v>105</v>
      </c>
      <c r="O338" s="66" t="s">
        <v>118</v>
      </c>
      <c r="P338" s="65" t="s">
        <v>119</v>
      </c>
      <c r="Q338" s="66">
        <v>95717</v>
      </c>
      <c r="R338" s="98"/>
      <c r="S338" s="99"/>
      <c r="T338" s="100"/>
      <c r="U338" s="99"/>
      <c r="V338" s="100"/>
      <c r="W338" s="97" t="s">
        <v>105</v>
      </c>
      <c r="X338" s="101"/>
      <c r="Y338" s="64" t="s">
        <v>106</v>
      </c>
      <c r="Z338" s="64" t="str">
        <f t="shared" si="150"/>
        <v>KELURAHAN POYOWA BESAR SATU KOTAMOBAGU</v>
      </c>
      <c r="AA338" s="102"/>
      <c r="AB338" s="102"/>
      <c r="AC338" s="102" t="s">
        <v>70</v>
      </c>
      <c r="AD338" s="64" t="str">
        <f t="shared" si="162"/>
        <v>POYOWA BESAR</v>
      </c>
      <c r="AE338" s="103"/>
      <c r="AF338" s="103"/>
      <c r="AG338" s="103"/>
      <c r="AH338" s="103"/>
      <c r="AI338" s="104"/>
      <c r="AJ338" s="11" t="s">
        <v>905</v>
      </c>
      <c r="AK338" s="102" t="s">
        <v>96</v>
      </c>
      <c r="AL338" s="106"/>
      <c r="AM338" s="192"/>
      <c r="AN338" s="192"/>
      <c r="AO338" s="192"/>
      <c r="AP338" s="192"/>
      <c r="AQ338" s="180" t="s">
        <v>97</v>
      </c>
      <c r="AR338" s="70" t="str">
        <f t="shared" si="146"/>
        <v>KTG.100.0101</v>
      </c>
      <c r="AS338" s="71" t="str">
        <f t="shared" si="142"/>
        <v>KPBS-2.020</v>
      </c>
      <c r="AT338" s="71" t="str">
        <f t="shared" si="142"/>
        <v>C01</v>
      </c>
      <c r="AU338" s="105"/>
      <c r="AV338" s="202">
        <v>0.71016430529999997</v>
      </c>
      <c r="AW338" s="202">
        <v>124.3258168349</v>
      </c>
      <c r="AX338" s="106" t="s">
        <v>98</v>
      </c>
      <c r="AY338" s="106" t="s">
        <v>94</v>
      </c>
      <c r="AZ338" s="106" t="s">
        <v>94</v>
      </c>
      <c r="BA338" s="73" t="s">
        <v>77</v>
      </c>
      <c r="BB338" s="106" t="s">
        <v>98</v>
      </c>
      <c r="BC338" s="106">
        <v>31</v>
      </c>
      <c r="BD338" s="106" t="s">
        <v>98</v>
      </c>
      <c r="BE338" s="211" t="str">
        <f t="shared" si="152"/>
        <v>468, POYOWA BESAR,</v>
      </c>
    </row>
    <row r="339" spans="1:57" s="211" customFormat="1" ht="15.75" customHeight="1">
      <c r="A339" s="218"/>
      <c r="B339" s="219"/>
      <c r="C339" s="219"/>
      <c r="D339" s="219"/>
      <c r="E339" s="219"/>
      <c r="F339" s="219"/>
      <c r="G339" s="220"/>
      <c r="H339" s="12">
        <v>6</v>
      </c>
      <c r="I339" s="64" t="str">
        <f t="shared" si="161"/>
        <v>MR.KPBS.P101</v>
      </c>
      <c r="J339" s="64">
        <f t="shared" si="161"/>
        <v>0.71007952220000004</v>
      </c>
      <c r="K339" s="64">
        <f t="shared" si="161"/>
        <v>124.3259559431</v>
      </c>
      <c r="L339" s="64" t="str">
        <f t="shared" si="161"/>
        <v>JL. RAYA POYOWA BESAR</v>
      </c>
      <c r="M339" s="64" t="str">
        <f t="shared" si="161"/>
        <v>SULAWESI UTARA</v>
      </c>
      <c r="N339" s="65" t="s">
        <v>105</v>
      </c>
      <c r="O339" s="66" t="s">
        <v>118</v>
      </c>
      <c r="P339" s="65" t="s">
        <v>119</v>
      </c>
      <c r="Q339" s="66">
        <v>95717</v>
      </c>
      <c r="R339" s="98"/>
      <c r="S339" s="99"/>
      <c r="T339" s="100"/>
      <c r="U339" s="99"/>
      <c r="V339" s="100"/>
      <c r="W339" s="97" t="s">
        <v>105</v>
      </c>
      <c r="X339" s="101"/>
      <c r="Y339" s="64" t="s">
        <v>106</v>
      </c>
      <c r="Z339" s="64" t="str">
        <f t="shared" si="150"/>
        <v>KELURAHAN POYOWA BESAR SATU KOTAMOBAGU</v>
      </c>
      <c r="AA339" s="102"/>
      <c r="AB339" s="102"/>
      <c r="AC339" s="102" t="s">
        <v>70</v>
      </c>
      <c r="AD339" s="64" t="str">
        <f t="shared" si="162"/>
        <v>POYOWA BESAR</v>
      </c>
      <c r="AE339" s="103"/>
      <c r="AF339" s="103"/>
      <c r="AG339" s="103"/>
      <c r="AH339" s="103"/>
      <c r="AI339" s="104"/>
      <c r="AJ339" s="11" t="s">
        <v>906</v>
      </c>
      <c r="AK339" s="102" t="s">
        <v>96</v>
      </c>
      <c r="AL339" s="106"/>
      <c r="AM339" s="192"/>
      <c r="AN339" s="192"/>
      <c r="AO339" s="192"/>
      <c r="AP339" s="192"/>
      <c r="AQ339" s="180" t="s">
        <v>97</v>
      </c>
      <c r="AR339" s="70" t="str">
        <f t="shared" si="146"/>
        <v>KTG.100.0101</v>
      </c>
      <c r="AS339" s="71" t="str">
        <f t="shared" si="142"/>
        <v>KPBS-2.020</v>
      </c>
      <c r="AT339" s="71" t="str">
        <f t="shared" si="142"/>
        <v>C01</v>
      </c>
      <c r="AU339" s="105"/>
      <c r="AV339" s="202">
        <v>0.71020116879999895</v>
      </c>
      <c r="AW339" s="202">
        <v>124.32598487840001</v>
      </c>
      <c r="AX339" s="106" t="s">
        <v>98</v>
      </c>
      <c r="AY339" s="106" t="s">
        <v>94</v>
      </c>
      <c r="AZ339" s="106" t="s">
        <v>94</v>
      </c>
      <c r="BA339" s="73" t="s">
        <v>77</v>
      </c>
      <c r="BB339" s="106" t="s">
        <v>98</v>
      </c>
      <c r="BC339" s="106">
        <v>31</v>
      </c>
      <c r="BD339" s="106" t="s">
        <v>98</v>
      </c>
      <c r="BE339" s="211" t="str">
        <f t="shared" si="152"/>
        <v>465, POYOWA BESAR,</v>
      </c>
    </row>
    <row r="340" spans="1:57" s="211" customFormat="1" ht="15.75" customHeight="1">
      <c r="A340" s="218"/>
      <c r="B340" s="219"/>
      <c r="C340" s="219"/>
      <c r="D340" s="219"/>
      <c r="E340" s="219"/>
      <c r="F340" s="219"/>
      <c r="G340" s="220"/>
      <c r="H340" s="12">
        <v>7</v>
      </c>
      <c r="I340" s="64" t="str">
        <f t="shared" si="161"/>
        <v>MR.KPBS.P101</v>
      </c>
      <c r="J340" s="64">
        <f t="shared" si="161"/>
        <v>0.71007952220000004</v>
      </c>
      <c r="K340" s="64">
        <f t="shared" si="161"/>
        <v>124.3259559431</v>
      </c>
      <c r="L340" s="64" t="str">
        <f t="shared" si="161"/>
        <v>JL. RAYA POYOWA BESAR</v>
      </c>
      <c r="M340" s="64" t="str">
        <f t="shared" si="161"/>
        <v>SULAWESI UTARA</v>
      </c>
      <c r="N340" s="65" t="s">
        <v>105</v>
      </c>
      <c r="O340" s="66" t="s">
        <v>118</v>
      </c>
      <c r="P340" s="65" t="s">
        <v>119</v>
      </c>
      <c r="Q340" s="66">
        <v>95717</v>
      </c>
      <c r="R340" s="98"/>
      <c r="S340" s="99"/>
      <c r="T340" s="100"/>
      <c r="U340" s="99"/>
      <c r="V340" s="100"/>
      <c r="W340" s="97" t="s">
        <v>105</v>
      </c>
      <c r="X340" s="101"/>
      <c r="Y340" s="64" t="s">
        <v>106</v>
      </c>
      <c r="Z340" s="64" t="str">
        <f t="shared" si="150"/>
        <v>KELURAHAN POYOWA BESAR SATU KOTAMOBAGU</v>
      </c>
      <c r="AA340" s="102"/>
      <c r="AB340" s="102"/>
      <c r="AC340" s="102" t="s">
        <v>70</v>
      </c>
      <c r="AD340" s="64" t="str">
        <f t="shared" si="162"/>
        <v>POYOWA BESAR</v>
      </c>
      <c r="AE340" s="103"/>
      <c r="AF340" s="103"/>
      <c r="AG340" s="103"/>
      <c r="AH340" s="103"/>
      <c r="AI340" s="104"/>
      <c r="AJ340" s="11" t="s">
        <v>907</v>
      </c>
      <c r="AK340" s="102" t="s">
        <v>96</v>
      </c>
      <c r="AL340" s="106"/>
      <c r="AM340" s="192"/>
      <c r="AN340" s="192"/>
      <c r="AO340" s="192"/>
      <c r="AP340" s="192"/>
      <c r="AQ340" s="180" t="s">
        <v>97</v>
      </c>
      <c r="AR340" s="70" t="str">
        <f t="shared" si="146"/>
        <v>KTG.100.0101</v>
      </c>
      <c r="AS340" s="71" t="str">
        <f t="shared" si="142"/>
        <v>KPBS-2.020</v>
      </c>
      <c r="AT340" s="71" t="str">
        <f t="shared" si="142"/>
        <v>C01</v>
      </c>
      <c r="AU340" s="105"/>
      <c r="AV340" s="202">
        <v>0.71014111530000001</v>
      </c>
      <c r="AW340" s="202">
        <v>124.3260155718</v>
      </c>
      <c r="AX340" s="106" t="s">
        <v>98</v>
      </c>
      <c r="AY340" s="106" t="s">
        <v>94</v>
      </c>
      <c r="AZ340" s="106" t="s">
        <v>94</v>
      </c>
      <c r="BA340" s="73" t="s">
        <v>77</v>
      </c>
      <c r="BB340" s="106" t="s">
        <v>98</v>
      </c>
      <c r="BC340" s="106">
        <v>31</v>
      </c>
      <c r="BD340" s="106" t="s">
        <v>98</v>
      </c>
      <c r="BE340" s="211" t="str">
        <f t="shared" si="152"/>
        <v>466, POYOWA BESAR,</v>
      </c>
    </row>
    <row r="341" spans="1:57" s="211" customFormat="1" ht="15.75" customHeight="1">
      <c r="A341" s="218"/>
      <c r="B341" s="219"/>
      <c r="C341" s="219"/>
      <c r="D341" s="219"/>
      <c r="E341" s="219"/>
      <c r="F341" s="219"/>
      <c r="G341" s="220"/>
      <c r="H341" s="12">
        <v>8</v>
      </c>
      <c r="I341" s="64" t="str">
        <f t="shared" ref="I341:L341" si="163">I337</f>
        <v>MR.KPBS.P101</v>
      </c>
      <c r="J341" s="64">
        <f t="shared" si="163"/>
        <v>0.71007952220000004</v>
      </c>
      <c r="K341" s="64">
        <f t="shared" si="163"/>
        <v>124.3259559431</v>
      </c>
      <c r="L341" s="64" t="str">
        <f t="shared" si="163"/>
        <v>JL. RAYA POYOWA BESAR</v>
      </c>
      <c r="M341" s="64" t="str">
        <f t="shared" ref="M341" si="164">M340</f>
        <v>SULAWESI UTARA</v>
      </c>
      <c r="N341" s="65" t="s">
        <v>105</v>
      </c>
      <c r="O341" s="66" t="s">
        <v>118</v>
      </c>
      <c r="P341" s="65" t="s">
        <v>119</v>
      </c>
      <c r="Q341" s="66">
        <v>95717</v>
      </c>
      <c r="R341" s="98"/>
      <c r="S341" s="99"/>
      <c r="T341" s="100"/>
      <c r="U341" s="99"/>
      <c r="V341" s="100"/>
      <c r="W341" s="97" t="s">
        <v>105</v>
      </c>
      <c r="X341" s="101"/>
      <c r="Y341" s="64" t="s">
        <v>106</v>
      </c>
      <c r="Z341" s="64" t="str">
        <f t="shared" si="150"/>
        <v>KELURAHAN POYOWA BESAR SATU KOTAMOBAGU</v>
      </c>
      <c r="AA341" s="102"/>
      <c r="AB341" s="102"/>
      <c r="AC341" s="102" t="s">
        <v>70</v>
      </c>
      <c r="AD341" s="64" t="str">
        <f t="shared" ref="AD341" si="165">AD337</f>
        <v>POYOWA BESAR</v>
      </c>
      <c r="AE341" s="103"/>
      <c r="AF341" s="103"/>
      <c r="AG341" s="103"/>
      <c r="AH341" s="103"/>
      <c r="AI341" s="104"/>
      <c r="AJ341" s="11" t="s">
        <v>908</v>
      </c>
      <c r="AK341" s="102" t="s">
        <v>96</v>
      </c>
      <c r="AL341" s="106"/>
      <c r="AM341" s="192"/>
      <c r="AN341" s="192"/>
      <c r="AO341" s="192"/>
      <c r="AP341" s="192"/>
      <c r="AQ341" s="180" t="s">
        <v>97</v>
      </c>
      <c r="AR341" s="70" t="str">
        <f t="shared" si="146"/>
        <v>KTG.100.0101</v>
      </c>
      <c r="AS341" s="71" t="str">
        <f t="shared" ref="AS341:AT341" si="166">AS337</f>
        <v>KPBS-2.020</v>
      </c>
      <c r="AT341" s="71" t="str">
        <f t="shared" si="166"/>
        <v>C01</v>
      </c>
      <c r="AU341" s="105"/>
      <c r="AV341" s="202">
        <v>0.71007642209999999</v>
      </c>
      <c r="AW341" s="202">
        <v>124.32584898970001</v>
      </c>
      <c r="AX341" s="106" t="s">
        <v>98</v>
      </c>
      <c r="AY341" s="106" t="s">
        <v>94</v>
      </c>
      <c r="AZ341" s="106" t="s">
        <v>94</v>
      </c>
      <c r="BA341" s="73" t="s">
        <v>77</v>
      </c>
      <c r="BB341" s="106" t="s">
        <v>98</v>
      </c>
      <c r="BC341" s="106">
        <v>31</v>
      </c>
      <c r="BD341" s="106" t="s">
        <v>98</v>
      </c>
      <c r="BE341" s="211" t="str">
        <f t="shared" si="152"/>
        <v>469, POYOWA BESAR,</v>
      </c>
    </row>
    <row r="342" spans="1:57" s="211" customFormat="1" ht="15.75" customHeight="1">
      <c r="A342" s="218"/>
      <c r="B342" s="219"/>
      <c r="C342" s="219"/>
      <c r="D342" s="219"/>
      <c r="E342" s="219"/>
      <c r="F342" s="219"/>
      <c r="G342" s="220"/>
      <c r="H342" s="12">
        <v>9</v>
      </c>
      <c r="I342" s="64" t="str">
        <f t="shared" ref="I342:M348" si="167">I341</f>
        <v>MR.KPBS.P101</v>
      </c>
      <c r="J342" s="64">
        <f t="shared" si="167"/>
        <v>0.71007952220000004</v>
      </c>
      <c r="K342" s="64">
        <f t="shared" si="167"/>
        <v>124.3259559431</v>
      </c>
      <c r="L342" s="64" t="str">
        <f t="shared" si="167"/>
        <v>JL. RAYA POYOWA BESAR</v>
      </c>
      <c r="M342" s="64" t="str">
        <f t="shared" si="167"/>
        <v>SULAWESI UTARA</v>
      </c>
      <c r="N342" s="65" t="s">
        <v>105</v>
      </c>
      <c r="O342" s="66" t="s">
        <v>118</v>
      </c>
      <c r="P342" s="65" t="s">
        <v>119</v>
      </c>
      <c r="Q342" s="66">
        <v>95717</v>
      </c>
      <c r="R342" s="98"/>
      <c r="S342" s="99"/>
      <c r="T342" s="100"/>
      <c r="U342" s="99"/>
      <c r="V342" s="100"/>
      <c r="W342" s="97" t="s">
        <v>105</v>
      </c>
      <c r="X342" s="101"/>
      <c r="Y342" s="64" t="s">
        <v>106</v>
      </c>
      <c r="Z342" s="64" t="str">
        <f t="shared" si="150"/>
        <v>KELURAHAN POYOWA BESAR SATU KOTAMOBAGU</v>
      </c>
      <c r="AA342" s="102"/>
      <c r="AB342" s="102"/>
      <c r="AC342" s="102" t="s">
        <v>70</v>
      </c>
      <c r="AD342" s="64" t="str">
        <f t="shared" ref="AD342:AD348" si="168">AD341</f>
        <v>POYOWA BESAR</v>
      </c>
      <c r="AE342" s="103"/>
      <c r="AF342" s="103"/>
      <c r="AG342" s="103"/>
      <c r="AH342" s="103"/>
      <c r="AI342" s="104"/>
      <c r="AJ342" s="11" t="s">
        <v>909</v>
      </c>
      <c r="AK342" s="102" t="s">
        <v>96</v>
      </c>
      <c r="AL342" s="106"/>
      <c r="AM342" s="192"/>
      <c r="AN342" s="192"/>
      <c r="AO342" s="192"/>
      <c r="AP342" s="192"/>
      <c r="AQ342" s="180" t="s">
        <v>97</v>
      </c>
      <c r="AR342" s="70" t="str">
        <f t="shared" si="146"/>
        <v>KTG.100.0101</v>
      </c>
      <c r="AS342" s="71" t="str">
        <f t="shared" si="142"/>
        <v>KPBS-2.020</v>
      </c>
      <c r="AT342" s="71" t="str">
        <f t="shared" si="142"/>
        <v>C01</v>
      </c>
      <c r="AU342" s="105"/>
      <c r="AV342" s="202">
        <v>0.71007349259999997</v>
      </c>
      <c r="AW342" s="202">
        <v>124.3260331494</v>
      </c>
      <c r="AX342" s="106" t="s">
        <v>98</v>
      </c>
      <c r="AY342" s="106" t="s">
        <v>94</v>
      </c>
      <c r="AZ342" s="106" t="s">
        <v>94</v>
      </c>
      <c r="BA342" s="73" t="s">
        <v>77</v>
      </c>
      <c r="BB342" s="106" t="s">
        <v>98</v>
      </c>
      <c r="BC342" s="106">
        <v>31</v>
      </c>
      <c r="BD342" s="106" t="s">
        <v>98</v>
      </c>
      <c r="BE342" s="211" t="str">
        <f t="shared" si="152"/>
        <v>467, POYOWA BESAR,</v>
      </c>
    </row>
    <row r="343" spans="1:57" s="211" customFormat="1" ht="15.75" customHeight="1">
      <c r="A343" s="218"/>
      <c r="B343" s="219"/>
      <c r="C343" s="219"/>
      <c r="D343" s="219"/>
      <c r="E343" s="219"/>
      <c r="F343" s="219"/>
      <c r="G343" s="220"/>
      <c r="H343" s="12">
        <v>10</v>
      </c>
      <c r="I343" s="64" t="str">
        <f t="shared" si="167"/>
        <v>MR.KPBS.P101</v>
      </c>
      <c r="J343" s="64">
        <f t="shared" si="167"/>
        <v>0.71007952220000004</v>
      </c>
      <c r="K343" s="64">
        <f t="shared" si="167"/>
        <v>124.3259559431</v>
      </c>
      <c r="L343" s="64" t="str">
        <f t="shared" si="167"/>
        <v>JL. RAYA POYOWA BESAR</v>
      </c>
      <c r="M343" s="64" t="str">
        <f t="shared" si="167"/>
        <v>SULAWESI UTARA</v>
      </c>
      <c r="N343" s="65" t="s">
        <v>105</v>
      </c>
      <c r="O343" s="66" t="s">
        <v>118</v>
      </c>
      <c r="P343" s="65" t="s">
        <v>119</v>
      </c>
      <c r="Q343" s="66">
        <v>95717</v>
      </c>
      <c r="R343" s="98"/>
      <c r="S343" s="99"/>
      <c r="T343" s="100"/>
      <c r="U343" s="99"/>
      <c r="V343" s="100"/>
      <c r="W343" s="97" t="s">
        <v>105</v>
      </c>
      <c r="X343" s="101"/>
      <c r="Y343" s="64" t="s">
        <v>106</v>
      </c>
      <c r="Z343" s="64" t="str">
        <f t="shared" si="150"/>
        <v>KELURAHAN POYOWA BESAR SATU KOTAMOBAGU</v>
      </c>
      <c r="AA343" s="102"/>
      <c r="AB343" s="102"/>
      <c r="AC343" s="102" t="s">
        <v>70</v>
      </c>
      <c r="AD343" s="64" t="str">
        <f t="shared" si="168"/>
        <v>POYOWA BESAR</v>
      </c>
      <c r="AE343" s="103"/>
      <c r="AF343" s="103"/>
      <c r="AG343" s="103"/>
      <c r="AH343" s="103"/>
      <c r="AI343" s="104"/>
      <c r="AJ343" s="11" t="s">
        <v>910</v>
      </c>
      <c r="AK343" s="102" t="s">
        <v>96</v>
      </c>
      <c r="AL343" s="106"/>
      <c r="AM343" s="192"/>
      <c r="AN343" s="192"/>
      <c r="AO343" s="192"/>
      <c r="AP343" s="192"/>
      <c r="AQ343" s="180" t="s">
        <v>97</v>
      </c>
      <c r="AR343" s="70" t="str">
        <f t="shared" si="146"/>
        <v>KTG.100.0101</v>
      </c>
      <c r="AS343" s="71" t="str">
        <f t="shared" si="142"/>
        <v>KPBS-2.020</v>
      </c>
      <c r="AT343" s="71" t="str">
        <f t="shared" si="142"/>
        <v>C01</v>
      </c>
      <c r="AU343" s="105"/>
      <c r="AV343" s="202">
        <v>0.70999439769999895</v>
      </c>
      <c r="AW343" s="202">
        <v>124.3258826062</v>
      </c>
      <c r="AX343" s="106" t="s">
        <v>98</v>
      </c>
      <c r="AY343" s="106" t="s">
        <v>94</v>
      </c>
      <c r="AZ343" s="106" t="s">
        <v>94</v>
      </c>
      <c r="BA343" s="73" t="s">
        <v>77</v>
      </c>
      <c r="BB343" s="106" t="s">
        <v>98</v>
      </c>
      <c r="BC343" s="106">
        <v>31</v>
      </c>
      <c r="BD343" s="106" t="s">
        <v>98</v>
      </c>
      <c r="BE343" s="211" t="str">
        <f t="shared" si="152"/>
        <v>470, POYOWA BESAR,</v>
      </c>
    </row>
    <row r="344" spans="1:57" s="211" customFormat="1" ht="15.75" customHeight="1">
      <c r="A344" s="218"/>
      <c r="B344" s="219"/>
      <c r="C344" s="219"/>
      <c r="D344" s="219"/>
      <c r="E344" s="219"/>
      <c r="F344" s="219"/>
      <c r="G344" s="220"/>
      <c r="H344" s="12">
        <v>11</v>
      </c>
      <c r="I344" s="64" t="str">
        <f t="shared" si="167"/>
        <v>MR.KPBS.P101</v>
      </c>
      <c r="J344" s="64">
        <f t="shared" si="167"/>
        <v>0.71007952220000004</v>
      </c>
      <c r="K344" s="64">
        <f t="shared" si="167"/>
        <v>124.3259559431</v>
      </c>
      <c r="L344" s="64" t="str">
        <f t="shared" si="167"/>
        <v>JL. RAYA POYOWA BESAR</v>
      </c>
      <c r="M344" s="64" t="str">
        <f t="shared" si="167"/>
        <v>SULAWESI UTARA</v>
      </c>
      <c r="N344" s="65" t="s">
        <v>105</v>
      </c>
      <c r="O344" s="66" t="s">
        <v>118</v>
      </c>
      <c r="P344" s="65" t="s">
        <v>119</v>
      </c>
      <c r="Q344" s="66">
        <v>95717</v>
      </c>
      <c r="R344" s="98"/>
      <c r="S344" s="99"/>
      <c r="T344" s="100"/>
      <c r="U344" s="99"/>
      <c r="V344" s="100"/>
      <c r="W344" s="97" t="s">
        <v>105</v>
      </c>
      <c r="X344" s="101"/>
      <c r="Y344" s="64" t="s">
        <v>106</v>
      </c>
      <c r="Z344" s="64" t="str">
        <f t="shared" si="150"/>
        <v>KELURAHAN POYOWA BESAR SATU KOTAMOBAGU</v>
      </c>
      <c r="AA344" s="102"/>
      <c r="AB344" s="102"/>
      <c r="AC344" s="102" t="s">
        <v>70</v>
      </c>
      <c r="AD344" s="64" t="str">
        <f t="shared" si="168"/>
        <v>POYOWA BESAR</v>
      </c>
      <c r="AE344" s="103"/>
      <c r="AF344" s="103"/>
      <c r="AG344" s="103"/>
      <c r="AH344" s="103"/>
      <c r="AI344" s="104"/>
      <c r="AJ344" s="11" t="s">
        <v>911</v>
      </c>
      <c r="AK344" s="102" t="s">
        <v>96</v>
      </c>
      <c r="AL344" s="106"/>
      <c r="AM344" s="192"/>
      <c r="AN344" s="192"/>
      <c r="AO344" s="192"/>
      <c r="AP344" s="192"/>
      <c r="AQ344" s="193" t="s">
        <v>97</v>
      </c>
      <c r="AR344" s="70" t="str">
        <f t="shared" si="146"/>
        <v>KTG.100.0101</v>
      </c>
      <c r="AS344" s="71" t="str">
        <f t="shared" si="142"/>
        <v>KPBS-2.020</v>
      </c>
      <c r="AT344" s="71" t="str">
        <f t="shared" si="142"/>
        <v>C01</v>
      </c>
      <c r="AU344" s="105"/>
      <c r="AV344" s="202">
        <v>0.70992717429999996</v>
      </c>
      <c r="AW344" s="202">
        <v>124.3258986836</v>
      </c>
      <c r="AX344" s="106" t="s">
        <v>98</v>
      </c>
      <c r="AY344" s="106" t="s">
        <v>94</v>
      </c>
      <c r="AZ344" s="106" t="s">
        <v>94</v>
      </c>
      <c r="BA344" s="73" t="s">
        <v>77</v>
      </c>
      <c r="BB344" s="106" t="s">
        <v>98</v>
      </c>
      <c r="BC344" s="106">
        <v>31</v>
      </c>
      <c r="BD344" s="106" t="s">
        <v>98</v>
      </c>
      <c r="BE344" s="211" t="str">
        <f t="shared" si="152"/>
        <v>472, POYOWA BESAR,</v>
      </c>
    </row>
    <row r="345" spans="1:57" s="211" customFormat="1" ht="15.75" customHeight="1">
      <c r="A345" s="218"/>
      <c r="B345" s="219"/>
      <c r="C345" s="219"/>
      <c r="D345" s="219"/>
      <c r="E345" s="219"/>
      <c r="F345" s="219"/>
      <c r="G345" s="220"/>
      <c r="H345" s="12">
        <v>12</v>
      </c>
      <c r="I345" s="64" t="str">
        <f t="shared" si="167"/>
        <v>MR.KPBS.P101</v>
      </c>
      <c r="J345" s="64">
        <f t="shared" si="167"/>
        <v>0.71007952220000004</v>
      </c>
      <c r="K345" s="64">
        <f t="shared" si="167"/>
        <v>124.3259559431</v>
      </c>
      <c r="L345" s="64" t="str">
        <f t="shared" si="167"/>
        <v>JL. RAYA POYOWA BESAR</v>
      </c>
      <c r="M345" s="64" t="str">
        <f t="shared" si="167"/>
        <v>SULAWESI UTARA</v>
      </c>
      <c r="N345" s="65" t="s">
        <v>105</v>
      </c>
      <c r="O345" s="66" t="s">
        <v>118</v>
      </c>
      <c r="P345" s="65" t="s">
        <v>119</v>
      </c>
      <c r="Q345" s="66">
        <v>95717</v>
      </c>
      <c r="R345" s="98"/>
      <c r="S345" s="99"/>
      <c r="T345" s="100"/>
      <c r="U345" s="99"/>
      <c r="V345" s="100"/>
      <c r="W345" s="97" t="s">
        <v>105</v>
      </c>
      <c r="X345" s="101"/>
      <c r="Y345" s="64" t="s">
        <v>106</v>
      </c>
      <c r="Z345" s="64" t="str">
        <f t="shared" si="150"/>
        <v>KELURAHAN POYOWA BESAR SATU KOTAMOBAGU</v>
      </c>
      <c r="AA345" s="102"/>
      <c r="AB345" s="102"/>
      <c r="AC345" s="102" t="s">
        <v>70</v>
      </c>
      <c r="AD345" s="64" t="str">
        <f t="shared" si="168"/>
        <v>POYOWA BESAR</v>
      </c>
      <c r="AE345" s="103"/>
      <c r="AF345" s="103"/>
      <c r="AG345" s="103"/>
      <c r="AH345" s="103"/>
      <c r="AI345" s="104"/>
      <c r="AJ345" s="11" t="s">
        <v>912</v>
      </c>
      <c r="AK345" s="102" t="s">
        <v>96</v>
      </c>
      <c r="AL345" s="106"/>
      <c r="AM345" s="106"/>
      <c r="AN345" s="106"/>
      <c r="AO345" s="106"/>
      <c r="AP345" s="106"/>
      <c r="AQ345" s="180" t="s">
        <v>97</v>
      </c>
      <c r="AR345" s="70" t="str">
        <f t="shared" si="146"/>
        <v>KTG.100.0101</v>
      </c>
      <c r="AS345" s="71" t="str">
        <f t="shared" si="142"/>
        <v>KPBS-2.020</v>
      </c>
      <c r="AT345" s="71" t="str">
        <f t="shared" si="142"/>
        <v>C01</v>
      </c>
      <c r="AU345" s="105"/>
      <c r="AV345" s="202">
        <v>0.710016522199999</v>
      </c>
      <c r="AW345" s="202">
        <v>124.32607992</v>
      </c>
      <c r="AX345" s="106" t="s">
        <v>98</v>
      </c>
      <c r="AY345" s="106" t="s">
        <v>94</v>
      </c>
      <c r="AZ345" s="106" t="s">
        <v>94</v>
      </c>
      <c r="BA345" s="73" t="s">
        <v>77</v>
      </c>
      <c r="BB345" s="106" t="s">
        <v>98</v>
      </c>
      <c r="BC345" s="106">
        <v>31</v>
      </c>
      <c r="BD345" s="106" t="s">
        <v>98</v>
      </c>
      <c r="BE345" s="211" t="str">
        <f t="shared" si="152"/>
        <v>471, POYOWA BESAR,</v>
      </c>
    </row>
    <row r="346" spans="1:57" s="211" customFormat="1" ht="15.75" customHeight="1">
      <c r="A346" s="218"/>
      <c r="B346" s="219"/>
      <c r="C346" s="219"/>
      <c r="D346" s="219"/>
      <c r="E346" s="219"/>
      <c r="F346" s="219"/>
      <c r="G346" s="220"/>
      <c r="H346" s="12">
        <v>13</v>
      </c>
      <c r="I346" s="64" t="str">
        <f t="shared" si="167"/>
        <v>MR.KPBS.P101</v>
      </c>
      <c r="J346" s="64">
        <f t="shared" si="167"/>
        <v>0.71007952220000004</v>
      </c>
      <c r="K346" s="64">
        <f t="shared" si="167"/>
        <v>124.3259559431</v>
      </c>
      <c r="L346" s="64" t="str">
        <f t="shared" si="167"/>
        <v>JL. RAYA POYOWA BESAR</v>
      </c>
      <c r="M346" s="64" t="str">
        <f t="shared" si="167"/>
        <v>SULAWESI UTARA</v>
      </c>
      <c r="N346" s="65" t="s">
        <v>105</v>
      </c>
      <c r="O346" s="66" t="s">
        <v>118</v>
      </c>
      <c r="P346" s="65" t="s">
        <v>119</v>
      </c>
      <c r="Q346" s="66">
        <v>95717</v>
      </c>
      <c r="R346" s="98"/>
      <c r="S346" s="99"/>
      <c r="T346" s="100"/>
      <c r="U346" s="99"/>
      <c r="V346" s="100"/>
      <c r="W346" s="97" t="s">
        <v>105</v>
      </c>
      <c r="X346" s="101"/>
      <c r="Y346" s="64" t="s">
        <v>106</v>
      </c>
      <c r="Z346" s="64" t="str">
        <f t="shared" si="150"/>
        <v>KELURAHAN POYOWA BESAR SATU KOTAMOBAGU</v>
      </c>
      <c r="AA346" s="102"/>
      <c r="AB346" s="102"/>
      <c r="AC346" s="102" t="s">
        <v>70</v>
      </c>
      <c r="AD346" s="64" t="str">
        <f t="shared" si="168"/>
        <v>POYOWA BESAR</v>
      </c>
      <c r="AE346" s="103"/>
      <c r="AF346" s="103"/>
      <c r="AG346" s="103"/>
      <c r="AH346" s="103"/>
      <c r="AI346" s="104"/>
      <c r="AJ346" s="11" t="s">
        <v>913</v>
      </c>
      <c r="AK346" s="102" t="s">
        <v>96</v>
      </c>
      <c r="AL346" s="106"/>
      <c r="AM346" s="106"/>
      <c r="AN346" s="106"/>
      <c r="AO346" s="106"/>
      <c r="AP346" s="106"/>
      <c r="AQ346" s="180" t="s">
        <v>97</v>
      </c>
      <c r="AR346" s="70" t="str">
        <f t="shared" si="146"/>
        <v>KTG.100.0101</v>
      </c>
      <c r="AS346" s="71" t="str">
        <f t="shared" si="142"/>
        <v>KPBS-2.020</v>
      </c>
      <c r="AT346" s="71" t="str">
        <f t="shared" si="142"/>
        <v>C01</v>
      </c>
      <c r="AU346" s="105"/>
      <c r="AV346" s="202">
        <v>0.709878647999999</v>
      </c>
      <c r="AW346" s="202">
        <v>124.326122306</v>
      </c>
      <c r="AX346" s="106" t="s">
        <v>98</v>
      </c>
      <c r="AY346" s="106" t="s">
        <v>94</v>
      </c>
      <c r="AZ346" s="106" t="s">
        <v>94</v>
      </c>
      <c r="BA346" s="73" t="s">
        <v>77</v>
      </c>
      <c r="BB346" s="106" t="s">
        <v>98</v>
      </c>
      <c r="BC346" s="106">
        <v>31</v>
      </c>
      <c r="BD346" s="106" t="s">
        <v>98</v>
      </c>
      <c r="BE346" s="211" t="str">
        <f t="shared" si="152"/>
        <v>475, POYOWA BESAR,</v>
      </c>
    </row>
    <row r="347" spans="1:57" s="211" customFormat="1" ht="15.75" customHeight="1">
      <c r="A347" s="218"/>
      <c r="B347" s="219"/>
      <c r="C347" s="219"/>
      <c r="D347" s="219"/>
      <c r="E347" s="219"/>
      <c r="F347" s="219"/>
      <c r="G347" s="220"/>
      <c r="H347" s="12">
        <v>14</v>
      </c>
      <c r="I347" s="64" t="str">
        <f t="shared" si="167"/>
        <v>MR.KPBS.P101</v>
      </c>
      <c r="J347" s="64">
        <f t="shared" si="167"/>
        <v>0.71007952220000004</v>
      </c>
      <c r="K347" s="64">
        <f t="shared" si="167"/>
        <v>124.3259559431</v>
      </c>
      <c r="L347" s="64" t="str">
        <f t="shared" si="167"/>
        <v>JL. RAYA POYOWA BESAR</v>
      </c>
      <c r="M347" s="64" t="str">
        <f t="shared" si="167"/>
        <v>SULAWESI UTARA</v>
      </c>
      <c r="N347" s="65" t="s">
        <v>105</v>
      </c>
      <c r="O347" s="66" t="s">
        <v>118</v>
      </c>
      <c r="P347" s="65" t="s">
        <v>119</v>
      </c>
      <c r="Q347" s="66">
        <v>95717</v>
      </c>
      <c r="R347" s="98"/>
      <c r="S347" s="99"/>
      <c r="T347" s="100"/>
      <c r="U347" s="99"/>
      <c r="V347" s="100"/>
      <c r="W347" s="97" t="s">
        <v>105</v>
      </c>
      <c r="X347" s="101"/>
      <c r="Y347" s="64" t="s">
        <v>106</v>
      </c>
      <c r="Z347" s="64" t="str">
        <f t="shared" si="150"/>
        <v>KELURAHAN POYOWA BESAR SATU KOTAMOBAGU</v>
      </c>
      <c r="AA347" s="102"/>
      <c r="AB347" s="102"/>
      <c r="AC347" s="102" t="s">
        <v>70</v>
      </c>
      <c r="AD347" s="64" t="str">
        <f t="shared" si="168"/>
        <v>POYOWA BESAR</v>
      </c>
      <c r="AE347" s="103"/>
      <c r="AF347" s="103"/>
      <c r="AG347" s="103"/>
      <c r="AH347" s="103"/>
      <c r="AI347" s="104"/>
      <c r="AJ347" s="11" t="s">
        <v>914</v>
      </c>
      <c r="AK347" s="102" t="s">
        <v>96</v>
      </c>
      <c r="AL347" s="106"/>
      <c r="AM347" s="106"/>
      <c r="AN347" s="106"/>
      <c r="AO347" s="106"/>
      <c r="AP347" s="106"/>
      <c r="AQ347" s="180" t="s">
        <v>97</v>
      </c>
      <c r="AR347" s="70" t="str">
        <f t="shared" si="146"/>
        <v>KTG.100.0101</v>
      </c>
      <c r="AS347" s="71" t="str">
        <f t="shared" si="142"/>
        <v>KPBS-2.020</v>
      </c>
      <c r="AT347" s="71" t="str">
        <f t="shared" si="142"/>
        <v>C01</v>
      </c>
      <c r="AU347" s="105"/>
      <c r="AV347" s="202">
        <v>0.70986122500000004</v>
      </c>
      <c r="AW347" s="202">
        <v>124.32592645370001</v>
      </c>
      <c r="AX347" s="106" t="s">
        <v>98</v>
      </c>
      <c r="AY347" s="106" t="s">
        <v>94</v>
      </c>
      <c r="AZ347" s="106" t="s">
        <v>94</v>
      </c>
      <c r="BA347" s="73" t="s">
        <v>77</v>
      </c>
      <c r="BB347" s="106" t="s">
        <v>98</v>
      </c>
      <c r="BC347" s="106">
        <v>31</v>
      </c>
      <c r="BD347" s="106" t="s">
        <v>98</v>
      </c>
      <c r="BE347" s="211" t="str">
        <f t="shared" si="152"/>
        <v>474, POYOWA BESAR,</v>
      </c>
    </row>
    <row r="348" spans="1:57" s="211" customFormat="1" ht="15.75" customHeight="1">
      <c r="A348" s="209"/>
      <c r="B348" s="210"/>
      <c r="C348" s="210"/>
      <c r="D348" s="210"/>
      <c r="E348" s="210"/>
      <c r="F348" s="210"/>
      <c r="G348" s="210"/>
      <c r="H348" s="12">
        <v>15</v>
      </c>
      <c r="I348" s="64" t="str">
        <f t="shared" si="167"/>
        <v>MR.KPBS.P101</v>
      </c>
      <c r="J348" s="64">
        <f t="shared" si="167"/>
        <v>0.71007952220000004</v>
      </c>
      <c r="K348" s="64">
        <f t="shared" si="167"/>
        <v>124.3259559431</v>
      </c>
      <c r="L348" s="64" t="str">
        <f t="shared" si="167"/>
        <v>JL. RAYA POYOWA BESAR</v>
      </c>
      <c r="M348" s="64" t="str">
        <f t="shared" si="167"/>
        <v>SULAWESI UTARA</v>
      </c>
      <c r="N348" s="65" t="s">
        <v>105</v>
      </c>
      <c r="O348" s="66" t="s">
        <v>118</v>
      </c>
      <c r="P348" s="65" t="s">
        <v>119</v>
      </c>
      <c r="Q348" s="66">
        <v>95717</v>
      </c>
      <c r="R348" s="98"/>
      <c r="S348" s="99"/>
      <c r="T348" s="100"/>
      <c r="U348" s="99"/>
      <c r="V348" s="100"/>
      <c r="W348" s="97" t="s">
        <v>105</v>
      </c>
      <c r="X348" s="101"/>
      <c r="Y348" s="64" t="s">
        <v>106</v>
      </c>
      <c r="Z348" s="64" t="str">
        <f t="shared" si="150"/>
        <v>KELURAHAN POYOWA BESAR SATU KOTAMOBAGU</v>
      </c>
      <c r="AA348" s="102"/>
      <c r="AB348" s="102"/>
      <c r="AC348" s="102" t="s">
        <v>70</v>
      </c>
      <c r="AD348" s="64" t="str">
        <f t="shared" si="168"/>
        <v>POYOWA BESAR</v>
      </c>
      <c r="AE348" s="103"/>
      <c r="AF348" s="103"/>
      <c r="AG348" s="103"/>
      <c r="AH348" s="103"/>
      <c r="AI348" s="104"/>
      <c r="AJ348" s="11" t="s">
        <v>915</v>
      </c>
      <c r="AK348" s="102" t="s">
        <v>96</v>
      </c>
      <c r="AL348" s="106"/>
      <c r="AM348" s="106"/>
      <c r="AN348" s="106"/>
      <c r="AO348" s="106"/>
      <c r="AP348" s="106"/>
      <c r="AQ348" s="180" t="s">
        <v>97</v>
      </c>
      <c r="AR348" s="70" t="str">
        <f t="shared" si="146"/>
        <v>KTG.100.0101</v>
      </c>
      <c r="AS348" s="71" t="str">
        <f t="shared" si="142"/>
        <v>KPBS-2.020</v>
      </c>
      <c r="AT348" s="71" t="str">
        <f t="shared" si="142"/>
        <v>C01</v>
      </c>
      <c r="AU348" s="105"/>
      <c r="AV348" s="202">
        <v>0.70978311059999999</v>
      </c>
      <c r="AW348" s="202">
        <v>124.32593528779999</v>
      </c>
      <c r="AX348" s="106" t="s">
        <v>98</v>
      </c>
      <c r="AY348" s="106" t="s">
        <v>94</v>
      </c>
      <c r="AZ348" s="106" t="s">
        <v>94</v>
      </c>
      <c r="BA348" s="73" t="s">
        <v>77</v>
      </c>
      <c r="BB348" s="106" t="s">
        <v>98</v>
      </c>
      <c r="BC348" s="106">
        <v>31</v>
      </c>
      <c r="BD348" s="106" t="s">
        <v>98</v>
      </c>
      <c r="BE348" s="211" t="str">
        <f t="shared" ref="BE348" si="169">AJ348&amp;", "&amp;AD348&amp;","&amp;AI348</f>
        <v>476, POYOWA BESAR,</v>
      </c>
    </row>
    <row r="349" spans="1:57" s="211" customFormat="1" ht="15.75" customHeight="1">
      <c r="A349" s="34" t="s">
        <v>104</v>
      </c>
      <c r="B349" s="34">
        <f>B334+1</f>
        <v>26</v>
      </c>
      <c r="C349" s="33" t="s">
        <v>350</v>
      </c>
      <c r="D349" s="33" t="s">
        <v>348</v>
      </c>
      <c r="E349" s="33">
        <v>1</v>
      </c>
      <c r="F349" s="9">
        <f>F335+1</f>
        <v>3</v>
      </c>
      <c r="G349" s="213" t="s">
        <v>256</v>
      </c>
      <c r="H349" s="35">
        <v>1</v>
      </c>
      <c r="I349" s="48" t="s">
        <v>342</v>
      </c>
      <c r="J349" s="54">
        <v>0.70940194869999995</v>
      </c>
      <c r="K349" s="54">
        <v>124.3261707507</v>
      </c>
      <c r="L349" s="112" t="s">
        <v>116</v>
      </c>
      <c r="M349" s="56" t="str">
        <f t="shared" ref="M349" si="170">M347</f>
        <v>SULAWESI UTARA</v>
      </c>
      <c r="N349" s="76" t="s">
        <v>105</v>
      </c>
      <c r="O349" s="49" t="s">
        <v>118</v>
      </c>
      <c r="P349" s="76" t="s">
        <v>119</v>
      </c>
      <c r="Q349" s="49">
        <v>95717</v>
      </c>
      <c r="R349" s="51"/>
      <c r="S349" s="52"/>
      <c r="T349" s="53"/>
      <c r="U349" s="52"/>
      <c r="V349" s="53"/>
      <c r="W349" s="50" t="s">
        <v>105</v>
      </c>
      <c r="X349" s="54"/>
      <c r="Y349" s="56" t="s">
        <v>106</v>
      </c>
      <c r="Z349" s="56" t="str">
        <f>Z347</f>
        <v>KELURAHAN POYOWA BESAR SATU KOTAMOBAGU</v>
      </c>
      <c r="AA349" s="55"/>
      <c r="AB349" s="55"/>
      <c r="AC349" s="55" t="s">
        <v>70</v>
      </c>
      <c r="AD349" s="112" t="s">
        <v>119</v>
      </c>
      <c r="AE349" s="57"/>
      <c r="AF349" s="57"/>
      <c r="AG349" s="57"/>
      <c r="AH349" s="57"/>
      <c r="AI349" s="58"/>
      <c r="AJ349" s="114" t="s">
        <v>916</v>
      </c>
      <c r="AK349" s="55" t="s">
        <v>96</v>
      </c>
      <c r="AL349" s="62"/>
      <c r="AM349" s="184"/>
      <c r="AN349" s="184"/>
      <c r="AO349" s="184"/>
      <c r="AP349" s="184"/>
      <c r="AQ349" s="185" t="s">
        <v>97</v>
      </c>
      <c r="AR349" s="59" t="str">
        <f>AR347</f>
        <v>KTG.100.0101</v>
      </c>
      <c r="AS349" s="60" t="str">
        <f>AS334</f>
        <v>KPBS-2.020</v>
      </c>
      <c r="AT349" s="60" t="str">
        <f>G349</f>
        <v>C02</v>
      </c>
      <c r="AU349" s="61"/>
      <c r="AV349" s="201">
        <v>0.70961013949999896</v>
      </c>
      <c r="AW349" s="201">
        <v>124.3262115805</v>
      </c>
      <c r="AX349" s="62" t="s">
        <v>98</v>
      </c>
      <c r="AY349" s="62" t="s">
        <v>94</v>
      </c>
      <c r="AZ349" s="62" t="s">
        <v>94</v>
      </c>
      <c r="BA349" s="63" t="s">
        <v>77</v>
      </c>
      <c r="BB349" s="62" t="s">
        <v>98</v>
      </c>
      <c r="BC349" s="62">
        <v>31</v>
      </c>
      <c r="BD349" s="62" t="s">
        <v>98</v>
      </c>
      <c r="BE349" s="211" t="str">
        <f t="shared" si="152"/>
        <v>477, POYOWA BESAR,</v>
      </c>
    </row>
    <row r="350" spans="1:57" s="211" customFormat="1" ht="15.75" customHeight="1">
      <c r="A350" s="21"/>
      <c r="B350" s="21"/>
      <c r="C350" s="22" t="s">
        <v>350</v>
      </c>
      <c r="D350" s="22" t="s">
        <v>348</v>
      </c>
      <c r="E350" s="33">
        <v>1</v>
      </c>
      <c r="F350" s="6">
        <f>F349+1</f>
        <v>4</v>
      </c>
      <c r="G350" s="213"/>
      <c r="H350" s="12">
        <v>2</v>
      </c>
      <c r="I350" s="64" t="str">
        <f>I349</f>
        <v>MR.KPBS.P103</v>
      </c>
      <c r="J350" s="64">
        <f t="shared" ref="J350:M350" si="171">J349</f>
        <v>0.70940194869999995</v>
      </c>
      <c r="K350" s="64">
        <f t="shared" si="171"/>
        <v>124.3261707507</v>
      </c>
      <c r="L350" s="64" t="str">
        <f t="shared" si="171"/>
        <v>JL. RAYA POYOWA BESAR</v>
      </c>
      <c r="M350" s="64" t="str">
        <f t="shared" si="171"/>
        <v>SULAWESI UTARA</v>
      </c>
      <c r="N350" s="65" t="s">
        <v>105</v>
      </c>
      <c r="O350" s="66" t="s">
        <v>118</v>
      </c>
      <c r="P350" s="65" t="s">
        <v>119</v>
      </c>
      <c r="Q350" s="66">
        <v>95717</v>
      </c>
      <c r="R350" s="98"/>
      <c r="S350" s="99"/>
      <c r="T350" s="100"/>
      <c r="U350" s="99"/>
      <c r="V350" s="100"/>
      <c r="W350" s="97" t="s">
        <v>105</v>
      </c>
      <c r="X350" s="101"/>
      <c r="Y350" s="64" t="s">
        <v>106</v>
      </c>
      <c r="Z350" s="64" t="str">
        <f t="shared" si="150"/>
        <v>KELURAHAN POYOWA BESAR SATU KOTAMOBAGU</v>
      </c>
      <c r="AA350" s="102"/>
      <c r="AB350" s="102"/>
      <c r="AC350" s="102" t="s">
        <v>70</v>
      </c>
      <c r="AD350" s="64" t="str">
        <f t="shared" ref="AD350:AD361" si="172">AD349</f>
        <v>POYOWA BESAR</v>
      </c>
      <c r="AE350" s="103"/>
      <c r="AF350" s="103"/>
      <c r="AG350" s="103"/>
      <c r="AH350" s="103"/>
      <c r="AI350" s="104"/>
      <c r="AJ350" s="11" t="s">
        <v>917</v>
      </c>
      <c r="AK350" s="102" t="s">
        <v>96</v>
      </c>
      <c r="AL350" s="106"/>
      <c r="AM350" s="192"/>
      <c r="AN350" s="192"/>
      <c r="AO350" s="192"/>
      <c r="AP350" s="192"/>
      <c r="AQ350" s="180" t="s">
        <v>97</v>
      </c>
      <c r="AR350" s="70" t="str">
        <f t="shared" si="146"/>
        <v>KTG.100.0101</v>
      </c>
      <c r="AS350" s="71" t="str">
        <f t="shared" si="142"/>
        <v>KPBS-2.020</v>
      </c>
      <c r="AT350" s="71" t="str">
        <f t="shared" si="142"/>
        <v>C02</v>
      </c>
      <c r="AU350" s="105"/>
      <c r="AV350" s="202">
        <v>0.70951921009999996</v>
      </c>
      <c r="AW350" s="202">
        <v>124.3262408121</v>
      </c>
      <c r="AX350" s="106" t="s">
        <v>98</v>
      </c>
      <c r="AY350" s="106" t="s">
        <v>94</v>
      </c>
      <c r="AZ350" s="106" t="s">
        <v>94</v>
      </c>
      <c r="BA350" s="73" t="s">
        <v>77</v>
      </c>
      <c r="BB350" s="106" t="s">
        <v>98</v>
      </c>
      <c r="BC350" s="106">
        <v>31</v>
      </c>
      <c r="BD350" s="106" t="s">
        <v>98</v>
      </c>
      <c r="BE350" s="211" t="str">
        <f t="shared" si="152"/>
        <v>478, POYOWA BESAR,</v>
      </c>
    </row>
    <row r="351" spans="1:57" s="211" customFormat="1" ht="15.75" customHeight="1">
      <c r="A351" s="215"/>
      <c r="B351" s="216"/>
      <c r="C351" s="216"/>
      <c r="D351" s="216"/>
      <c r="E351" s="216"/>
      <c r="F351" s="216"/>
      <c r="G351" s="217"/>
      <c r="H351" s="12">
        <v>3</v>
      </c>
      <c r="I351" s="64" t="str">
        <f t="shared" ref="I351:M361" si="173">I350</f>
        <v>MR.KPBS.P103</v>
      </c>
      <c r="J351" s="64">
        <f t="shared" si="173"/>
        <v>0.70940194869999995</v>
      </c>
      <c r="K351" s="64">
        <f t="shared" si="173"/>
        <v>124.3261707507</v>
      </c>
      <c r="L351" s="64" t="str">
        <f t="shared" si="173"/>
        <v>JL. RAYA POYOWA BESAR</v>
      </c>
      <c r="M351" s="64" t="str">
        <f t="shared" si="173"/>
        <v>SULAWESI UTARA</v>
      </c>
      <c r="N351" s="65" t="s">
        <v>105</v>
      </c>
      <c r="O351" s="66" t="s">
        <v>118</v>
      </c>
      <c r="P351" s="65" t="s">
        <v>119</v>
      </c>
      <c r="Q351" s="66">
        <v>95717</v>
      </c>
      <c r="R351" s="98"/>
      <c r="S351" s="99"/>
      <c r="T351" s="100"/>
      <c r="U351" s="99"/>
      <c r="V351" s="100"/>
      <c r="W351" s="97" t="s">
        <v>105</v>
      </c>
      <c r="X351" s="101"/>
      <c r="Y351" s="64" t="s">
        <v>106</v>
      </c>
      <c r="Z351" s="64" t="str">
        <f t="shared" si="150"/>
        <v>KELURAHAN POYOWA BESAR SATU KOTAMOBAGU</v>
      </c>
      <c r="AA351" s="102"/>
      <c r="AB351" s="102"/>
      <c r="AC351" s="102" t="s">
        <v>70</v>
      </c>
      <c r="AD351" s="64" t="str">
        <f t="shared" si="172"/>
        <v>POYOWA BESAR</v>
      </c>
      <c r="AE351" s="103"/>
      <c r="AF351" s="103"/>
      <c r="AG351" s="103"/>
      <c r="AH351" s="103"/>
      <c r="AI351" s="104"/>
      <c r="AJ351" s="11" t="s">
        <v>918</v>
      </c>
      <c r="AK351" s="102" t="s">
        <v>96</v>
      </c>
      <c r="AL351" s="106"/>
      <c r="AM351" s="192"/>
      <c r="AN351" s="192"/>
      <c r="AO351" s="192"/>
      <c r="AP351" s="192"/>
      <c r="AQ351" s="180" t="s">
        <v>97</v>
      </c>
      <c r="AR351" s="70" t="str">
        <f t="shared" si="146"/>
        <v>KTG.100.0101</v>
      </c>
      <c r="AS351" s="71" t="str">
        <f t="shared" si="142"/>
        <v>KPBS-2.020</v>
      </c>
      <c r="AT351" s="71" t="str">
        <f t="shared" si="142"/>
        <v>C02</v>
      </c>
      <c r="AU351" s="105"/>
      <c r="AV351" s="202">
        <v>0.70944597409999999</v>
      </c>
      <c r="AW351" s="202">
        <v>124.32626712059999</v>
      </c>
      <c r="AX351" s="106" t="s">
        <v>98</v>
      </c>
      <c r="AY351" s="106" t="s">
        <v>94</v>
      </c>
      <c r="AZ351" s="106" t="s">
        <v>94</v>
      </c>
      <c r="BA351" s="73" t="s">
        <v>77</v>
      </c>
      <c r="BB351" s="106" t="s">
        <v>98</v>
      </c>
      <c r="BC351" s="106">
        <v>31</v>
      </c>
      <c r="BD351" s="106" t="s">
        <v>98</v>
      </c>
      <c r="BE351" s="211" t="str">
        <f t="shared" si="152"/>
        <v>479, POYOWA BESAR,</v>
      </c>
    </row>
    <row r="352" spans="1:57" s="211" customFormat="1" ht="15.75" customHeight="1">
      <c r="A352" s="218"/>
      <c r="B352" s="219"/>
      <c r="C352" s="219"/>
      <c r="D352" s="219"/>
      <c r="E352" s="219"/>
      <c r="F352" s="219"/>
      <c r="G352" s="220"/>
      <c r="H352" s="12">
        <v>4</v>
      </c>
      <c r="I352" s="64" t="str">
        <f t="shared" si="173"/>
        <v>MR.KPBS.P103</v>
      </c>
      <c r="J352" s="64">
        <f t="shared" si="173"/>
        <v>0.70940194869999995</v>
      </c>
      <c r="K352" s="64">
        <f t="shared" si="173"/>
        <v>124.3261707507</v>
      </c>
      <c r="L352" s="64" t="str">
        <f t="shared" si="173"/>
        <v>JL. RAYA POYOWA BESAR</v>
      </c>
      <c r="M352" s="64" t="str">
        <f t="shared" si="173"/>
        <v>SULAWESI UTARA</v>
      </c>
      <c r="N352" s="65" t="s">
        <v>105</v>
      </c>
      <c r="O352" s="66" t="s">
        <v>118</v>
      </c>
      <c r="P352" s="65" t="s">
        <v>119</v>
      </c>
      <c r="Q352" s="66">
        <v>95717</v>
      </c>
      <c r="R352" s="98"/>
      <c r="S352" s="99"/>
      <c r="T352" s="100"/>
      <c r="U352" s="99"/>
      <c r="V352" s="100"/>
      <c r="W352" s="97" t="s">
        <v>105</v>
      </c>
      <c r="X352" s="101"/>
      <c r="Y352" s="64" t="s">
        <v>106</v>
      </c>
      <c r="Z352" s="64" t="str">
        <f t="shared" si="150"/>
        <v>KELURAHAN POYOWA BESAR SATU KOTAMOBAGU</v>
      </c>
      <c r="AA352" s="102"/>
      <c r="AB352" s="102"/>
      <c r="AC352" s="102" t="s">
        <v>70</v>
      </c>
      <c r="AD352" s="64" t="str">
        <f t="shared" si="172"/>
        <v>POYOWA BESAR</v>
      </c>
      <c r="AE352" s="103"/>
      <c r="AF352" s="103"/>
      <c r="AG352" s="103"/>
      <c r="AH352" s="103"/>
      <c r="AI352" s="104"/>
      <c r="AJ352" s="11" t="s">
        <v>919</v>
      </c>
      <c r="AK352" s="102" t="s">
        <v>96</v>
      </c>
      <c r="AL352" s="106"/>
      <c r="AM352" s="192"/>
      <c r="AN352" s="192"/>
      <c r="AO352" s="192"/>
      <c r="AP352" s="192"/>
      <c r="AQ352" s="180" t="s">
        <v>97</v>
      </c>
      <c r="AR352" s="70" t="str">
        <f t="shared" si="146"/>
        <v>KTG.100.0101</v>
      </c>
      <c r="AS352" s="71" t="str">
        <f t="shared" si="142"/>
        <v>KPBS-2.020</v>
      </c>
      <c r="AT352" s="71" t="str">
        <f t="shared" si="142"/>
        <v>C02</v>
      </c>
      <c r="AU352" s="105"/>
      <c r="AV352" s="202">
        <v>0.70938341400000005</v>
      </c>
      <c r="AW352" s="202">
        <v>124.3264936138</v>
      </c>
      <c r="AX352" s="106" t="s">
        <v>98</v>
      </c>
      <c r="AY352" s="106" t="s">
        <v>94</v>
      </c>
      <c r="AZ352" s="106" t="s">
        <v>94</v>
      </c>
      <c r="BA352" s="73" t="s">
        <v>77</v>
      </c>
      <c r="BB352" s="106" t="s">
        <v>98</v>
      </c>
      <c r="BC352" s="106">
        <v>31</v>
      </c>
      <c r="BD352" s="106" t="s">
        <v>98</v>
      </c>
      <c r="BE352" s="211" t="str">
        <f t="shared" si="152"/>
        <v>102, POYOWA BESAR,</v>
      </c>
    </row>
    <row r="353" spans="1:57" s="211" customFormat="1" ht="15.75" customHeight="1">
      <c r="A353" s="218"/>
      <c r="B353" s="219"/>
      <c r="C353" s="219"/>
      <c r="D353" s="219"/>
      <c r="E353" s="219"/>
      <c r="F353" s="219"/>
      <c r="G353" s="220"/>
      <c r="H353" s="12">
        <v>5</v>
      </c>
      <c r="I353" s="64" t="str">
        <f t="shared" si="173"/>
        <v>MR.KPBS.P103</v>
      </c>
      <c r="J353" s="64">
        <f t="shared" si="173"/>
        <v>0.70940194869999995</v>
      </c>
      <c r="K353" s="64">
        <f t="shared" si="173"/>
        <v>124.3261707507</v>
      </c>
      <c r="L353" s="64" t="str">
        <f t="shared" si="173"/>
        <v>JL. RAYA POYOWA BESAR</v>
      </c>
      <c r="M353" s="64" t="str">
        <f t="shared" si="173"/>
        <v>SULAWESI UTARA</v>
      </c>
      <c r="N353" s="65" t="s">
        <v>105</v>
      </c>
      <c r="O353" s="66" t="s">
        <v>118</v>
      </c>
      <c r="P353" s="65" t="s">
        <v>119</v>
      </c>
      <c r="Q353" s="66">
        <v>95717</v>
      </c>
      <c r="R353" s="98"/>
      <c r="S353" s="99"/>
      <c r="T353" s="100"/>
      <c r="U353" s="99"/>
      <c r="V353" s="100"/>
      <c r="W353" s="97" t="s">
        <v>105</v>
      </c>
      <c r="X353" s="101"/>
      <c r="Y353" s="64" t="s">
        <v>106</v>
      </c>
      <c r="Z353" s="64" t="str">
        <f t="shared" si="150"/>
        <v>KELURAHAN POYOWA BESAR SATU KOTAMOBAGU</v>
      </c>
      <c r="AA353" s="102"/>
      <c r="AB353" s="102"/>
      <c r="AC353" s="102" t="s">
        <v>70</v>
      </c>
      <c r="AD353" s="64" t="str">
        <f t="shared" si="172"/>
        <v>POYOWA BESAR</v>
      </c>
      <c r="AE353" s="103"/>
      <c r="AF353" s="103"/>
      <c r="AG353" s="103"/>
      <c r="AH353" s="103"/>
      <c r="AI353" s="104"/>
      <c r="AJ353" s="11" t="s">
        <v>920</v>
      </c>
      <c r="AK353" s="102" t="s">
        <v>96</v>
      </c>
      <c r="AL353" s="106"/>
      <c r="AM353" s="192"/>
      <c r="AN353" s="192"/>
      <c r="AO353" s="192"/>
      <c r="AP353" s="192"/>
      <c r="AQ353" s="180" t="s">
        <v>97</v>
      </c>
      <c r="AR353" s="70" t="str">
        <f t="shared" si="146"/>
        <v>KTG.100.0101</v>
      </c>
      <c r="AS353" s="71" t="str">
        <f t="shared" si="142"/>
        <v>KPBS-2.020</v>
      </c>
      <c r="AT353" s="71" t="str">
        <f t="shared" si="142"/>
        <v>C02</v>
      </c>
      <c r="AU353" s="105"/>
      <c r="AV353" s="202">
        <v>0.7093358957</v>
      </c>
      <c r="AW353" s="202">
        <v>124.3263271149</v>
      </c>
      <c r="AX353" s="106" t="s">
        <v>98</v>
      </c>
      <c r="AY353" s="106" t="s">
        <v>94</v>
      </c>
      <c r="AZ353" s="106" t="s">
        <v>94</v>
      </c>
      <c r="BA353" s="73" t="s">
        <v>77</v>
      </c>
      <c r="BB353" s="106" t="s">
        <v>98</v>
      </c>
      <c r="BC353" s="106">
        <v>31</v>
      </c>
      <c r="BD353" s="106" t="s">
        <v>98</v>
      </c>
      <c r="BE353" s="211" t="str">
        <f t="shared" si="152"/>
        <v>480, POYOWA BESAR,</v>
      </c>
    </row>
    <row r="354" spans="1:57" s="211" customFormat="1" ht="15.75" customHeight="1">
      <c r="A354" s="218"/>
      <c r="B354" s="219"/>
      <c r="C354" s="219"/>
      <c r="D354" s="219"/>
      <c r="E354" s="219"/>
      <c r="F354" s="219"/>
      <c r="G354" s="220"/>
      <c r="H354" s="12">
        <v>6</v>
      </c>
      <c r="I354" s="64" t="str">
        <f t="shared" si="173"/>
        <v>MR.KPBS.P103</v>
      </c>
      <c r="J354" s="64">
        <f t="shared" si="173"/>
        <v>0.70940194869999995</v>
      </c>
      <c r="K354" s="64">
        <f t="shared" si="173"/>
        <v>124.3261707507</v>
      </c>
      <c r="L354" s="64" t="str">
        <f t="shared" si="173"/>
        <v>JL. RAYA POYOWA BESAR</v>
      </c>
      <c r="M354" s="64" t="str">
        <f t="shared" si="173"/>
        <v>SULAWESI UTARA</v>
      </c>
      <c r="N354" s="65" t="s">
        <v>105</v>
      </c>
      <c r="O354" s="66" t="s">
        <v>118</v>
      </c>
      <c r="P354" s="65" t="s">
        <v>119</v>
      </c>
      <c r="Q354" s="66">
        <v>95717</v>
      </c>
      <c r="R354" s="98"/>
      <c r="S354" s="99"/>
      <c r="T354" s="100"/>
      <c r="U354" s="99"/>
      <c r="V354" s="100"/>
      <c r="W354" s="97" t="s">
        <v>105</v>
      </c>
      <c r="X354" s="101"/>
      <c r="Y354" s="64" t="s">
        <v>106</v>
      </c>
      <c r="Z354" s="64" t="str">
        <f t="shared" si="150"/>
        <v>KELURAHAN POYOWA BESAR SATU KOTAMOBAGU</v>
      </c>
      <c r="AA354" s="102"/>
      <c r="AB354" s="102"/>
      <c r="AC354" s="102" t="s">
        <v>70</v>
      </c>
      <c r="AD354" s="64" t="str">
        <f t="shared" si="172"/>
        <v>POYOWA BESAR</v>
      </c>
      <c r="AE354" s="103"/>
      <c r="AF354" s="103"/>
      <c r="AG354" s="103"/>
      <c r="AH354" s="103"/>
      <c r="AI354" s="104"/>
      <c r="AJ354" s="11" t="s">
        <v>921</v>
      </c>
      <c r="AK354" s="102" t="s">
        <v>96</v>
      </c>
      <c r="AL354" s="106"/>
      <c r="AM354" s="192"/>
      <c r="AN354" s="192"/>
      <c r="AO354" s="192"/>
      <c r="AP354" s="192"/>
      <c r="AQ354" s="180" t="s">
        <v>97</v>
      </c>
      <c r="AR354" s="70" t="str">
        <f t="shared" si="146"/>
        <v>KTG.100.0101</v>
      </c>
      <c r="AS354" s="71" t="str">
        <f t="shared" ref="AS354" si="174">AS353</f>
        <v>KPBS-2.020</v>
      </c>
      <c r="AT354" s="71" t="str">
        <f t="shared" ref="AT354" si="175">AT353</f>
        <v>C02</v>
      </c>
      <c r="AU354" s="105"/>
      <c r="AV354" s="202">
        <v>0.70926943659999997</v>
      </c>
      <c r="AW354" s="202">
        <v>124.326460703</v>
      </c>
      <c r="AX354" s="106" t="s">
        <v>98</v>
      </c>
      <c r="AY354" s="106" t="s">
        <v>94</v>
      </c>
      <c r="AZ354" s="106" t="s">
        <v>94</v>
      </c>
      <c r="BA354" s="73" t="s">
        <v>77</v>
      </c>
      <c r="BB354" s="106" t="s">
        <v>98</v>
      </c>
      <c r="BC354" s="106">
        <v>31</v>
      </c>
      <c r="BD354" s="106" t="s">
        <v>98</v>
      </c>
      <c r="BE354" s="211" t="str">
        <f t="shared" ref="BE354" si="176">AJ354&amp;", "&amp;AD354&amp;","&amp;AI354</f>
        <v>481, POYOWA BESAR,</v>
      </c>
    </row>
    <row r="355" spans="1:57" s="211" customFormat="1" ht="15.75" customHeight="1">
      <c r="A355" s="218"/>
      <c r="B355" s="219"/>
      <c r="C355" s="219"/>
      <c r="D355" s="219"/>
      <c r="E355" s="219"/>
      <c r="F355" s="219"/>
      <c r="G355" s="220"/>
      <c r="H355" s="12">
        <v>7</v>
      </c>
      <c r="I355" s="64" t="str">
        <f>I353</f>
        <v>MR.KPBS.P103</v>
      </c>
      <c r="J355" s="64">
        <f>J353</f>
        <v>0.70940194869999995</v>
      </c>
      <c r="K355" s="64">
        <f>K353</f>
        <v>124.3261707507</v>
      </c>
      <c r="L355" s="64" t="str">
        <f>L353</f>
        <v>JL. RAYA POYOWA BESAR</v>
      </c>
      <c r="M355" s="64" t="str">
        <f t="shared" ref="M355" si="177">M354</f>
        <v>SULAWESI UTARA</v>
      </c>
      <c r="N355" s="65" t="s">
        <v>105</v>
      </c>
      <c r="O355" s="66" t="s">
        <v>118</v>
      </c>
      <c r="P355" s="65" t="s">
        <v>119</v>
      </c>
      <c r="Q355" s="66">
        <v>95717</v>
      </c>
      <c r="R355" s="98"/>
      <c r="S355" s="99"/>
      <c r="T355" s="100"/>
      <c r="U355" s="99"/>
      <c r="V355" s="100"/>
      <c r="W355" s="97" t="s">
        <v>105</v>
      </c>
      <c r="X355" s="101"/>
      <c r="Y355" s="64" t="s">
        <v>106</v>
      </c>
      <c r="Z355" s="64" t="str">
        <f t="shared" si="150"/>
        <v>KELURAHAN POYOWA BESAR SATU KOTAMOBAGU</v>
      </c>
      <c r="AA355" s="102"/>
      <c r="AB355" s="102"/>
      <c r="AC355" s="102" t="s">
        <v>70</v>
      </c>
      <c r="AD355" s="64" t="str">
        <f>AD353</f>
        <v>POYOWA BESAR</v>
      </c>
      <c r="AE355" s="103"/>
      <c r="AF355" s="103"/>
      <c r="AG355" s="103"/>
      <c r="AH355" s="103"/>
      <c r="AI355" s="104"/>
      <c r="AJ355" s="11" t="s">
        <v>922</v>
      </c>
      <c r="AK355" s="102" t="s">
        <v>96</v>
      </c>
      <c r="AL355" s="106"/>
      <c r="AM355" s="192"/>
      <c r="AN355" s="192"/>
      <c r="AO355" s="192"/>
      <c r="AP355" s="192"/>
      <c r="AQ355" s="180" t="s">
        <v>97</v>
      </c>
      <c r="AR355" s="70" t="str">
        <f t="shared" si="146"/>
        <v>KTG.100.0101</v>
      </c>
      <c r="AS355" s="71" t="str">
        <f>AS353</f>
        <v>KPBS-2.020</v>
      </c>
      <c r="AT355" s="71" t="str">
        <f>AT353</f>
        <v>C02</v>
      </c>
      <c r="AU355" s="105"/>
      <c r="AV355" s="202">
        <v>0.70925768389999999</v>
      </c>
      <c r="AW355" s="202">
        <v>124.326085615</v>
      </c>
      <c r="AX355" s="106" t="s">
        <v>98</v>
      </c>
      <c r="AY355" s="106" t="s">
        <v>94</v>
      </c>
      <c r="AZ355" s="106" t="s">
        <v>94</v>
      </c>
      <c r="BA355" s="73" t="s">
        <v>77</v>
      </c>
      <c r="BB355" s="106" t="s">
        <v>98</v>
      </c>
      <c r="BC355" s="106">
        <v>31</v>
      </c>
      <c r="BD355" s="106" t="s">
        <v>98</v>
      </c>
      <c r="BE355" s="211" t="str">
        <f t="shared" si="152"/>
        <v>483, POYOWA BESAR,</v>
      </c>
    </row>
    <row r="356" spans="1:57" s="211" customFormat="1" ht="15.75" customHeight="1">
      <c r="A356" s="218"/>
      <c r="B356" s="219"/>
      <c r="C356" s="219"/>
      <c r="D356" s="219"/>
      <c r="E356" s="219"/>
      <c r="F356" s="219"/>
      <c r="G356" s="220"/>
      <c r="H356" s="12">
        <v>8</v>
      </c>
      <c r="I356" s="64" t="str">
        <f t="shared" si="173"/>
        <v>MR.KPBS.P103</v>
      </c>
      <c r="J356" s="64">
        <f t="shared" si="173"/>
        <v>0.70940194869999995</v>
      </c>
      <c r="K356" s="64">
        <f t="shared" si="173"/>
        <v>124.3261707507</v>
      </c>
      <c r="L356" s="64" t="str">
        <f t="shared" si="173"/>
        <v>JL. RAYA POYOWA BESAR</v>
      </c>
      <c r="M356" s="64" t="str">
        <f t="shared" si="173"/>
        <v>SULAWESI UTARA</v>
      </c>
      <c r="N356" s="65" t="s">
        <v>105</v>
      </c>
      <c r="O356" s="66" t="s">
        <v>118</v>
      </c>
      <c r="P356" s="65" t="s">
        <v>119</v>
      </c>
      <c r="Q356" s="66">
        <v>95717</v>
      </c>
      <c r="R356" s="98"/>
      <c r="S356" s="99"/>
      <c r="T356" s="100"/>
      <c r="U356" s="99"/>
      <c r="V356" s="100"/>
      <c r="W356" s="97" t="s">
        <v>105</v>
      </c>
      <c r="X356" s="101"/>
      <c r="Y356" s="64" t="s">
        <v>106</v>
      </c>
      <c r="Z356" s="64" t="str">
        <f t="shared" si="150"/>
        <v>KELURAHAN POYOWA BESAR SATU KOTAMOBAGU</v>
      </c>
      <c r="AA356" s="102"/>
      <c r="AB356" s="102"/>
      <c r="AC356" s="102" t="s">
        <v>70</v>
      </c>
      <c r="AD356" s="64" t="str">
        <f t="shared" si="172"/>
        <v>POYOWA BESAR</v>
      </c>
      <c r="AE356" s="103"/>
      <c r="AF356" s="103"/>
      <c r="AG356" s="103"/>
      <c r="AH356" s="103"/>
      <c r="AI356" s="104"/>
      <c r="AJ356" s="11" t="s">
        <v>923</v>
      </c>
      <c r="AK356" s="102" t="s">
        <v>96</v>
      </c>
      <c r="AL356" s="106"/>
      <c r="AM356" s="192"/>
      <c r="AN356" s="192"/>
      <c r="AO356" s="192"/>
      <c r="AP356" s="192"/>
      <c r="AQ356" s="180" t="s">
        <v>97</v>
      </c>
      <c r="AR356" s="70" t="str">
        <f t="shared" si="146"/>
        <v>KTG.100.0101</v>
      </c>
      <c r="AS356" s="71" t="str">
        <f t="shared" si="142"/>
        <v>KPBS-2.020</v>
      </c>
      <c r="AT356" s="71" t="str">
        <f t="shared" si="142"/>
        <v>C02</v>
      </c>
      <c r="AU356" s="105"/>
      <c r="AV356" s="202">
        <v>0.70917546350000005</v>
      </c>
      <c r="AW356" s="202">
        <v>124.3260958712</v>
      </c>
      <c r="AX356" s="106" t="s">
        <v>98</v>
      </c>
      <c r="AY356" s="106" t="s">
        <v>94</v>
      </c>
      <c r="AZ356" s="106" t="s">
        <v>94</v>
      </c>
      <c r="BA356" s="73" t="s">
        <v>77</v>
      </c>
      <c r="BB356" s="106" t="s">
        <v>98</v>
      </c>
      <c r="BC356" s="106">
        <v>31</v>
      </c>
      <c r="BD356" s="106" t="s">
        <v>98</v>
      </c>
      <c r="BE356" s="211" t="str">
        <f t="shared" si="152"/>
        <v>482, POYOWA BESAR,</v>
      </c>
    </row>
    <row r="357" spans="1:57" s="211" customFormat="1" ht="15.75" customHeight="1">
      <c r="A357" s="218"/>
      <c r="B357" s="219"/>
      <c r="C357" s="219"/>
      <c r="D357" s="219"/>
      <c r="E357" s="219"/>
      <c r="F357" s="219"/>
      <c r="G357" s="220"/>
      <c r="H357" s="12">
        <v>9</v>
      </c>
      <c r="I357" s="64" t="str">
        <f t="shared" si="173"/>
        <v>MR.KPBS.P103</v>
      </c>
      <c r="J357" s="64">
        <f t="shared" si="173"/>
        <v>0.70940194869999995</v>
      </c>
      <c r="K357" s="64">
        <f t="shared" si="173"/>
        <v>124.3261707507</v>
      </c>
      <c r="L357" s="64" t="str">
        <f t="shared" si="173"/>
        <v>JL. RAYA POYOWA BESAR</v>
      </c>
      <c r="M357" s="64" t="str">
        <f t="shared" si="173"/>
        <v>SULAWESI UTARA</v>
      </c>
      <c r="N357" s="65" t="s">
        <v>105</v>
      </c>
      <c r="O357" s="66" t="s">
        <v>118</v>
      </c>
      <c r="P357" s="65" t="s">
        <v>119</v>
      </c>
      <c r="Q357" s="66">
        <v>95717</v>
      </c>
      <c r="R357" s="98"/>
      <c r="S357" s="99"/>
      <c r="T357" s="100"/>
      <c r="U357" s="99"/>
      <c r="V357" s="100"/>
      <c r="W357" s="97" t="s">
        <v>105</v>
      </c>
      <c r="X357" s="101"/>
      <c r="Y357" s="64" t="s">
        <v>106</v>
      </c>
      <c r="Z357" s="64" t="str">
        <f t="shared" si="150"/>
        <v>KELURAHAN POYOWA BESAR SATU KOTAMOBAGU</v>
      </c>
      <c r="AA357" s="102"/>
      <c r="AB357" s="102"/>
      <c r="AC357" s="102" t="s">
        <v>70</v>
      </c>
      <c r="AD357" s="64" t="str">
        <f t="shared" si="172"/>
        <v>POYOWA BESAR</v>
      </c>
      <c r="AE357" s="103"/>
      <c r="AF357" s="103"/>
      <c r="AG357" s="103"/>
      <c r="AH357" s="103"/>
      <c r="AI357" s="104"/>
      <c r="AJ357" s="11" t="s">
        <v>924</v>
      </c>
      <c r="AK357" s="102" t="s">
        <v>96</v>
      </c>
      <c r="AL357" s="106"/>
      <c r="AM357" s="192"/>
      <c r="AN357" s="192"/>
      <c r="AO357" s="192"/>
      <c r="AP357" s="192"/>
      <c r="AQ357" s="193" t="s">
        <v>97</v>
      </c>
      <c r="AR357" s="70" t="str">
        <f t="shared" si="146"/>
        <v>KTG.100.0101</v>
      </c>
      <c r="AS357" s="71" t="str">
        <f t="shared" si="142"/>
        <v>KPBS-2.020</v>
      </c>
      <c r="AT357" s="71" t="str">
        <f t="shared" si="142"/>
        <v>C02</v>
      </c>
      <c r="AU357" s="105"/>
      <c r="AV357" s="202">
        <v>0.70940305479999999</v>
      </c>
      <c r="AW357" s="202">
        <v>124.3260431245</v>
      </c>
      <c r="AX357" s="106" t="s">
        <v>98</v>
      </c>
      <c r="AY357" s="106" t="s">
        <v>94</v>
      </c>
      <c r="AZ357" s="106" t="s">
        <v>94</v>
      </c>
      <c r="BA357" s="73" t="s">
        <v>77</v>
      </c>
      <c r="BB357" s="106" t="s">
        <v>98</v>
      </c>
      <c r="BC357" s="106">
        <v>31</v>
      </c>
      <c r="BD357" s="106" t="s">
        <v>98</v>
      </c>
      <c r="BE357" s="211" t="str">
        <f t="shared" si="152"/>
        <v>484, POYOWA BESAR,</v>
      </c>
    </row>
    <row r="358" spans="1:57" s="211" customFormat="1" ht="15.75" customHeight="1">
      <c r="A358" s="218"/>
      <c r="B358" s="219"/>
      <c r="C358" s="219"/>
      <c r="D358" s="219"/>
      <c r="E358" s="219"/>
      <c r="F358" s="219"/>
      <c r="G358" s="220"/>
      <c r="H358" s="12">
        <v>10</v>
      </c>
      <c r="I358" s="64" t="str">
        <f t="shared" si="173"/>
        <v>MR.KPBS.P103</v>
      </c>
      <c r="J358" s="64">
        <f t="shared" si="173"/>
        <v>0.70940194869999995</v>
      </c>
      <c r="K358" s="64">
        <f t="shared" si="173"/>
        <v>124.3261707507</v>
      </c>
      <c r="L358" s="64" t="str">
        <f t="shared" si="173"/>
        <v>JL. RAYA POYOWA BESAR</v>
      </c>
      <c r="M358" s="64" t="str">
        <f t="shared" si="173"/>
        <v>SULAWESI UTARA</v>
      </c>
      <c r="N358" s="65" t="s">
        <v>105</v>
      </c>
      <c r="O358" s="66" t="s">
        <v>118</v>
      </c>
      <c r="P358" s="65" t="s">
        <v>119</v>
      </c>
      <c r="Q358" s="66">
        <v>95717</v>
      </c>
      <c r="R358" s="98"/>
      <c r="S358" s="99"/>
      <c r="T358" s="100"/>
      <c r="U358" s="99"/>
      <c r="V358" s="100"/>
      <c r="W358" s="97" t="s">
        <v>105</v>
      </c>
      <c r="X358" s="101"/>
      <c r="Y358" s="64" t="s">
        <v>106</v>
      </c>
      <c r="Z358" s="64" t="str">
        <f t="shared" si="150"/>
        <v>KELURAHAN POYOWA BESAR SATU KOTAMOBAGU</v>
      </c>
      <c r="AA358" s="102"/>
      <c r="AB358" s="102"/>
      <c r="AC358" s="102" t="s">
        <v>70</v>
      </c>
      <c r="AD358" s="64" t="str">
        <f t="shared" si="172"/>
        <v>POYOWA BESAR</v>
      </c>
      <c r="AE358" s="103"/>
      <c r="AF358" s="103"/>
      <c r="AG358" s="103"/>
      <c r="AH358" s="103"/>
      <c r="AI358" s="104"/>
      <c r="AJ358" s="11" t="s">
        <v>925</v>
      </c>
      <c r="AK358" s="102" t="s">
        <v>96</v>
      </c>
      <c r="AL358" s="106"/>
      <c r="AM358" s="106"/>
      <c r="AN358" s="106"/>
      <c r="AO358" s="106"/>
      <c r="AP358" s="106"/>
      <c r="AQ358" s="180" t="s">
        <v>97</v>
      </c>
      <c r="AR358" s="70" t="str">
        <f t="shared" si="146"/>
        <v>KTG.100.0101</v>
      </c>
      <c r="AS358" s="71" t="str">
        <f t="shared" si="142"/>
        <v>KPBS-2.020</v>
      </c>
      <c r="AT358" s="71" t="str">
        <f t="shared" si="142"/>
        <v>C02</v>
      </c>
      <c r="AU358" s="105"/>
      <c r="AV358" s="202">
        <v>0.70924887999999897</v>
      </c>
      <c r="AW358" s="202">
        <v>124.3260035644</v>
      </c>
      <c r="AX358" s="106" t="s">
        <v>98</v>
      </c>
      <c r="AY358" s="106" t="s">
        <v>94</v>
      </c>
      <c r="AZ358" s="106" t="s">
        <v>94</v>
      </c>
      <c r="BA358" s="73" t="s">
        <v>77</v>
      </c>
      <c r="BB358" s="106" t="s">
        <v>98</v>
      </c>
      <c r="BC358" s="106">
        <v>31</v>
      </c>
      <c r="BD358" s="106" t="s">
        <v>98</v>
      </c>
      <c r="BE358" s="211" t="str">
        <f t="shared" si="152"/>
        <v>486, POYOWA BESAR,</v>
      </c>
    </row>
    <row r="359" spans="1:57" s="211" customFormat="1" ht="15.75" customHeight="1">
      <c r="A359" s="218"/>
      <c r="B359" s="219"/>
      <c r="C359" s="219"/>
      <c r="D359" s="219"/>
      <c r="E359" s="219"/>
      <c r="F359" s="219"/>
      <c r="G359" s="220"/>
      <c r="H359" s="12">
        <v>11</v>
      </c>
      <c r="I359" s="64" t="str">
        <f t="shared" si="173"/>
        <v>MR.KPBS.P103</v>
      </c>
      <c r="J359" s="64">
        <f t="shared" si="173"/>
        <v>0.70940194869999995</v>
      </c>
      <c r="K359" s="64">
        <f t="shared" si="173"/>
        <v>124.3261707507</v>
      </c>
      <c r="L359" s="64" t="str">
        <f t="shared" si="173"/>
        <v>JL. RAYA POYOWA BESAR</v>
      </c>
      <c r="M359" s="64" t="str">
        <f t="shared" si="173"/>
        <v>SULAWESI UTARA</v>
      </c>
      <c r="N359" s="65" t="s">
        <v>105</v>
      </c>
      <c r="O359" s="66" t="s">
        <v>118</v>
      </c>
      <c r="P359" s="65" t="s">
        <v>119</v>
      </c>
      <c r="Q359" s="66">
        <v>95717</v>
      </c>
      <c r="R359" s="98"/>
      <c r="S359" s="99"/>
      <c r="T359" s="100"/>
      <c r="U359" s="99"/>
      <c r="V359" s="100"/>
      <c r="W359" s="97" t="s">
        <v>105</v>
      </c>
      <c r="X359" s="101"/>
      <c r="Y359" s="64" t="s">
        <v>106</v>
      </c>
      <c r="Z359" s="64" t="str">
        <f t="shared" si="150"/>
        <v>KELURAHAN POYOWA BESAR SATU KOTAMOBAGU</v>
      </c>
      <c r="AA359" s="102"/>
      <c r="AB359" s="102"/>
      <c r="AC359" s="102" t="s">
        <v>70</v>
      </c>
      <c r="AD359" s="64" t="str">
        <f t="shared" si="172"/>
        <v>POYOWA BESAR</v>
      </c>
      <c r="AE359" s="103"/>
      <c r="AF359" s="103"/>
      <c r="AG359" s="103"/>
      <c r="AH359" s="103"/>
      <c r="AI359" s="104"/>
      <c r="AJ359" s="11" t="s">
        <v>926</v>
      </c>
      <c r="AK359" s="102" t="s">
        <v>96</v>
      </c>
      <c r="AL359" s="106"/>
      <c r="AM359" s="106"/>
      <c r="AN359" s="106"/>
      <c r="AO359" s="106"/>
      <c r="AP359" s="106"/>
      <c r="AQ359" s="180" t="s">
        <v>97</v>
      </c>
      <c r="AR359" s="70" t="str">
        <f t="shared" si="146"/>
        <v>KTG.100.0101</v>
      </c>
      <c r="AS359" s="71" t="str">
        <f t="shared" si="142"/>
        <v>KPBS-2.020</v>
      </c>
      <c r="AT359" s="71" t="str">
        <f t="shared" si="142"/>
        <v>C02</v>
      </c>
      <c r="AU359" s="105"/>
      <c r="AV359" s="202">
        <v>0.70938396650000002</v>
      </c>
      <c r="AW359" s="202">
        <v>124.3259581436</v>
      </c>
      <c r="AX359" s="106" t="s">
        <v>98</v>
      </c>
      <c r="AY359" s="106" t="s">
        <v>94</v>
      </c>
      <c r="AZ359" s="106" t="s">
        <v>94</v>
      </c>
      <c r="BA359" s="73" t="s">
        <v>77</v>
      </c>
      <c r="BB359" s="106" t="s">
        <v>98</v>
      </c>
      <c r="BC359" s="106">
        <v>31</v>
      </c>
      <c r="BD359" s="106" t="s">
        <v>98</v>
      </c>
      <c r="BE359" s="211" t="str">
        <f t="shared" si="152"/>
        <v>485, POYOWA BESAR,</v>
      </c>
    </row>
    <row r="360" spans="1:57" s="211" customFormat="1" ht="15.75" customHeight="1">
      <c r="A360" s="218"/>
      <c r="B360" s="219"/>
      <c r="C360" s="219"/>
      <c r="D360" s="219"/>
      <c r="E360" s="219"/>
      <c r="F360" s="219"/>
      <c r="G360" s="220"/>
      <c r="H360" s="12">
        <v>12</v>
      </c>
      <c r="I360" s="64" t="str">
        <f t="shared" si="173"/>
        <v>MR.KPBS.P103</v>
      </c>
      <c r="J360" s="64">
        <f t="shared" si="173"/>
        <v>0.70940194869999995</v>
      </c>
      <c r="K360" s="64">
        <f t="shared" si="173"/>
        <v>124.3261707507</v>
      </c>
      <c r="L360" s="64" t="str">
        <f t="shared" si="173"/>
        <v>JL. RAYA POYOWA BESAR</v>
      </c>
      <c r="M360" s="64" t="str">
        <f t="shared" si="173"/>
        <v>SULAWESI UTARA</v>
      </c>
      <c r="N360" s="65" t="s">
        <v>105</v>
      </c>
      <c r="O360" s="66" t="s">
        <v>118</v>
      </c>
      <c r="P360" s="65" t="s">
        <v>119</v>
      </c>
      <c r="Q360" s="66">
        <v>95717</v>
      </c>
      <c r="R360" s="98"/>
      <c r="S360" s="99"/>
      <c r="T360" s="100"/>
      <c r="U360" s="99"/>
      <c r="V360" s="100"/>
      <c r="W360" s="97" t="s">
        <v>105</v>
      </c>
      <c r="X360" s="101"/>
      <c r="Y360" s="64" t="s">
        <v>106</v>
      </c>
      <c r="Z360" s="64" t="str">
        <f t="shared" si="150"/>
        <v>KELURAHAN POYOWA BESAR SATU KOTAMOBAGU</v>
      </c>
      <c r="AA360" s="102"/>
      <c r="AB360" s="102"/>
      <c r="AC360" s="102" t="s">
        <v>70</v>
      </c>
      <c r="AD360" s="64" t="str">
        <f t="shared" si="172"/>
        <v>POYOWA BESAR</v>
      </c>
      <c r="AE360" s="103"/>
      <c r="AF360" s="103"/>
      <c r="AG360" s="103"/>
      <c r="AH360" s="103"/>
      <c r="AI360" s="104"/>
      <c r="AJ360" s="11" t="s">
        <v>927</v>
      </c>
      <c r="AK360" s="102" t="s">
        <v>96</v>
      </c>
      <c r="AL360" s="106"/>
      <c r="AM360" s="106"/>
      <c r="AN360" s="106"/>
      <c r="AO360" s="106"/>
      <c r="AP360" s="106"/>
      <c r="AQ360" s="180" t="s">
        <v>97</v>
      </c>
      <c r="AR360" s="70" t="str">
        <f t="shared" si="146"/>
        <v>KTG.100.0101</v>
      </c>
      <c r="AS360" s="71" t="str">
        <f t="shared" si="142"/>
        <v>KPBS-2.020</v>
      </c>
      <c r="AT360" s="71" t="str">
        <f t="shared" si="142"/>
        <v>C02</v>
      </c>
      <c r="AU360" s="105"/>
      <c r="AV360" s="202">
        <v>0.70918574180000005</v>
      </c>
      <c r="AW360" s="202">
        <v>124.3259185836</v>
      </c>
      <c r="AX360" s="106" t="s">
        <v>98</v>
      </c>
      <c r="AY360" s="106" t="s">
        <v>94</v>
      </c>
      <c r="AZ360" s="106" t="s">
        <v>94</v>
      </c>
      <c r="BA360" s="73" t="s">
        <v>77</v>
      </c>
      <c r="BB360" s="106" t="s">
        <v>98</v>
      </c>
      <c r="BC360" s="106">
        <v>31</v>
      </c>
      <c r="BD360" s="106" t="s">
        <v>98</v>
      </c>
      <c r="BE360" s="211" t="str">
        <f t="shared" si="152"/>
        <v>487, POYOWA BESAR,</v>
      </c>
    </row>
    <row r="361" spans="1:57" s="211" customFormat="1" ht="15.75" customHeight="1">
      <c r="A361" s="218"/>
      <c r="B361" s="219"/>
      <c r="C361" s="219"/>
      <c r="D361" s="219"/>
      <c r="E361" s="219"/>
      <c r="F361" s="219"/>
      <c r="G361" s="220"/>
      <c r="H361" s="12">
        <v>13</v>
      </c>
      <c r="I361" s="64" t="str">
        <f t="shared" si="173"/>
        <v>MR.KPBS.P103</v>
      </c>
      <c r="J361" s="64">
        <f t="shared" si="173"/>
        <v>0.70940194869999995</v>
      </c>
      <c r="K361" s="64">
        <f t="shared" si="173"/>
        <v>124.3261707507</v>
      </c>
      <c r="L361" s="64" t="str">
        <f t="shared" si="173"/>
        <v>JL. RAYA POYOWA BESAR</v>
      </c>
      <c r="M361" s="64" t="str">
        <f t="shared" si="173"/>
        <v>SULAWESI UTARA</v>
      </c>
      <c r="N361" s="65" t="s">
        <v>105</v>
      </c>
      <c r="O361" s="66" t="s">
        <v>118</v>
      </c>
      <c r="P361" s="65" t="s">
        <v>119</v>
      </c>
      <c r="Q361" s="66">
        <v>95717</v>
      </c>
      <c r="R361" s="98"/>
      <c r="S361" s="99"/>
      <c r="T361" s="100"/>
      <c r="U361" s="99"/>
      <c r="V361" s="100"/>
      <c r="W361" s="97" t="s">
        <v>105</v>
      </c>
      <c r="X361" s="101"/>
      <c r="Y361" s="64" t="s">
        <v>106</v>
      </c>
      <c r="Z361" s="64" t="str">
        <f t="shared" si="150"/>
        <v>KELURAHAN POYOWA BESAR SATU KOTAMOBAGU</v>
      </c>
      <c r="AA361" s="102"/>
      <c r="AB361" s="102"/>
      <c r="AC361" s="102" t="s">
        <v>70</v>
      </c>
      <c r="AD361" s="64" t="str">
        <f t="shared" si="172"/>
        <v>POYOWA BESAR</v>
      </c>
      <c r="AE361" s="103"/>
      <c r="AF361" s="103"/>
      <c r="AG361" s="103"/>
      <c r="AH361" s="103"/>
      <c r="AI361" s="104"/>
      <c r="AJ361" s="11" t="s">
        <v>928</v>
      </c>
      <c r="AK361" s="102" t="s">
        <v>96</v>
      </c>
      <c r="AL361" s="106"/>
      <c r="AM361" s="106"/>
      <c r="AN361" s="106"/>
      <c r="AO361" s="106"/>
      <c r="AP361" s="106"/>
      <c r="AQ361" s="180" t="s">
        <v>97</v>
      </c>
      <c r="AR361" s="70" t="str">
        <f t="shared" si="146"/>
        <v>KTG.100.0101</v>
      </c>
      <c r="AS361" s="71" t="str">
        <f t="shared" si="142"/>
        <v>KPBS-2.020</v>
      </c>
      <c r="AT361" s="71" t="str">
        <f t="shared" si="142"/>
        <v>C02</v>
      </c>
      <c r="AU361" s="105"/>
      <c r="AV361" s="202">
        <v>0.70913141349999997</v>
      </c>
      <c r="AW361" s="202">
        <v>124.3258350679</v>
      </c>
      <c r="AX361" s="106" t="s">
        <v>98</v>
      </c>
      <c r="AY361" s="106" t="s">
        <v>94</v>
      </c>
      <c r="AZ361" s="106" t="s">
        <v>94</v>
      </c>
      <c r="BA361" s="73" t="s">
        <v>77</v>
      </c>
      <c r="BB361" s="106" t="s">
        <v>98</v>
      </c>
      <c r="BC361" s="106">
        <v>31</v>
      </c>
      <c r="BD361" s="106" t="s">
        <v>98</v>
      </c>
      <c r="BE361" s="211" t="str">
        <f t="shared" si="152"/>
        <v>488, POYOWA BESAR,</v>
      </c>
    </row>
    <row r="362" spans="1:57" s="211" customFormat="1" ht="15.75" customHeight="1">
      <c r="A362" s="34" t="s">
        <v>104</v>
      </c>
      <c r="B362" s="34">
        <f>B349+1</f>
        <v>27</v>
      </c>
      <c r="C362" s="33" t="s">
        <v>350</v>
      </c>
      <c r="D362" s="33" t="s">
        <v>348</v>
      </c>
      <c r="E362" s="33">
        <v>1</v>
      </c>
      <c r="F362" s="9">
        <f>F350+1</f>
        <v>5</v>
      </c>
      <c r="G362" s="213" t="s">
        <v>257</v>
      </c>
      <c r="H362" s="35">
        <v>1</v>
      </c>
      <c r="I362" s="48" t="s">
        <v>970</v>
      </c>
      <c r="J362" s="54">
        <v>0.70918655610000003</v>
      </c>
      <c r="K362" s="54">
        <v>124.32532119299999</v>
      </c>
      <c r="L362" s="112" t="s">
        <v>116</v>
      </c>
      <c r="M362" s="56" t="str">
        <f t="shared" ref="M362" si="178">M361</f>
        <v>SULAWESI UTARA</v>
      </c>
      <c r="N362" s="76" t="s">
        <v>105</v>
      </c>
      <c r="O362" s="49" t="s">
        <v>118</v>
      </c>
      <c r="P362" s="76" t="s">
        <v>119</v>
      </c>
      <c r="Q362" s="49">
        <v>95717</v>
      </c>
      <c r="R362" s="51"/>
      <c r="S362" s="52"/>
      <c r="T362" s="53"/>
      <c r="U362" s="52"/>
      <c r="V362" s="53"/>
      <c r="W362" s="50" t="s">
        <v>105</v>
      </c>
      <c r="X362" s="54"/>
      <c r="Y362" s="56" t="s">
        <v>106</v>
      </c>
      <c r="Z362" s="56" t="str">
        <f t="shared" si="150"/>
        <v>KELURAHAN POYOWA BESAR SATU KOTAMOBAGU</v>
      </c>
      <c r="AA362" s="55"/>
      <c r="AB362" s="55"/>
      <c r="AC362" s="55" t="s">
        <v>70</v>
      </c>
      <c r="AD362" s="112" t="s">
        <v>119</v>
      </c>
      <c r="AE362" s="57"/>
      <c r="AF362" s="57"/>
      <c r="AG362" s="57"/>
      <c r="AH362" s="57"/>
      <c r="AI362" s="58"/>
      <c r="AJ362" s="114" t="s">
        <v>298</v>
      </c>
      <c r="AK362" s="55" t="s">
        <v>96</v>
      </c>
      <c r="AL362" s="62"/>
      <c r="AM362" s="184"/>
      <c r="AN362" s="184"/>
      <c r="AO362" s="184"/>
      <c r="AP362" s="184"/>
      <c r="AQ362" s="185" t="s">
        <v>97</v>
      </c>
      <c r="AR362" s="59" t="str">
        <f t="shared" si="146"/>
        <v>KTG.100.0101</v>
      </c>
      <c r="AS362" s="60" t="str">
        <f>AS349</f>
        <v>KPBS-2.020</v>
      </c>
      <c r="AT362" s="60" t="str">
        <f>G362</f>
        <v>C03</v>
      </c>
      <c r="AU362" s="61"/>
      <c r="AV362" s="201">
        <v>0.70935900490000003</v>
      </c>
      <c r="AW362" s="201">
        <v>124.325632872</v>
      </c>
      <c r="AX362" s="62" t="s">
        <v>98</v>
      </c>
      <c r="AY362" s="62" t="s">
        <v>94</v>
      </c>
      <c r="AZ362" s="62" t="s">
        <v>94</v>
      </c>
      <c r="BA362" s="63" t="s">
        <v>77</v>
      </c>
      <c r="BB362" s="62" t="s">
        <v>98</v>
      </c>
      <c r="BC362" s="62">
        <v>31</v>
      </c>
      <c r="BD362" s="62" t="s">
        <v>98</v>
      </c>
      <c r="BE362" s="211" t="str">
        <f t="shared" si="152"/>
        <v>489, POYOWA BESAR,</v>
      </c>
    </row>
    <row r="363" spans="1:57" s="211" customFormat="1" ht="15.75" customHeight="1">
      <c r="A363" s="21"/>
      <c r="B363" s="21"/>
      <c r="C363" s="22" t="s">
        <v>350</v>
      </c>
      <c r="D363" s="22" t="s">
        <v>348</v>
      </c>
      <c r="E363" s="33">
        <v>1</v>
      </c>
      <c r="F363" s="6">
        <f>F362+1</f>
        <v>6</v>
      </c>
      <c r="G363" s="213"/>
      <c r="H363" s="12">
        <v>2</v>
      </c>
      <c r="I363" s="64" t="str">
        <f t="shared" ref="I363:M373" si="179">I362</f>
        <v>MR.KPBS.P106</v>
      </c>
      <c r="J363" s="64">
        <f t="shared" si="179"/>
        <v>0.70918655610000003</v>
      </c>
      <c r="K363" s="64">
        <f t="shared" si="179"/>
        <v>124.32532119299999</v>
      </c>
      <c r="L363" s="64" t="str">
        <f t="shared" si="179"/>
        <v>JL. RAYA POYOWA BESAR</v>
      </c>
      <c r="M363" s="64" t="str">
        <f t="shared" si="179"/>
        <v>SULAWESI UTARA</v>
      </c>
      <c r="N363" s="65" t="s">
        <v>105</v>
      </c>
      <c r="O363" s="66" t="s">
        <v>118</v>
      </c>
      <c r="P363" s="65" t="s">
        <v>119</v>
      </c>
      <c r="Q363" s="66">
        <v>95717</v>
      </c>
      <c r="R363" s="98"/>
      <c r="S363" s="99"/>
      <c r="T363" s="100"/>
      <c r="U363" s="99"/>
      <c r="V363" s="100"/>
      <c r="W363" s="97" t="s">
        <v>105</v>
      </c>
      <c r="X363" s="101"/>
      <c r="Y363" s="64" t="s">
        <v>106</v>
      </c>
      <c r="Z363" s="64" t="str">
        <f t="shared" si="150"/>
        <v>KELURAHAN POYOWA BESAR SATU KOTAMOBAGU</v>
      </c>
      <c r="AA363" s="102"/>
      <c r="AB363" s="102"/>
      <c r="AC363" s="102" t="s">
        <v>70</v>
      </c>
      <c r="AD363" s="64" t="str">
        <f t="shared" ref="AD363:AD373" si="180">AD362</f>
        <v>POYOWA BESAR</v>
      </c>
      <c r="AE363" s="103"/>
      <c r="AF363" s="103"/>
      <c r="AG363" s="103"/>
      <c r="AH363" s="103"/>
      <c r="AI363" s="104"/>
      <c r="AJ363" s="11" t="s">
        <v>299</v>
      </c>
      <c r="AK363" s="102" t="s">
        <v>96</v>
      </c>
      <c r="AL363" s="106"/>
      <c r="AM363" s="192"/>
      <c r="AN363" s="192"/>
      <c r="AO363" s="192"/>
      <c r="AP363" s="192"/>
      <c r="AQ363" s="180" t="s">
        <v>97</v>
      </c>
      <c r="AR363" s="70" t="str">
        <f t="shared" si="146"/>
        <v>KTG.100.0101</v>
      </c>
      <c r="AS363" s="71" t="str">
        <f t="shared" si="142"/>
        <v>KPBS-2.020</v>
      </c>
      <c r="AT363" s="71" t="str">
        <f t="shared" si="142"/>
        <v>C03</v>
      </c>
      <c r="AU363" s="105"/>
      <c r="AV363" s="202">
        <v>0.70934432159999905</v>
      </c>
      <c r="AW363" s="202">
        <v>124.3255449607</v>
      </c>
      <c r="AX363" s="106" t="s">
        <v>98</v>
      </c>
      <c r="AY363" s="106" t="s">
        <v>94</v>
      </c>
      <c r="AZ363" s="106" t="s">
        <v>94</v>
      </c>
      <c r="BA363" s="73" t="s">
        <v>77</v>
      </c>
      <c r="BB363" s="106" t="s">
        <v>98</v>
      </c>
      <c r="BC363" s="106">
        <v>31</v>
      </c>
      <c r="BD363" s="106" t="s">
        <v>98</v>
      </c>
      <c r="BE363" s="211" t="str">
        <f t="shared" si="152"/>
        <v>490, POYOWA BESAR,</v>
      </c>
    </row>
    <row r="364" spans="1:57" s="211" customFormat="1" ht="15.75" customHeight="1">
      <c r="A364" s="215"/>
      <c r="B364" s="216"/>
      <c r="C364" s="216"/>
      <c r="D364" s="216"/>
      <c r="E364" s="216"/>
      <c r="F364" s="216"/>
      <c r="G364" s="217"/>
      <c r="H364" s="12">
        <v>3</v>
      </c>
      <c r="I364" s="64" t="str">
        <f t="shared" si="179"/>
        <v>MR.KPBS.P106</v>
      </c>
      <c r="J364" s="64">
        <f t="shared" si="179"/>
        <v>0.70918655610000003</v>
      </c>
      <c r="K364" s="64">
        <f t="shared" si="179"/>
        <v>124.32532119299999</v>
      </c>
      <c r="L364" s="64" t="str">
        <f t="shared" si="179"/>
        <v>JL. RAYA POYOWA BESAR</v>
      </c>
      <c r="M364" s="64" t="str">
        <f t="shared" si="179"/>
        <v>SULAWESI UTARA</v>
      </c>
      <c r="N364" s="65" t="s">
        <v>105</v>
      </c>
      <c r="O364" s="66" t="s">
        <v>118</v>
      </c>
      <c r="P364" s="65" t="s">
        <v>119</v>
      </c>
      <c r="Q364" s="66">
        <v>95717</v>
      </c>
      <c r="R364" s="98"/>
      <c r="S364" s="99"/>
      <c r="T364" s="100"/>
      <c r="U364" s="99"/>
      <c r="V364" s="100"/>
      <c r="W364" s="97" t="s">
        <v>105</v>
      </c>
      <c r="X364" s="101"/>
      <c r="Y364" s="64" t="s">
        <v>106</v>
      </c>
      <c r="Z364" s="64" t="str">
        <f t="shared" si="150"/>
        <v>KELURAHAN POYOWA BESAR SATU KOTAMOBAGU</v>
      </c>
      <c r="AA364" s="102"/>
      <c r="AB364" s="102"/>
      <c r="AC364" s="102" t="s">
        <v>70</v>
      </c>
      <c r="AD364" s="64" t="str">
        <f t="shared" si="180"/>
        <v>POYOWA BESAR</v>
      </c>
      <c r="AE364" s="103"/>
      <c r="AF364" s="103"/>
      <c r="AG364" s="103"/>
      <c r="AH364" s="103"/>
      <c r="AI364" s="104"/>
      <c r="AJ364" s="11" t="s">
        <v>300</v>
      </c>
      <c r="AK364" s="102" t="s">
        <v>96</v>
      </c>
      <c r="AL364" s="106"/>
      <c r="AM364" s="192"/>
      <c r="AN364" s="192"/>
      <c r="AO364" s="192"/>
      <c r="AP364" s="192"/>
      <c r="AQ364" s="180" t="s">
        <v>97</v>
      </c>
      <c r="AR364" s="70" t="str">
        <f t="shared" si="146"/>
        <v>KTG.100.0101</v>
      </c>
      <c r="AS364" s="71" t="str">
        <f t="shared" ref="AS364:AT373" si="181">AS363</f>
        <v>KPBS-2.020</v>
      </c>
      <c r="AT364" s="71" t="str">
        <f t="shared" si="181"/>
        <v>C03</v>
      </c>
      <c r="AU364" s="105"/>
      <c r="AV364" s="202">
        <v>0.7093267016</v>
      </c>
      <c r="AW364" s="202">
        <v>124.325445328</v>
      </c>
      <c r="AX364" s="106" t="s">
        <v>98</v>
      </c>
      <c r="AY364" s="106" t="s">
        <v>94</v>
      </c>
      <c r="AZ364" s="106" t="s">
        <v>94</v>
      </c>
      <c r="BA364" s="73" t="s">
        <v>77</v>
      </c>
      <c r="BB364" s="106" t="s">
        <v>98</v>
      </c>
      <c r="BC364" s="106">
        <v>31</v>
      </c>
      <c r="BD364" s="106" t="s">
        <v>98</v>
      </c>
      <c r="BE364" s="211" t="str">
        <f t="shared" si="152"/>
        <v>491, POYOWA BESAR,</v>
      </c>
    </row>
    <row r="365" spans="1:57" s="211" customFormat="1" ht="15.75" customHeight="1">
      <c r="A365" s="218"/>
      <c r="B365" s="219"/>
      <c r="C365" s="219"/>
      <c r="D365" s="219"/>
      <c r="E365" s="219"/>
      <c r="F365" s="219"/>
      <c r="G365" s="220"/>
      <c r="H365" s="12">
        <v>4</v>
      </c>
      <c r="I365" s="64" t="str">
        <f t="shared" si="179"/>
        <v>MR.KPBS.P106</v>
      </c>
      <c r="J365" s="64">
        <f t="shared" si="179"/>
        <v>0.70918655610000003</v>
      </c>
      <c r="K365" s="64">
        <f t="shared" si="179"/>
        <v>124.32532119299999</v>
      </c>
      <c r="L365" s="64" t="str">
        <f t="shared" si="179"/>
        <v>JL. RAYA POYOWA BESAR</v>
      </c>
      <c r="M365" s="64" t="str">
        <f t="shared" si="179"/>
        <v>SULAWESI UTARA</v>
      </c>
      <c r="N365" s="65" t="s">
        <v>105</v>
      </c>
      <c r="O365" s="66" t="s">
        <v>118</v>
      </c>
      <c r="P365" s="65" t="s">
        <v>119</v>
      </c>
      <c r="Q365" s="66">
        <v>95717</v>
      </c>
      <c r="R365" s="98"/>
      <c r="S365" s="99"/>
      <c r="T365" s="100"/>
      <c r="U365" s="99"/>
      <c r="V365" s="100"/>
      <c r="W365" s="97" t="s">
        <v>105</v>
      </c>
      <c r="X365" s="101"/>
      <c r="Y365" s="64" t="s">
        <v>106</v>
      </c>
      <c r="Z365" s="64" t="str">
        <f t="shared" si="150"/>
        <v>KELURAHAN POYOWA BESAR SATU KOTAMOBAGU</v>
      </c>
      <c r="AA365" s="102"/>
      <c r="AB365" s="102"/>
      <c r="AC365" s="102" t="s">
        <v>70</v>
      </c>
      <c r="AD365" s="64" t="str">
        <f t="shared" si="180"/>
        <v>POYOWA BESAR</v>
      </c>
      <c r="AE365" s="103"/>
      <c r="AF365" s="103"/>
      <c r="AG365" s="103"/>
      <c r="AH365" s="103"/>
      <c r="AI365" s="104"/>
      <c r="AJ365" s="11" t="s">
        <v>301</v>
      </c>
      <c r="AK365" s="102" t="s">
        <v>96</v>
      </c>
      <c r="AL365" s="106"/>
      <c r="AM365" s="192"/>
      <c r="AN365" s="192"/>
      <c r="AO365" s="192"/>
      <c r="AP365" s="192"/>
      <c r="AQ365" s="180" t="s">
        <v>97</v>
      </c>
      <c r="AR365" s="70" t="str">
        <f t="shared" si="146"/>
        <v>KTG.100.0101</v>
      </c>
      <c r="AS365" s="71" t="str">
        <f t="shared" si="181"/>
        <v>KPBS-2.020</v>
      </c>
      <c r="AT365" s="71" t="str">
        <f t="shared" si="181"/>
        <v>C03</v>
      </c>
      <c r="AU365" s="105"/>
      <c r="AV365" s="202">
        <v>0.70929880329999895</v>
      </c>
      <c r="AW365" s="202">
        <v>124.3253720686</v>
      </c>
      <c r="AX365" s="106" t="s">
        <v>98</v>
      </c>
      <c r="AY365" s="106" t="s">
        <v>94</v>
      </c>
      <c r="AZ365" s="106" t="s">
        <v>94</v>
      </c>
      <c r="BA365" s="73" t="s">
        <v>77</v>
      </c>
      <c r="BB365" s="106" t="s">
        <v>98</v>
      </c>
      <c r="BC365" s="106">
        <v>31</v>
      </c>
      <c r="BD365" s="106" t="s">
        <v>98</v>
      </c>
      <c r="BE365" s="211" t="str">
        <f t="shared" si="152"/>
        <v>492, POYOWA BESAR,</v>
      </c>
    </row>
    <row r="366" spans="1:57" s="211" customFormat="1" ht="15.75" customHeight="1">
      <c r="A366" s="218"/>
      <c r="B366" s="219"/>
      <c r="C366" s="219"/>
      <c r="D366" s="219"/>
      <c r="E366" s="219"/>
      <c r="F366" s="219"/>
      <c r="G366" s="220"/>
      <c r="H366" s="12">
        <v>5</v>
      </c>
      <c r="I366" s="64" t="str">
        <f t="shared" si="179"/>
        <v>MR.KPBS.P106</v>
      </c>
      <c r="J366" s="64">
        <f t="shared" si="179"/>
        <v>0.70918655610000003</v>
      </c>
      <c r="K366" s="64">
        <f t="shared" si="179"/>
        <v>124.32532119299999</v>
      </c>
      <c r="L366" s="64" t="str">
        <f t="shared" si="179"/>
        <v>JL. RAYA POYOWA BESAR</v>
      </c>
      <c r="M366" s="64" t="str">
        <f t="shared" si="179"/>
        <v>SULAWESI UTARA</v>
      </c>
      <c r="N366" s="65" t="s">
        <v>105</v>
      </c>
      <c r="O366" s="66" t="s">
        <v>118</v>
      </c>
      <c r="P366" s="65" t="s">
        <v>119</v>
      </c>
      <c r="Q366" s="66">
        <v>95717</v>
      </c>
      <c r="R366" s="98"/>
      <c r="S366" s="99"/>
      <c r="T366" s="100"/>
      <c r="U366" s="99"/>
      <c r="V366" s="100"/>
      <c r="W366" s="97" t="s">
        <v>105</v>
      </c>
      <c r="X366" s="101"/>
      <c r="Y366" s="64" t="s">
        <v>106</v>
      </c>
      <c r="Z366" s="64" t="str">
        <f t="shared" si="150"/>
        <v>KELURAHAN POYOWA BESAR SATU KOTAMOBAGU</v>
      </c>
      <c r="AA366" s="102"/>
      <c r="AB366" s="102"/>
      <c r="AC366" s="102" t="s">
        <v>70</v>
      </c>
      <c r="AD366" s="64" t="str">
        <f t="shared" si="180"/>
        <v>POYOWA BESAR</v>
      </c>
      <c r="AE366" s="103"/>
      <c r="AF366" s="103"/>
      <c r="AG366" s="103"/>
      <c r="AH366" s="103"/>
      <c r="AI366" s="104"/>
      <c r="AJ366" s="11" t="s">
        <v>302</v>
      </c>
      <c r="AK366" s="102" t="s">
        <v>96</v>
      </c>
      <c r="AL366" s="106"/>
      <c r="AM366" s="192"/>
      <c r="AN366" s="192"/>
      <c r="AO366" s="192"/>
      <c r="AP366" s="192"/>
      <c r="AQ366" s="180" t="s">
        <v>97</v>
      </c>
      <c r="AR366" s="70" t="str">
        <f t="shared" si="146"/>
        <v>KTG.100.0101</v>
      </c>
      <c r="AS366" s="71" t="str">
        <f t="shared" si="181"/>
        <v>KPBS-2.020</v>
      </c>
      <c r="AT366" s="71" t="str">
        <f t="shared" si="181"/>
        <v>C03</v>
      </c>
      <c r="AU366" s="105"/>
      <c r="AV366" s="202">
        <v>0.70928982949999997</v>
      </c>
      <c r="AW366" s="202">
        <v>124.3252972083</v>
      </c>
      <c r="AX366" s="106" t="s">
        <v>98</v>
      </c>
      <c r="AY366" s="106" t="s">
        <v>94</v>
      </c>
      <c r="AZ366" s="106" t="s">
        <v>94</v>
      </c>
      <c r="BA366" s="73" t="s">
        <v>77</v>
      </c>
      <c r="BB366" s="106" t="s">
        <v>98</v>
      </c>
      <c r="BC366" s="106">
        <v>31</v>
      </c>
      <c r="BD366" s="106" t="s">
        <v>98</v>
      </c>
      <c r="BE366" s="211" t="str">
        <f t="shared" si="152"/>
        <v>493, POYOWA BESAR,</v>
      </c>
    </row>
    <row r="367" spans="1:57" s="211" customFormat="1" ht="15.75" customHeight="1">
      <c r="A367" s="218"/>
      <c r="B367" s="219"/>
      <c r="C367" s="219"/>
      <c r="D367" s="219"/>
      <c r="E367" s="219"/>
      <c r="F367" s="219"/>
      <c r="G367" s="220"/>
      <c r="H367" s="12">
        <v>6</v>
      </c>
      <c r="I367" s="64" t="str">
        <f t="shared" si="179"/>
        <v>MR.KPBS.P106</v>
      </c>
      <c r="J367" s="64">
        <f t="shared" si="179"/>
        <v>0.70918655610000003</v>
      </c>
      <c r="K367" s="64">
        <f t="shared" si="179"/>
        <v>124.32532119299999</v>
      </c>
      <c r="L367" s="64" t="str">
        <f t="shared" si="179"/>
        <v>JL. RAYA POYOWA BESAR</v>
      </c>
      <c r="M367" s="64" t="str">
        <f t="shared" si="179"/>
        <v>SULAWESI UTARA</v>
      </c>
      <c r="N367" s="65" t="s">
        <v>105</v>
      </c>
      <c r="O367" s="66" t="s">
        <v>118</v>
      </c>
      <c r="P367" s="65" t="s">
        <v>119</v>
      </c>
      <c r="Q367" s="66">
        <v>95717</v>
      </c>
      <c r="R367" s="98"/>
      <c r="S367" s="99"/>
      <c r="T367" s="100"/>
      <c r="U367" s="99"/>
      <c r="V367" s="100"/>
      <c r="W367" s="97" t="s">
        <v>105</v>
      </c>
      <c r="X367" s="101"/>
      <c r="Y367" s="64" t="s">
        <v>106</v>
      </c>
      <c r="Z367" s="64" t="str">
        <f t="shared" si="150"/>
        <v>KELURAHAN POYOWA BESAR SATU KOTAMOBAGU</v>
      </c>
      <c r="AA367" s="102"/>
      <c r="AB367" s="102"/>
      <c r="AC367" s="102" t="s">
        <v>70</v>
      </c>
      <c r="AD367" s="64" t="str">
        <f t="shared" si="180"/>
        <v>POYOWA BESAR</v>
      </c>
      <c r="AE367" s="103"/>
      <c r="AF367" s="103"/>
      <c r="AG367" s="103"/>
      <c r="AH367" s="103"/>
      <c r="AI367" s="104"/>
      <c r="AJ367" s="11" t="s">
        <v>303</v>
      </c>
      <c r="AK367" s="102" t="s">
        <v>96</v>
      </c>
      <c r="AL367" s="106"/>
      <c r="AM367" s="192"/>
      <c r="AN367" s="192"/>
      <c r="AO367" s="192"/>
      <c r="AP367" s="192"/>
      <c r="AQ367" s="180" t="s">
        <v>97</v>
      </c>
      <c r="AR367" s="70" t="str">
        <f t="shared" si="146"/>
        <v>KTG.100.0101</v>
      </c>
      <c r="AS367" s="71" t="str">
        <f t="shared" si="181"/>
        <v>KPBS-2.020</v>
      </c>
      <c r="AT367" s="71" t="str">
        <f t="shared" si="181"/>
        <v>C03</v>
      </c>
      <c r="AU367" s="105"/>
      <c r="AV367" s="202">
        <v>0.70923257080000002</v>
      </c>
      <c r="AW367" s="202">
        <v>124.3252708349</v>
      </c>
      <c r="AX367" s="106" t="s">
        <v>98</v>
      </c>
      <c r="AY367" s="106" t="s">
        <v>94</v>
      </c>
      <c r="AZ367" s="106" t="s">
        <v>94</v>
      </c>
      <c r="BA367" s="73" t="s">
        <v>77</v>
      </c>
      <c r="BB367" s="106" t="s">
        <v>98</v>
      </c>
      <c r="BC367" s="106">
        <v>31</v>
      </c>
      <c r="BD367" s="106" t="s">
        <v>98</v>
      </c>
      <c r="BE367" s="211" t="str">
        <f t="shared" si="152"/>
        <v>494, POYOWA BESAR,</v>
      </c>
    </row>
    <row r="368" spans="1:57" s="211" customFormat="1" ht="15.75" customHeight="1">
      <c r="A368" s="218"/>
      <c r="B368" s="219"/>
      <c r="C368" s="219"/>
      <c r="D368" s="219"/>
      <c r="E368" s="219"/>
      <c r="F368" s="219"/>
      <c r="G368" s="220"/>
      <c r="H368" s="12">
        <v>7</v>
      </c>
      <c r="I368" s="64" t="str">
        <f t="shared" si="179"/>
        <v>MR.KPBS.P106</v>
      </c>
      <c r="J368" s="64">
        <f t="shared" si="179"/>
        <v>0.70918655610000003</v>
      </c>
      <c r="K368" s="64">
        <f t="shared" si="179"/>
        <v>124.32532119299999</v>
      </c>
      <c r="L368" s="64" t="str">
        <f t="shared" si="179"/>
        <v>JL. RAYA POYOWA BESAR</v>
      </c>
      <c r="M368" s="64" t="str">
        <f t="shared" si="179"/>
        <v>SULAWESI UTARA</v>
      </c>
      <c r="N368" s="65" t="s">
        <v>105</v>
      </c>
      <c r="O368" s="66" t="s">
        <v>118</v>
      </c>
      <c r="P368" s="65" t="s">
        <v>119</v>
      </c>
      <c r="Q368" s="66">
        <v>95717</v>
      </c>
      <c r="R368" s="98"/>
      <c r="S368" s="99"/>
      <c r="T368" s="100"/>
      <c r="U368" s="99"/>
      <c r="V368" s="100"/>
      <c r="W368" s="97" t="s">
        <v>105</v>
      </c>
      <c r="X368" s="101"/>
      <c r="Y368" s="64" t="s">
        <v>106</v>
      </c>
      <c r="Z368" s="64" t="str">
        <f t="shared" si="150"/>
        <v>KELURAHAN POYOWA BESAR SATU KOTAMOBAGU</v>
      </c>
      <c r="AA368" s="102"/>
      <c r="AB368" s="102"/>
      <c r="AC368" s="102" t="s">
        <v>70</v>
      </c>
      <c r="AD368" s="64" t="str">
        <f t="shared" si="180"/>
        <v>POYOWA BESAR</v>
      </c>
      <c r="AE368" s="103"/>
      <c r="AF368" s="103"/>
      <c r="AG368" s="103"/>
      <c r="AH368" s="103"/>
      <c r="AI368" s="104"/>
      <c r="AJ368" s="11" t="s">
        <v>304</v>
      </c>
      <c r="AK368" s="102" t="s">
        <v>96</v>
      </c>
      <c r="AL368" s="106"/>
      <c r="AM368" s="192"/>
      <c r="AN368" s="192"/>
      <c r="AO368" s="192"/>
      <c r="AP368" s="192"/>
      <c r="AQ368" s="180" t="s">
        <v>97</v>
      </c>
      <c r="AR368" s="70" t="str">
        <f t="shared" si="146"/>
        <v>KTG.100.0101</v>
      </c>
      <c r="AS368" s="71" t="str">
        <f t="shared" si="181"/>
        <v>KPBS-2.020</v>
      </c>
      <c r="AT368" s="71" t="str">
        <f t="shared" si="181"/>
        <v>C03</v>
      </c>
      <c r="AU368" s="105"/>
      <c r="AV368" s="202">
        <v>0.70903875100000002</v>
      </c>
      <c r="AW368" s="202">
        <v>124.3252210185</v>
      </c>
      <c r="AX368" s="106" t="s">
        <v>98</v>
      </c>
      <c r="AY368" s="106" t="s">
        <v>94</v>
      </c>
      <c r="AZ368" s="106" t="s">
        <v>94</v>
      </c>
      <c r="BA368" s="73" t="s">
        <v>77</v>
      </c>
      <c r="BB368" s="106" t="s">
        <v>98</v>
      </c>
      <c r="BC368" s="106">
        <v>31</v>
      </c>
      <c r="BD368" s="106" t="s">
        <v>98</v>
      </c>
      <c r="BE368" s="211" t="str">
        <f t="shared" si="152"/>
        <v>495, POYOWA BESAR,</v>
      </c>
    </row>
    <row r="369" spans="1:57" s="211" customFormat="1" ht="15.75" customHeight="1">
      <c r="A369" s="218"/>
      <c r="B369" s="219"/>
      <c r="C369" s="219"/>
      <c r="D369" s="219"/>
      <c r="E369" s="219"/>
      <c r="F369" s="219"/>
      <c r="G369" s="220"/>
      <c r="H369" s="12">
        <v>8</v>
      </c>
      <c r="I369" s="64" t="str">
        <f t="shared" si="179"/>
        <v>MR.KPBS.P106</v>
      </c>
      <c r="J369" s="64">
        <f t="shared" si="179"/>
        <v>0.70918655610000003</v>
      </c>
      <c r="K369" s="64">
        <f t="shared" si="179"/>
        <v>124.32532119299999</v>
      </c>
      <c r="L369" s="64" t="str">
        <f t="shared" si="179"/>
        <v>JL. RAYA POYOWA BESAR</v>
      </c>
      <c r="M369" s="64" t="str">
        <f t="shared" si="179"/>
        <v>SULAWESI UTARA</v>
      </c>
      <c r="N369" s="65" t="s">
        <v>105</v>
      </c>
      <c r="O369" s="66" t="s">
        <v>118</v>
      </c>
      <c r="P369" s="65" t="s">
        <v>119</v>
      </c>
      <c r="Q369" s="66">
        <v>95717</v>
      </c>
      <c r="R369" s="98"/>
      <c r="S369" s="99"/>
      <c r="T369" s="100"/>
      <c r="U369" s="99"/>
      <c r="V369" s="100"/>
      <c r="W369" s="97" t="s">
        <v>105</v>
      </c>
      <c r="X369" s="101"/>
      <c r="Y369" s="64" t="s">
        <v>106</v>
      </c>
      <c r="Z369" s="64" t="str">
        <f t="shared" si="150"/>
        <v>KELURAHAN POYOWA BESAR SATU KOTAMOBAGU</v>
      </c>
      <c r="AA369" s="102"/>
      <c r="AB369" s="102"/>
      <c r="AC369" s="102" t="s">
        <v>70</v>
      </c>
      <c r="AD369" s="64" t="str">
        <f t="shared" si="180"/>
        <v>POYOWA BESAR</v>
      </c>
      <c r="AE369" s="103"/>
      <c r="AF369" s="103"/>
      <c r="AG369" s="103"/>
      <c r="AH369" s="103"/>
      <c r="AI369" s="104"/>
      <c r="AJ369" s="11" t="s">
        <v>305</v>
      </c>
      <c r="AK369" s="102" t="s">
        <v>96</v>
      </c>
      <c r="AL369" s="106"/>
      <c r="AM369" s="192"/>
      <c r="AN369" s="192"/>
      <c r="AO369" s="192"/>
      <c r="AP369" s="192"/>
      <c r="AQ369" s="180" t="s">
        <v>97</v>
      </c>
      <c r="AR369" s="70" t="str">
        <f t="shared" si="146"/>
        <v>KTG.100.0101</v>
      </c>
      <c r="AS369" s="71" t="str">
        <f t="shared" si="181"/>
        <v>KPBS-2.020</v>
      </c>
      <c r="AT369" s="71" t="str">
        <f t="shared" si="181"/>
        <v>C03</v>
      </c>
      <c r="AU369" s="105"/>
      <c r="AV369" s="202">
        <v>0.708960929399999</v>
      </c>
      <c r="AW369" s="202">
        <v>124.3252312747</v>
      </c>
      <c r="AX369" s="106" t="s">
        <v>98</v>
      </c>
      <c r="AY369" s="106" t="s">
        <v>94</v>
      </c>
      <c r="AZ369" s="106" t="s">
        <v>94</v>
      </c>
      <c r="BA369" s="73" t="s">
        <v>77</v>
      </c>
      <c r="BB369" s="106" t="s">
        <v>98</v>
      </c>
      <c r="BC369" s="106">
        <v>31</v>
      </c>
      <c r="BD369" s="106" t="s">
        <v>98</v>
      </c>
      <c r="BE369" s="211" t="str">
        <f t="shared" si="152"/>
        <v>496, POYOWA BESAR,</v>
      </c>
    </row>
    <row r="370" spans="1:57" s="211" customFormat="1" ht="15.75" customHeight="1">
      <c r="A370" s="218"/>
      <c r="B370" s="219"/>
      <c r="C370" s="219"/>
      <c r="D370" s="219"/>
      <c r="E370" s="219"/>
      <c r="F370" s="219"/>
      <c r="G370" s="220"/>
      <c r="H370" s="12">
        <v>9</v>
      </c>
      <c r="I370" s="64" t="str">
        <f t="shared" si="179"/>
        <v>MR.KPBS.P106</v>
      </c>
      <c r="J370" s="64">
        <f t="shared" si="179"/>
        <v>0.70918655610000003</v>
      </c>
      <c r="K370" s="64">
        <f t="shared" si="179"/>
        <v>124.32532119299999</v>
      </c>
      <c r="L370" s="64" t="str">
        <f t="shared" si="179"/>
        <v>JL. RAYA POYOWA BESAR</v>
      </c>
      <c r="M370" s="64" t="str">
        <f t="shared" si="179"/>
        <v>SULAWESI UTARA</v>
      </c>
      <c r="N370" s="65" t="s">
        <v>105</v>
      </c>
      <c r="O370" s="66" t="s">
        <v>118</v>
      </c>
      <c r="P370" s="65" t="s">
        <v>119</v>
      </c>
      <c r="Q370" s="66">
        <v>95717</v>
      </c>
      <c r="R370" s="98"/>
      <c r="S370" s="99"/>
      <c r="T370" s="100"/>
      <c r="U370" s="99"/>
      <c r="V370" s="100"/>
      <c r="W370" s="97" t="s">
        <v>105</v>
      </c>
      <c r="X370" s="101"/>
      <c r="Y370" s="64" t="s">
        <v>106</v>
      </c>
      <c r="Z370" s="64" t="str">
        <f t="shared" si="150"/>
        <v>KELURAHAN POYOWA BESAR SATU KOTAMOBAGU</v>
      </c>
      <c r="AA370" s="102"/>
      <c r="AB370" s="102"/>
      <c r="AC370" s="102" t="s">
        <v>70</v>
      </c>
      <c r="AD370" s="64" t="str">
        <f t="shared" si="180"/>
        <v>POYOWA BESAR</v>
      </c>
      <c r="AE370" s="103"/>
      <c r="AF370" s="103"/>
      <c r="AG370" s="103"/>
      <c r="AH370" s="103"/>
      <c r="AI370" s="104"/>
      <c r="AJ370" s="11" t="s">
        <v>306</v>
      </c>
      <c r="AK370" s="102" t="s">
        <v>96</v>
      </c>
      <c r="AL370" s="106"/>
      <c r="AM370" s="192"/>
      <c r="AN370" s="192"/>
      <c r="AO370" s="192"/>
      <c r="AP370" s="192"/>
      <c r="AQ370" s="180" t="s">
        <v>97</v>
      </c>
      <c r="AR370" s="70" t="str">
        <f t="shared" si="146"/>
        <v>KTG.100.0101</v>
      </c>
      <c r="AS370" s="71" t="str">
        <f t="shared" si="181"/>
        <v>KPBS-2.020</v>
      </c>
      <c r="AT370" s="71" t="str">
        <f t="shared" si="181"/>
        <v>C03</v>
      </c>
      <c r="AU370" s="105"/>
      <c r="AV370" s="202">
        <v>0.70885961460000002</v>
      </c>
      <c r="AW370" s="202">
        <v>124.3252517873</v>
      </c>
      <c r="AX370" s="106" t="s">
        <v>98</v>
      </c>
      <c r="AY370" s="106" t="s">
        <v>94</v>
      </c>
      <c r="AZ370" s="106" t="s">
        <v>94</v>
      </c>
      <c r="BA370" s="73" t="s">
        <v>77</v>
      </c>
      <c r="BB370" s="106" t="s">
        <v>98</v>
      </c>
      <c r="BC370" s="106">
        <v>31</v>
      </c>
      <c r="BD370" s="106" t="s">
        <v>98</v>
      </c>
      <c r="BE370" s="211" t="str">
        <f t="shared" si="152"/>
        <v>497, POYOWA BESAR,</v>
      </c>
    </row>
    <row r="371" spans="1:57" s="211" customFormat="1" ht="15.75" customHeight="1">
      <c r="A371" s="218"/>
      <c r="B371" s="219"/>
      <c r="C371" s="219"/>
      <c r="D371" s="219"/>
      <c r="E371" s="219"/>
      <c r="F371" s="219"/>
      <c r="G371" s="220"/>
      <c r="H371" s="12">
        <v>10</v>
      </c>
      <c r="I371" s="64" t="str">
        <f t="shared" si="179"/>
        <v>MR.KPBS.P106</v>
      </c>
      <c r="J371" s="64">
        <f t="shared" si="179"/>
        <v>0.70918655610000003</v>
      </c>
      <c r="K371" s="64">
        <f t="shared" si="179"/>
        <v>124.32532119299999</v>
      </c>
      <c r="L371" s="64" t="str">
        <f t="shared" si="179"/>
        <v>JL. RAYA POYOWA BESAR</v>
      </c>
      <c r="M371" s="64" t="str">
        <f t="shared" si="179"/>
        <v>SULAWESI UTARA</v>
      </c>
      <c r="N371" s="65" t="s">
        <v>105</v>
      </c>
      <c r="O371" s="66" t="s">
        <v>118</v>
      </c>
      <c r="P371" s="65" t="s">
        <v>119</v>
      </c>
      <c r="Q371" s="66">
        <v>95717</v>
      </c>
      <c r="R371" s="98"/>
      <c r="S371" s="99"/>
      <c r="T371" s="100"/>
      <c r="U371" s="99"/>
      <c r="V371" s="100"/>
      <c r="W371" s="97" t="s">
        <v>105</v>
      </c>
      <c r="X371" s="101"/>
      <c r="Y371" s="64" t="s">
        <v>106</v>
      </c>
      <c r="Z371" s="64" t="str">
        <f t="shared" si="150"/>
        <v>KELURAHAN POYOWA BESAR SATU KOTAMOBAGU</v>
      </c>
      <c r="AA371" s="102"/>
      <c r="AB371" s="102"/>
      <c r="AC371" s="102" t="s">
        <v>70</v>
      </c>
      <c r="AD371" s="64" t="str">
        <f t="shared" si="180"/>
        <v>POYOWA BESAR</v>
      </c>
      <c r="AE371" s="103"/>
      <c r="AF371" s="103"/>
      <c r="AG371" s="103"/>
      <c r="AH371" s="103"/>
      <c r="AI371" s="104"/>
      <c r="AJ371" s="11" t="s">
        <v>307</v>
      </c>
      <c r="AK371" s="102" t="s">
        <v>96</v>
      </c>
      <c r="AL371" s="106"/>
      <c r="AM371" s="192"/>
      <c r="AN371" s="192"/>
      <c r="AO371" s="192"/>
      <c r="AP371" s="192"/>
      <c r="AQ371" s="180" t="s">
        <v>97</v>
      </c>
      <c r="AR371" s="70" t="str">
        <f t="shared" si="146"/>
        <v>KTG.100.0101</v>
      </c>
      <c r="AS371" s="71" t="str">
        <f t="shared" ref="AS371:AT371" si="182">AS366</f>
        <v>KPBS-2.020</v>
      </c>
      <c r="AT371" s="71" t="str">
        <f t="shared" si="182"/>
        <v>C03</v>
      </c>
      <c r="AU371" s="105"/>
      <c r="AV371" s="202">
        <v>0.70861942170000003</v>
      </c>
      <c r="AW371" s="202">
        <v>124.3255231201</v>
      </c>
      <c r="AX371" s="106" t="s">
        <v>98</v>
      </c>
      <c r="AY371" s="106" t="s">
        <v>94</v>
      </c>
      <c r="AZ371" s="106" t="s">
        <v>94</v>
      </c>
      <c r="BA371" s="73" t="s">
        <v>77</v>
      </c>
      <c r="BB371" s="106" t="s">
        <v>98</v>
      </c>
      <c r="BC371" s="106">
        <v>31</v>
      </c>
      <c r="BD371" s="106" t="s">
        <v>98</v>
      </c>
      <c r="BE371" s="211" t="str">
        <f t="shared" si="152"/>
        <v>497A, POYOWA BESAR,</v>
      </c>
    </row>
    <row r="372" spans="1:57" s="211" customFormat="1" ht="15.75" customHeight="1">
      <c r="A372" s="218"/>
      <c r="B372" s="219"/>
      <c r="C372" s="219"/>
      <c r="D372" s="219"/>
      <c r="E372" s="219"/>
      <c r="F372" s="219"/>
      <c r="G372" s="220"/>
      <c r="H372" s="12">
        <v>11</v>
      </c>
      <c r="I372" s="64" t="str">
        <f t="shared" si="179"/>
        <v>MR.KPBS.P106</v>
      </c>
      <c r="J372" s="64">
        <f t="shared" si="179"/>
        <v>0.70918655610000003</v>
      </c>
      <c r="K372" s="64">
        <f t="shared" si="179"/>
        <v>124.32532119299999</v>
      </c>
      <c r="L372" s="64" t="str">
        <f t="shared" si="179"/>
        <v>JL. RAYA POYOWA BESAR</v>
      </c>
      <c r="M372" s="64" t="str">
        <f t="shared" si="179"/>
        <v>SULAWESI UTARA</v>
      </c>
      <c r="N372" s="65" t="s">
        <v>105</v>
      </c>
      <c r="O372" s="66" t="s">
        <v>118</v>
      </c>
      <c r="P372" s="65" t="s">
        <v>119</v>
      </c>
      <c r="Q372" s="66">
        <v>95717</v>
      </c>
      <c r="R372" s="98"/>
      <c r="S372" s="99"/>
      <c r="T372" s="100"/>
      <c r="U372" s="99"/>
      <c r="V372" s="100"/>
      <c r="W372" s="97" t="s">
        <v>105</v>
      </c>
      <c r="X372" s="101"/>
      <c r="Y372" s="64" t="s">
        <v>106</v>
      </c>
      <c r="Z372" s="64" t="str">
        <f t="shared" si="150"/>
        <v>KELURAHAN POYOWA BESAR SATU KOTAMOBAGU</v>
      </c>
      <c r="AA372" s="102"/>
      <c r="AB372" s="102"/>
      <c r="AC372" s="102" t="s">
        <v>70</v>
      </c>
      <c r="AD372" s="64" t="str">
        <f t="shared" si="180"/>
        <v>POYOWA BESAR</v>
      </c>
      <c r="AE372" s="103"/>
      <c r="AF372" s="103"/>
      <c r="AG372" s="103"/>
      <c r="AH372" s="103"/>
      <c r="AI372" s="104"/>
      <c r="AJ372" s="11" t="s">
        <v>308</v>
      </c>
      <c r="AK372" s="102" t="s">
        <v>96</v>
      </c>
      <c r="AL372" s="106"/>
      <c r="AM372" s="192"/>
      <c r="AN372" s="192"/>
      <c r="AO372" s="192"/>
      <c r="AP372" s="192"/>
      <c r="AQ372" s="180" t="s">
        <v>97</v>
      </c>
      <c r="AR372" s="70" t="str">
        <f t="shared" si="146"/>
        <v>KTG.100.0101</v>
      </c>
      <c r="AS372" s="71" t="str">
        <f t="shared" si="181"/>
        <v>KPBS-2.020</v>
      </c>
      <c r="AT372" s="71" t="str">
        <f t="shared" si="181"/>
        <v>C03</v>
      </c>
      <c r="AU372" s="105"/>
      <c r="AV372" s="202">
        <v>0.70852463069999905</v>
      </c>
      <c r="AW372" s="202">
        <v>124.3255304914</v>
      </c>
      <c r="AX372" s="106" t="s">
        <v>98</v>
      </c>
      <c r="AY372" s="106" t="s">
        <v>94</v>
      </c>
      <c r="AZ372" s="106" t="s">
        <v>94</v>
      </c>
      <c r="BA372" s="73" t="s">
        <v>77</v>
      </c>
      <c r="BB372" s="106" t="s">
        <v>98</v>
      </c>
      <c r="BC372" s="106">
        <v>31</v>
      </c>
      <c r="BD372" s="106" t="s">
        <v>98</v>
      </c>
      <c r="BE372" s="211" t="str">
        <f t="shared" si="152"/>
        <v>497B, POYOWA BESAR,</v>
      </c>
    </row>
    <row r="373" spans="1:57" s="211" customFormat="1" ht="15.75" customHeight="1">
      <c r="A373" s="218"/>
      <c r="B373" s="219"/>
      <c r="C373" s="219"/>
      <c r="D373" s="219"/>
      <c r="E373" s="219"/>
      <c r="F373" s="219"/>
      <c r="G373" s="220"/>
      <c r="H373" s="12">
        <v>12</v>
      </c>
      <c r="I373" s="64" t="str">
        <f t="shared" si="179"/>
        <v>MR.KPBS.P106</v>
      </c>
      <c r="J373" s="64">
        <f t="shared" si="179"/>
        <v>0.70918655610000003</v>
      </c>
      <c r="K373" s="64">
        <f t="shared" si="179"/>
        <v>124.32532119299999</v>
      </c>
      <c r="L373" s="64" t="str">
        <f t="shared" si="179"/>
        <v>JL. RAYA POYOWA BESAR</v>
      </c>
      <c r="M373" s="64" t="str">
        <f t="shared" si="179"/>
        <v>SULAWESI UTARA</v>
      </c>
      <c r="N373" s="65" t="s">
        <v>105</v>
      </c>
      <c r="O373" s="66" t="s">
        <v>118</v>
      </c>
      <c r="P373" s="65" t="s">
        <v>119</v>
      </c>
      <c r="Q373" s="66">
        <v>95717</v>
      </c>
      <c r="R373" s="98"/>
      <c r="S373" s="99"/>
      <c r="T373" s="100"/>
      <c r="U373" s="99"/>
      <c r="V373" s="100"/>
      <c r="W373" s="97" t="s">
        <v>105</v>
      </c>
      <c r="X373" s="101"/>
      <c r="Y373" s="64" t="s">
        <v>106</v>
      </c>
      <c r="Z373" s="64" t="str">
        <f t="shared" si="150"/>
        <v>KELURAHAN POYOWA BESAR SATU KOTAMOBAGU</v>
      </c>
      <c r="AA373" s="102"/>
      <c r="AB373" s="102"/>
      <c r="AC373" s="102" t="s">
        <v>70</v>
      </c>
      <c r="AD373" s="64" t="str">
        <f t="shared" si="180"/>
        <v>POYOWA BESAR</v>
      </c>
      <c r="AE373" s="103"/>
      <c r="AF373" s="103"/>
      <c r="AG373" s="103"/>
      <c r="AH373" s="103"/>
      <c r="AI373" s="104"/>
      <c r="AJ373" s="11" t="s">
        <v>309</v>
      </c>
      <c r="AK373" s="102" t="s">
        <v>96</v>
      </c>
      <c r="AL373" s="106"/>
      <c r="AM373" s="192"/>
      <c r="AN373" s="192"/>
      <c r="AO373" s="192"/>
      <c r="AP373" s="192"/>
      <c r="AQ373" s="193" t="s">
        <v>97</v>
      </c>
      <c r="AR373" s="70" t="str">
        <f t="shared" si="146"/>
        <v>KTG.100.0101</v>
      </c>
      <c r="AS373" s="71" t="str">
        <f t="shared" si="181"/>
        <v>KPBS-2.020</v>
      </c>
      <c r="AT373" s="71" t="str">
        <f t="shared" si="181"/>
        <v>C03</v>
      </c>
      <c r="AU373" s="105"/>
      <c r="AV373" s="202">
        <v>0.70842390899999996</v>
      </c>
      <c r="AW373" s="202">
        <v>124.32553690029999</v>
      </c>
      <c r="AX373" s="106" t="s">
        <v>98</v>
      </c>
      <c r="AY373" s="106" t="s">
        <v>94</v>
      </c>
      <c r="AZ373" s="106" t="s">
        <v>94</v>
      </c>
      <c r="BA373" s="73" t="s">
        <v>77</v>
      </c>
      <c r="BB373" s="106" t="s">
        <v>98</v>
      </c>
      <c r="BC373" s="106">
        <v>31</v>
      </c>
      <c r="BD373" s="106" t="s">
        <v>98</v>
      </c>
      <c r="BE373" s="211" t="str">
        <f t="shared" si="152"/>
        <v>103, POYOWA BESAR,</v>
      </c>
    </row>
    <row r="374" spans="1:57" s="211" customFormat="1" ht="15.75" customHeight="1">
      <c r="A374" s="34" t="s">
        <v>104</v>
      </c>
      <c r="B374" s="34">
        <f>B362+1</f>
        <v>28</v>
      </c>
      <c r="C374" s="33" t="s">
        <v>350</v>
      </c>
      <c r="D374" s="33" t="s">
        <v>348</v>
      </c>
      <c r="E374" s="33">
        <v>1</v>
      </c>
      <c r="F374" s="9">
        <f>F363+1</f>
        <v>7</v>
      </c>
      <c r="G374" s="213" t="s">
        <v>258</v>
      </c>
      <c r="H374" s="35">
        <v>1</v>
      </c>
      <c r="I374" s="48" t="s">
        <v>971</v>
      </c>
      <c r="J374" s="54">
        <v>0.70718221739999998</v>
      </c>
      <c r="K374" s="54">
        <v>124.32489509600001</v>
      </c>
      <c r="L374" s="112" t="s">
        <v>116</v>
      </c>
      <c r="M374" s="56" t="str">
        <f t="shared" ref="M374" si="183">M373</f>
        <v>SULAWESI UTARA</v>
      </c>
      <c r="N374" s="76" t="s">
        <v>105</v>
      </c>
      <c r="O374" s="49" t="s">
        <v>118</v>
      </c>
      <c r="P374" s="76" t="s">
        <v>119</v>
      </c>
      <c r="Q374" s="49">
        <v>95717</v>
      </c>
      <c r="R374" s="51"/>
      <c r="S374" s="52"/>
      <c r="T374" s="53"/>
      <c r="U374" s="52"/>
      <c r="V374" s="53"/>
      <c r="W374" s="50" t="s">
        <v>105</v>
      </c>
      <c r="X374" s="54"/>
      <c r="Y374" s="56" t="s">
        <v>106</v>
      </c>
      <c r="Z374" s="56" t="str">
        <f t="shared" si="150"/>
        <v>KELURAHAN POYOWA BESAR SATU KOTAMOBAGU</v>
      </c>
      <c r="AA374" s="55"/>
      <c r="AB374" s="55"/>
      <c r="AC374" s="55" t="s">
        <v>70</v>
      </c>
      <c r="AD374" s="112" t="s">
        <v>119</v>
      </c>
      <c r="AE374" s="57"/>
      <c r="AF374" s="57"/>
      <c r="AG374" s="57"/>
      <c r="AH374" s="57"/>
      <c r="AI374" s="58"/>
      <c r="AJ374" s="114" t="s">
        <v>929</v>
      </c>
      <c r="AK374" s="55" t="s">
        <v>96</v>
      </c>
      <c r="AL374" s="62"/>
      <c r="AM374" s="184"/>
      <c r="AN374" s="184"/>
      <c r="AO374" s="184"/>
      <c r="AP374" s="184"/>
      <c r="AQ374" s="185" t="s">
        <v>97</v>
      </c>
      <c r="AR374" s="59" t="str">
        <f t="shared" si="146"/>
        <v>KTG.100.0101</v>
      </c>
      <c r="AS374" s="60" t="str">
        <f>AS360</f>
        <v>KPBS-2.020</v>
      </c>
      <c r="AT374" s="60" t="str">
        <f>G374</f>
        <v>C04</v>
      </c>
      <c r="AU374" s="61"/>
      <c r="AV374" s="201">
        <v>0.70786275869999904</v>
      </c>
      <c r="AW374" s="201">
        <v>124.32537396390001</v>
      </c>
      <c r="AX374" s="62" t="s">
        <v>98</v>
      </c>
      <c r="AY374" s="62" t="s">
        <v>94</v>
      </c>
      <c r="AZ374" s="62" t="s">
        <v>94</v>
      </c>
      <c r="BA374" s="63" t="s">
        <v>77</v>
      </c>
      <c r="BB374" s="62" t="s">
        <v>98</v>
      </c>
      <c r="BC374" s="62">
        <v>31</v>
      </c>
      <c r="BD374" s="62" t="s">
        <v>98</v>
      </c>
      <c r="BE374" s="211" t="str">
        <f t="shared" ref="BE374:BE412" si="184">AJ374&amp;", "&amp;AD374&amp;","&amp;AI374</f>
        <v>759, POYOWA BESAR,</v>
      </c>
    </row>
    <row r="375" spans="1:57" s="211" customFormat="1" ht="15.75" customHeight="1">
      <c r="A375" s="21"/>
      <c r="B375" s="21"/>
      <c r="C375" s="22" t="s">
        <v>350</v>
      </c>
      <c r="D375" s="22" t="s">
        <v>348</v>
      </c>
      <c r="E375" s="33">
        <v>1</v>
      </c>
      <c r="F375" s="6">
        <f>F374+1</f>
        <v>8</v>
      </c>
      <c r="G375" s="213"/>
      <c r="H375" s="12">
        <v>2</v>
      </c>
      <c r="I375" s="64" t="str">
        <f t="shared" ref="I375:M375" si="185">I374</f>
        <v>MR.KPBS.P113</v>
      </c>
      <c r="J375" s="64">
        <f t="shared" si="185"/>
        <v>0.70718221739999998</v>
      </c>
      <c r="K375" s="64">
        <f t="shared" si="185"/>
        <v>124.32489509600001</v>
      </c>
      <c r="L375" s="64" t="str">
        <f t="shared" si="185"/>
        <v>JL. RAYA POYOWA BESAR</v>
      </c>
      <c r="M375" s="64" t="str">
        <f t="shared" si="185"/>
        <v>SULAWESI UTARA</v>
      </c>
      <c r="N375" s="65" t="s">
        <v>105</v>
      </c>
      <c r="O375" s="66" t="s">
        <v>118</v>
      </c>
      <c r="P375" s="65" t="s">
        <v>119</v>
      </c>
      <c r="Q375" s="66">
        <v>95717</v>
      </c>
      <c r="R375" s="98"/>
      <c r="S375" s="99"/>
      <c r="T375" s="100"/>
      <c r="U375" s="99"/>
      <c r="V375" s="100"/>
      <c r="W375" s="97" t="s">
        <v>105</v>
      </c>
      <c r="X375" s="101"/>
      <c r="Y375" s="64" t="s">
        <v>106</v>
      </c>
      <c r="Z375" s="64" t="str">
        <f t="shared" si="150"/>
        <v>KELURAHAN POYOWA BESAR SATU KOTAMOBAGU</v>
      </c>
      <c r="AA375" s="102"/>
      <c r="AB375" s="102"/>
      <c r="AC375" s="102" t="s">
        <v>70</v>
      </c>
      <c r="AD375" s="64" t="str">
        <f t="shared" ref="AD375:AD380" si="186">AD374</f>
        <v>POYOWA BESAR</v>
      </c>
      <c r="AE375" s="103"/>
      <c r="AF375" s="103"/>
      <c r="AG375" s="103"/>
      <c r="AH375" s="103"/>
      <c r="AI375" s="104"/>
      <c r="AJ375" s="11" t="s">
        <v>930</v>
      </c>
      <c r="AK375" s="102" t="s">
        <v>96</v>
      </c>
      <c r="AL375" s="106"/>
      <c r="AM375" s="192"/>
      <c r="AN375" s="192"/>
      <c r="AO375" s="192"/>
      <c r="AP375" s="192"/>
      <c r="AQ375" s="180" t="s">
        <v>97</v>
      </c>
      <c r="AR375" s="70" t="str">
        <f t="shared" si="146"/>
        <v>KTG.100.0101</v>
      </c>
      <c r="AS375" s="71" t="str">
        <f t="shared" ref="AS375:AS380" si="187">AS374</f>
        <v>KPBS-2.020</v>
      </c>
      <c r="AT375" s="71" t="str">
        <f t="shared" ref="AT375:AT380" si="188">AT374</f>
        <v>C04</v>
      </c>
      <c r="AU375" s="105"/>
      <c r="AV375" s="202">
        <v>0.70783088139999994</v>
      </c>
      <c r="AW375" s="202">
        <v>124.3251361537</v>
      </c>
      <c r="AX375" s="106" t="s">
        <v>98</v>
      </c>
      <c r="AY375" s="106" t="s">
        <v>94</v>
      </c>
      <c r="AZ375" s="106" t="s">
        <v>94</v>
      </c>
      <c r="BA375" s="73" t="s">
        <v>77</v>
      </c>
      <c r="BB375" s="106" t="s">
        <v>98</v>
      </c>
      <c r="BC375" s="106">
        <v>31</v>
      </c>
      <c r="BD375" s="106" t="s">
        <v>98</v>
      </c>
      <c r="BE375" s="211" t="str">
        <f t="shared" si="184"/>
        <v>758, POYOWA BESAR,</v>
      </c>
    </row>
    <row r="376" spans="1:57" s="211" customFormat="1" ht="15.75" customHeight="1">
      <c r="A376" s="215"/>
      <c r="B376" s="216"/>
      <c r="C376" s="216"/>
      <c r="D376" s="216"/>
      <c r="E376" s="216"/>
      <c r="F376" s="216"/>
      <c r="G376" s="217"/>
      <c r="H376" s="12">
        <v>3</v>
      </c>
      <c r="I376" s="64" t="str">
        <f t="shared" ref="I376:M376" si="189">I375</f>
        <v>MR.KPBS.P113</v>
      </c>
      <c r="J376" s="64">
        <f t="shared" si="189"/>
        <v>0.70718221739999998</v>
      </c>
      <c r="K376" s="64">
        <f t="shared" si="189"/>
        <v>124.32489509600001</v>
      </c>
      <c r="L376" s="64" t="str">
        <f t="shared" si="189"/>
        <v>JL. RAYA POYOWA BESAR</v>
      </c>
      <c r="M376" s="64" t="str">
        <f t="shared" si="189"/>
        <v>SULAWESI UTARA</v>
      </c>
      <c r="N376" s="65" t="s">
        <v>105</v>
      </c>
      <c r="O376" s="66" t="s">
        <v>118</v>
      </c>
      <c r="P376" s="65" t="s">
        <v>119</v>
      </c>
      <c r="Q376" s="66">
        <v>95717</v>
      </c>
      <c r="R376" s="98"/>
      <c r="S376" s="99"/>
      <c r="T376" s="100"/>
      <c r="U376" s="99"/>
      <c r="V376" s="100"/>
      <c r="W376" s="97" t="s">
        <v>105</v>
      </c>
      <c r="X376" s="101"/>
      <c r="Y376" s="64" t="s">
        <v>106</v>
      </c>
      <c r="Z376" s="64" t="str">
        <f t="shared" si="150"/>
        <v>KELURAHAN POYOWA BESAR SATU KOTAMOBAGU</v>
      </c>
      <c r="AA376" s="102"/>
      <c r="AB376" s="102"/>
      <c r="AC376" s="102" t="s">
        <v>70</v>
      </c>
      <c r="AD376" s="64" t="str">
        <f t="shared" si="186"/>
        <v>POYOWA BESAR</v>
      </c>
      <c r="AE376" s="103"/>
      <c r="AF376" s="103"/>
      <c r="AG376" s="103"/>
      <c r="AH376" s="103"/>
      <c r="AI376" s="104"/>
      <c r="AJ376" s="11" t="s">
        <v>931</v>
      </c>
      <c r="AK376" s="102" t="s">
        <v>96</v>
      </c>
      <c r="AL376" s="106"/>
      <c r="AM376" s="192"/>
      <c r="AN376" s="192"/>
      <c r="AO376" s="192"/>
      <c r="AP376" s="192"/>
      <c r="AQ376" s="180" t="s">
        <v>97</v>
      </c>
      <c r="AR376" s="70" t="str">
        <f t="shared" si="146"/>
        <v>KTG.100.0101</v>
      </c>
      <c r="AS376" s="71" t="str">
        <f t="shared" si="187"/>
        <v>KPBS-2.020</v>
      </c>
      <c r="AT376" s="71" t="str">
        <f t="shared" si="188"/>
        <v>C04</v>
      </c>
      <c r="AU376" s="105"/>
      <c r="AV376" s="202">
        <v>0.70780511079919095</v>
      </c>
      <c r="AW376" s="202">
        <v>124.325024601976</v>
      </c>
      <c r="AX376" s="106" t="s">
        <v>98</v>
      </c>
      <c r="AY376" s="106" t="s">
        <v>94</v>
      </c>
      <c r="AZ376" s="106" t="s">
        <v>94</v>
      </c>
      <c r="BA376" s="73" t="s">
        <v>77</v>
      </c>
      <c r="BB376" s="106" t="s">
        <v>98</v>
      </c>
      <c r="BC376" s="106">
        <v>31</v>
      </c>
      <c r="BD376" s="106" t="s">
        <v>98</v>
      </c>
      <c r="BE376" s="211" t="str">
        <f t="shared" si="184"/>
        <v>758A, POYOWA BESAR,</v>
      </c>
    </row>
    <row r="377" spans="1:57" s="211" customFormat="1" ht="15.75" customHeight="1">
      <c r="A377" s="218"/>
      <c r="B377" s="219"/>
      <c r="C377" s="219"/>
      <c r="D377" s="219"/>
      <c r="E377" s="219"/>
      <c r="F377" s="219"/>
      <c r="G377" s="220"/>
      <c r="H377" s="12">
        <v>4</v>
      </c>
      <c r="I377" s="64" t="str">
        <f t="shared" ref="I377:M377" si="190">I376</f>
        <v>MR.KPBS.P113</v>
      </c>
      <c r="J377" s="64">
        <f t="shared" si="190"/>
        <v>0.70718221739999998</v>
      </c>
      <c r="K377" s="64">
        <f t="shared" si="190"/>
        <v>124.32489509600001</v>
      </c>
      <c r="L377" s="64" t="str">
        <f t="shared" si="190"/>
        <v>JL. RAYA POYOWA BESAR</v>
      </c>
      <c r="M377" s="64" t="str">
        <f t="shared" si="190"/>
        <v>SULAWESI UTARA</v>
      </c>
      <c r="N377" s="65" t="s">
        <v>105</v>
      </c>
      <c r="O377" s="66" t="s">
        <v>118</v>
      </c>
      <c r="P377" s="65" t="s">
        <v>119</v>
      </c>
      <c r="Q377" s="66">
        <v>95717</v>
      </c>
      <c r="R377" s="98"/>
      <c r="S377" s="99"/>
      <c r="T377" s="100"/>
      <c r="U377" s="99"/>
      <c r="V377" s="100"/>
      <c r="W377" s="97" t="s">
        <v>105</v>
      </c>
      <c r="X377" s="101"/>
      <c r="Y377" s="64" t="s">
        <v>106</v>
      </c>
      <c r="Z377" s="64" t="str">
        <f t="shared" si="150"/>
        <v>KELURAHAN POYOWA BESAR SATU KOTAMOBAGU</v>
      </c>
      <c r="AA377" s="102"/>
      <c r="AB377" s="102"/>
      <c r="AC377" s="102" t="s">
        <v>70</v>
      </c>
      <c r="AD377" s="64" t="str">
        <f t="shared" si="186"/>
        <v>POYOWA BESAR</v>
      </c>
      <c r="AE377" s="103"/>
      <c r="AF377" s="103"/>
      <c r="AG377" s="103"/>
      <c r="AH377" s="103"/>
      <c r="AI377" s="104"/>
      <c r="AJ377" s="11" t="s">
        <v>932</v>
      </c>
      <c r="AK377" s="102" t="s">
        <v>96</v>
      </c>
      <c r="AL377" s="106"/>
      <c r="AM377" s="192"/>
      <c r="AN377" s="192"/>
      <c r="AO377" s="192"/>
      <c r="AP377" s="192"/>
      <c r="AQ377" s="180" t="s">
        <v>97</v>
      </c>
      <c r="AR377" s="70" t="str">
        <f t="shared" si="146"/>
        <v>KTG.100.0101</v>
      </c>
      <c r="AS377" s="71" t="str">
        <f t="shared" si="187"/>
        <v>KPBS-2.020</v>
      </c>
      <c r="AT377" s="71" t="str">
        <f t="shared" si="188"/>
        <v>C04</v>
      </c>
      <c r="AU377" s="105"/>
      <c r="AV377" s="202">
        <v>0.70742386339999996</v>
      </c>
      <c r="AW377" s="202">
        <v>124.3251498035</v>
      </c>
      <c r="AX377" s="106" t="s">
        <v>98</v>
      </c>
      <c r="AY377" s="106" t="s">
        <v>94</v>
      </c>
      <c r="AZ377" s="106" t="s">
        <v>94</v>
      </c>
      <c r="BA377" s="73" t="s">
        <v>77</v>
      </c>
      <c r="BB377" s="106" t="s">
        <v>98</v>
      </c>
      <c r="BC377" s="106">
        <v>31</v>
      </c>
      <c r="BD377" s="106" t="s">
        <v>98</v>
      </c>
      <c r="BE377" s="211" t="str">
        <f t="shared" si="184"/>
        <v>741, POYOWA BESAR,</v>
      </c>
    </row>
    <row r="378" spans="1:57" s="211" customFormat="1" ht="15.75" customHeight="1">
      <c r="A378" s="218"/>
      <c r="B378" s="219"/>
      <c r="C378" s="219"/>
      <c r="D378" s="219"/>
      <c r="E378" s="219"/>
      <c r="F378" s="219"/>
      <c r="G378" s="220"/>
      <c r="H378" s="12">
        <v>5</v>
      </c>
      <c r="I378" s="64" t="str">
        <f t="shared" ref="I378:M378" si="191">I377</f>
        <v>MR.KPBS.P113</v>
      </c>
      <c r="J378" s="64">
        <f t="shared" si="191"/>
        <v>0.70718221739999998</v>
      </c>
      <c r="K378" s="64">
        <f t="shared" si="191"/>
        <v>124.32489509600001</v>
      </c>
      <c r="L378" s="64" t="str">
        <f t="shared" si="191"/>
        <v>JL. RAYA POYOWA BESAR</v>
      </c>
      <c r="M378" s="64" t="str">
        <f t="shared" si="191"/>
        <v>SULAWESI UTARA</v>
      </c>
      <c r="N378" s="65" t="s">
        <v>105</v>
      </c>
      <c r="O378" s="66" t="s">
        <v>118</v>
      </c>
      <c r="P378" s="65" t="s">
        <v>119</v>
      </c>
      <c r="Q378" s="66">
        <v>95717</v>
      </c>
      <c r="R378" s="98"/>
      <c r="S378" s="99"/>
      <c r="T378" s="100"/>
      <c r="U378" s="99"/>
      <c r="V378" s="100"/>
      <c r="W378" s="97" t="s">
        <v>105</v>
      </c>
      <c r="X378" s="101"/>
      <c r="Y378" s="64" t="s">
        <v>106</v>
      </c>
      <c r="Z378" s="64" t="str">
        <f t="shared" si="150"/>
        <v>KELURAHAN POYOWA BESAR SATU KOTAMOBAGU</v>
      </c>
      <c r="AA378" s="102"/>
      <c r="AB378" s="102"/>
      <c r="AC378" s="102" t="s">
        <v>70</v>
      </c>
      <c r="AD378" s="64" t="str">
        <f t="shared" si="186"/>
        <v>POYOWA BESAR</v>
      </c>
      <c r="AE378" s="103"/>
      <c r="AF378" s="103"/>
      <c r="AG378" s="103"/>
      <c r="AH378" s="103"/>
      <c r="AI378" s="104"/>
      <c r="AJ378" s="11" t="s">
        <v>933</v>
      </c>
      <c r="AK378" s="102" t="s">
        <v>96</v>
      </c>
      <c r="AL378" s="106"/>
      <c r="AM378" s="192"/>
      <c r="AN378" s="192"/>
      <c r="AO378" s="192"/>
      <c r="AP378" s="192"/>
      <c r="AQ378" s="180" t="s">
        <v>97</v>
      </c>
      <c r="AR378" s="70" t="str">
        <f t="shared" si="146"/>
        <v>KTG.100.0101</v>
      </c>
      <c r="AS378" s="71" t="str">
        <f t="shared" si="187"/>
        <v>KPBS-2.020</v>
      </c>
      <c r="AT378" s="71" t="str">
        <f t="shared" si="188"/>
        <v>C04</v>
      </c>
      <c r="AU378" s="105"/>
      <c r="AV378" s="202">
        <v>0.70734325139999998</v>
      </c>
      <c r="AW378" s="202">
        <v>124.3250225675</v>
      </c>
      <c r="AX378" s="106" t="s">
        <v>98</v>
      </c>
      <c r="AY378" s="106" t="s">
        <v>94</v>
      </c>
      <c r="AZ378" s="106" t="s">
        <v>94</v>
      </c>
      <c r="BA378" s="73" t="s">
        <v>77</v>
      </c>
      <c r="BB378" s="106" t="s">
        <v>98</v>
      </c>
      <c r="BC378" s="106">
        <v>31</v>
      </c>
      <c r="BD378" s="106" t="s">
        <v>98</v>
      </c>
      <c r="BE378" s="211" t="str">
        <f t="shared" si="184"/>
        <v>738, POYOWA BESAR,</v>
      </c>
    </row>
    <row r="379" spans="1:57" s="211" customFormat="1" ht="15.75" customHeight="1">
      <c r="A379" s="218"/>
      <c r="B379" s="219"/>
      <c r="C379" s="219"/>
      <c r="D379" s="219"/>
      <c r="E379" s="219"/>
      <c r="F379" s="219"/>
      <c r="G379" s="220"/>
      <c r="H379" s="12">
        <v>6</v>
      </c>
      <c r="I379" s="64" t="str">
        <f t="shared" ref="I379:M379" si="192">I378</f>
        <v>MR.KPBS.P113</v>
      </c>
      <c r="J379" s="64">
        <f t="shared" si="192"/>
        <v>0.70718221739999998</v>
      </c>
      <c r="K379" s="64">
        <f t="shared" si="192"/>
        <v>124.32489509600001</v>
      </c>
      <c r="L379" s="64" t="str">
        <f t="shared" si="192"/>
        <v>JL. RAYA POYOWA BESAR</v>
      </c>
      <c r="M379" s="64" t="str">
        <f t="shared" si="192"/>
        <v>SULAWESI UTARA</v>
      </c>
      <c r="N379" s="65" t="s">
        <v>105</v>
      </c>
      <c r="O379" s="66" t="s">
        <v>118</v>
      </c>
      <c r="P379" s="65" t="s">
        <v>119</v>
      </c>
      <c r="Q379" s="66">
        <v>95717</v>
      </c>
      <c r="R379" s="98"/>
      <c r="S379" s="99"/>
      <c r="T379" s="100"/>
      <c r="U379" s="99"/>
      <c r="V379" s="100"/>
      <c r="W379" s="97" t="s">
        <v>105</v>
      </c>
      <c r="X379" s="101"/>
      <c r="Y379" s="64" t="s">
        <v>106</v>
      </c>
      <c r="Z379" s="64" t="str">
        <f t="shared" si="150"/>
        <v>KELURAHAN POYOWA BESAR SATU KOTAMOBAGU</v>
      </c>
      <c r="AA379" s="102"/>
      <c r="AB379" s="102"/>
      <c r="AC379" s="102" t="s">
        <v>70</v>
      </c>
      <c r="AD379" s="64" t="str">
        <f t="shared" si="186"/>
        <v>POYOWA BESAR</v>
      </c>
      <c r="AE379" s="103"/>
      <c r="AF379" s="103"/>
      <c r="AG379" s="103"/>
      <c r="AH379" s="103"/>
      <c r="AI379" s="104"/>
      <c r="AJ379" s="11" t="s">
        <v>934</v>
      </c>
      <c r="AK379" s="102" t="s">
        <v>96</v>
      </c>
      <c r="AL379" s="106"/>
      <c r="AM379" s="192"/>
      <c r="AN379" s="192"/>
      <c r="AO379" s="192"/>
      <c r="AP379" s="192"/>
      <c r="AQ379" s="180" t="s">
        <v>97</v>
      </c>
      <c r="AR379" s="70" t="str">
        <f t="shared" si="146"/>
        <v>KTG.100.0101</v>
      </c>
      <c r="AS379" s="71" t="str">
        <f t="shared" si="187"/>
        <v>KPBS-2.020</v>
      </c>
      <c r="AT379" s="71" t="str">
        <f t="shared" si="188"/>
        <v>C04</v>
      </c>
      <c r="AU379" s="105"/>
      <c r="AV379" s="202">
        <v>0.70720832829999902</v>
      </c>
      <c r="AW379" s="202">
        <v>124.3245442013</v>
      </c>
      <c r="AX379" s="106" t="s">
        <v>98</v>
      </c>
      <c r="AY379" s="106" t="s">
        <v>94</v>
      </c>
      <c r="AZ379" s="106" t="s">
        <v>94</v>
      </c>
      <c r="BA379" s="73" t="s">
        <v>77</v>
      </c>
      <c r="BB379" s="106" t="s">
        <v>98</v>
      </c>
      <c r="BC379" s="106">
        <v>31</v>
      </c>
      <c r="BD379" s="106" t="s">
        <v>98</v>
      </c>
      <c r="BE379" s="211" t="str">
        <f t="shared" si="184"/>
        <v>737, POYOWA BESAR,</v>
      </c>
    </row>
    <row r="380" spans="1:57" s="211" customFormat="1" ht="15.75" customHeight="1">
      <c r="A380" s="218"/>
      <c r="B380" s="219"/>
      <c r="C380" s="219"/>
      <c r="D380" s="219"/>
      <c r="E380" s="219"/>
      <c r="F380" s="219"/>
      <c r="G380" s="220"/>
      <c r="H380" s="12">
        <v>7</v>
      </c>
      <c r="I380" s="64" t="str">
        <f t="shared" ref="I380:M380" si="193">I379</f>
        <v>MR.KPBS.P113</v>
      </c>
      <c r="J380" s="64">
        <f t="shared" si="193"/>
        <v>0.70718221739999998</v>
      </c>
      <c r="K380" s="64">
        <f t="shared" si="193"/>
        <v>124.32489509600001</v>
      </c>
      <c r="L380" s="64" t="str">
        <f t="shared" si="193"/>
        <v>JL. RAYA POYOWA BESAR</v>
      </c>
      <c r="M380" s="64" t="str">
        <f t="shared" si="193"/>
        <v>SULAWESI UTARA</v>
      </c>
      <c r="N380" s="65" t="s">
        <v>105</v>
      </c>
      <c r="O380" s="66" t="s">
        <v>118</v>
      </c>
      <c r="P380" s="65" t="s">
        <v>119</v>
      </c>
      <c r="Q380" s="66">
        <v>95717</v>
      </c>
      <c r="R380" s="98"/>
      <c r="S380" s="99"/>
      <c r="T380" s="100"/>
      <c r="U380" s="99"/>
      <c r="V380" s="100"/>
      <c r="W380" s="97" t="s">
        <v>105</v>
      </c>
      <c r="X380" s="101"/>
      <c r="Y380" s="64" t="s">
        <v>106</v>
      </c>
      <c r="Z380" s="64" t="str">
        <f t="shared" si="150"/>
        <v>KELURAHAN POYOWA BESAR SATU KOTAMOBAGU</v>
      </c>
      <c r="AA380" s="102"/>
      <c r="AB380" s="102"/>
      <c r="AC380" s="102" t="s">
        <v>70</v>
      </c>
      <c r="AD380" s="64" t="str">
        <f t="shared" si="186"/>
        <v>POYOWA BESAR</v>
      </c>
      <c r="AE380" s="103"/>
      <c r="AF380" s="103"/>
      <c r="AG380" s="103"/>
      <c r="AH380" s="103"/>
      <c r="AI380" s="104"/>
      <c r="AJ380" s="11" t="s">
        <v>935</v>
      </c>
      <c r="AK380" s="102" t="s">
        <v>96</v>
      </c>
      <c r="AL380" s="106"/>
      <c r="AM380" s="192"/>
      <c r="AN380" s="192"/>
      <c r="AO380" s="192"/>
      <c r="AP380" s="192"/>
      <c r="AQ380" s="180" t="s">
        <v>97</v>
      </c>
      <c r="AR380" s="70" t="str">
        <f t="shared" si="146"/>
        <v>KTG.100.0101</v>
      </c>
      <c r="AS380" s="71" t="str">
        <f t="shared" si="187"/>
        <v>KPBS-2.020</v>
      </c>
      <c r="AT380" s="71" t="str">
        <f t="shared" si="188"/>
        <v>C04</v>
      </c>
      <c r="AU380" s="105"/>
      <c r="AV380" s="202">
        <v>0.70725883612039198</v>
      </c>
      <c r="AW380" s="202">
        <v>124.32450377421701</v>
      </c>
      <c r="AX380" s="106" t="s">
        <v>98</v>
      </c>
      <c r="AY380" s="106" t="s">
        <v>94</v>
      </c>
      <c r="AZ380" s="106" t="s">
        <v>94</v>
      </c>
      <c r="BA380" s="73" t="s">
        <v>77</v>
      </c>
      <c r="BB380" s="106" t="s">
        <v>98</v>
      </c>
      <c r="BC380" s="106">
        <v>31</v>
      </c>
      <c r="BD380" s="106" t="s">
        <v>98</v>
      </c>
      <c r="BE380" s="211" t="str">
        <f t="shared" si="184"/>
        <v>737B, POYOWA BESAR,</v>
      </c>
    </row>
    <row r="381" spans="1:57" s="211" customFormat="1" ht="15.75" customHeight="1">
      <c r="A381" s="218"/>
      <c r="B381" s="219"/>
      <c r="C381" s="219"/>
      <c r="D381" s="219"/>
      <c r="E381" s="219"/>
      <c r="F381" s="219"/>
      <c r="G381" s="220"/>
      <c r="H381" s="12">
        <v>8</v>
      </c>
      <c r="I381" s="64" t="str">
        <f t="shared" ref="I381:L381" si="194">I377</f>
        <v>MR.KPBS.P113</v>
      </c>
      <c r="J381" s="64">
        <f t="shared" si="194"/>
        <v>0.70718221739999998</v>
      </c>
      <c r="K381" s="64">
        <f t="shared" si="194"/>
        <v>124.32489509600001</v>
      </c>
      <c r="L381" s="64" t="str">
        <f t="shared" si="194"/>
        <v>JL. RAYA POYOWA BESAR</v>
      </c>
      <c r="M381" s="64" t="str">
        <f t="shared" ref="M381" si="195">M380</f>
        <v>SULAWESI UTARA</v>
      </c>
      <c r="N381" s="65" t="s">
        <v>105</v>
      </c>
      <c r="O381" s="66" t="s">
        <v>118</v>
      </c>
      <c r="P381" s="65" t="s">
        <v>119</v>
      </c>
      <c r="Q381" s="66">
        <v>95717</v>
      </c>
      <c r="R381" s="98"/>
      <c r="S381" s="99"/>
      <c r="T381" s="100"/>
      <c r="U381" s="99"/>
      <c r="V381" s="100"/>
      <c r="W381" s="97" t="s">
        <v>105</v>
      </c>
      <c r="X381" s="101"/>
      <c r="Y381" s="64" t="s">
        <v>106</v>
      </c>
      <c r="Z381" s="64" t="str">
        <f t="shared" si="150"/>
        <v>KELURAHAN POYOWA BESAR SATU KOTAMOBAGU</v>
      </c>
      <c r="AA381" s="102"/>
      <c r="AB381" s="102"/>
      <c r="AC381" s="102" t="s">
        <v>70</v>
      </c>
      <c r="AD381" s="64" t="str">
        <f t="shared" ref="AD381" si="196">AD377</f>
        <v>POYOWA BESAR</v>
      </c>
      <c r="AE381" s="103"/>
      <c r="AF381" s="103"/>
      <c r="AG381" s="103"/>
      <c r="AH381" s="103"/>
      <c r="AI381" s="104"/>
      <c r="AJ381" s="11" t="s">
        <v>936</v>
      </c>
      <c r="AK381" s="102" t="s">
        <v>96</v>
      </c>
      <c r="AL381" s="106"/>
      <c r="AM381" s="192"/>
      <c r="AN381" s="192"/>
      <c r="AO381" s="192"/>
      <c r="AP381" s="192"/>
      <c r="AQ381" s="180" t="s">
        <v>97</v>
      </c>
      <c r="AR381" s="70" t="str">
        <f t="shared" si="146"/>
        <v>KTG.100.0101</v>
      </c>
      <c r="AS381" s="71" t="str">
        <f t="shared" ref="AS381:AT381" si="197">AS377</f>
        <v>KPBS-2.020</v>
      </c>
      <c r="AT381" s="71" t="str">
        <f t="shared" si="197"/>
        <v>C04</v>
      </c>
      <c r="AU381" s="105"/>
      <c r="AV381" s="202">
        <v>0.70705268667534904</v>
      </c>
      <c r="AW381" s="202">
        <v>124.32467721977601</v>
      </c>
      <c r="AX381" s="106" t="s">
        <v>98</v>
      </c>
      <c r="AY381" s="106" t="s">
        <v>94</v>
      </c>
      <c r="AZ381" s="106" t="s">
        <v>94</v>
      </c>
      <c r="BA381" s="73" t="s">
        <v>77</v>
      </c>
      <c r="BB381" s="106" t="s">
        <v>98</v>
      </c>
      <c r="BC381" s="106">
        <v>31</v>
      </c>
      <c r="BD381" s="106" t="s">
        <v>98</v>
      </c>
      <c r="BE381" s="211" t="str">
        <f t="shared" si="184"/>
        <v>737A, POYOWA BESAR,</v>
      </c>
    </row>
    <row r="382" spans="1:57" s="211" customFormat="1" ht="15.75" customHeight="1">
      <c r="A382" s="218"/>
      <c r="B382" s="219"/>
      <c r="C382" s="219"/>
      <c r="D382" s="219"/>
      <c r="E382" s="219"/>
      <c r="F382" s="219"/>
      <c r="G382" s="220"/>
      <c r="H382" s="12">
        <v>9</v>
      </c>
      <c r="I382" s="64" t="str">
        <f t="shared" ref="I382:M382" si="198">I381</f>
        <v>MR.KPBS.P113</v>
      </c>
      <c r="J382" s="64">
        <f t="shared" si="198"/>
        <v>0.70718221739999998</v>
      </c>
      <c r="K382" s="64">
        <f t="shared" si="198"/>
        <v>124.32489509600001</v>
      </c>
      <c r="L382" s="64" t="str">
        <f t="shared" si="198"/>
        <v>JL. RAYA POYOWA BESAR</v>
      </c>
      <c r="M382" s="64" t="str">
        <f t="shared" si="198"/>
        <v>SULAWESI UTARA</v>
      </c>
      <c r="N382" s="65" t="s">
        <v>105</v>
      </c>
      <c r="O382" s="66" t="s">
        <v>118</v>
      </c>
      <c r="P382" s="65" t="s">
        <v>119</v>
      </c>
      <c r="Q382" s="66">
        <v>95717</v>
      </c>
      <c r="R382" s="98"/>
      <c r="S382" s="99"/>
      <c r="T382" s="100"/>
      <c r="U382" s="99"/>
      <c r="V382" s="100"/>
      <c r="W382" s="97" t="s">
        <v>105</v>
      </c>
      <c r="X382" s="101"/>
      <c r="Y382" s="64" t="s">
        <v>106</v>
      </c>
      <c r="Z382" s="64" t="str">
        <f t="shared" si="150"/>
        <v>KELURAHAN POYOWA BESAR SATU KOTAMOBAGU</v>
      </c>
      <c r="AA382" s="102"/>
      <c r="AB382" s="102"/>
      <c r="AC382" s="102" t="s">
        <v>70</v>
      </c>
      <c r="AD382" s="64" t="str">
        <f t="shared" ref="AD382:AD388" si="199">AD381</f>
        <v>POYOWA BESAR</v>
      </c>
      <c r="AE382" s="103"/>
      <c r="AF382" s="103"/>
      <c r="AG382" s="103"/>
      <c r="AH382" s="103"/>
      <c r="AI382" s="104"/>
      <c r="AJ382" s="11" t="s">
        <v>937</v>
      </c>
      <c r="AK382" s="102" t="s">
        <v>96</v>
      </c>
      <c r="AL382" s="106"/>
      <c r="AM382" s="192"/>
      <c r="AN382" s="192"/>
      <c r="AO382" s="192"/>
      <c r="AP382" s="192"/>
      <c r="AQ382" s="180" t="s">
        <v>97</v>
      </c>
      <c r="AR382" s="70" t="str">
        <f t="shared" si="146"/>
        <v>KTG.100.0101</v>
      </c>
      <c r="AS382" s="71" t="str">
        <f t="shared" ref="AS382:AS388" si="200">AS381</f>
        <v>KPBS-2.020</v>
      </c>
      <c r="AT382" s="71" t="str">
        <f t="shared" ref="AT382:AT388" si="201">AT381</f>
        <v>C04</v>
      </c>
      <c r="AU382" s="105"/>
      <c r="AV382" s="202">
        <v>0.70699366179999901</v>
      </c>
      <c r="AW382" s="202">
        <v>124.3243253532</v>
      </c>
      <c r="AX382" s="106" t="s">
        <v>98</v>
      </c>
      <c r="AY382" s="106" t="s">
        <v>94</v>
      </c>
      <c r="AZ382" s="106" t="s">
        <v>94</v>
      </c>
      <c r="BA382" s="73" t="s">
        <v>77</v>
      </c>
      <c r="BB382" s="106" t="s">
        <v>98</v>
      </c>
      <c r="BC382" s="106">
        <v>31</v>
      </c>
      <c r="BD382" s="106" t="s">
        <v>98</v>
      </c>
      <c r="BE382" s="211" t="str">
        <f t="shared" si="184"/>
        <v>736, POYOWA BESAR,</v>
      </c>
    </row>
    <row r="383" spans="1:57" s="211" customFormat="1" ht="15.75" customHeight="1">
      <c r="A383" s="218"/>
      <c r="B383" s="219"/>
      <c r="C383" s="219"/>
      <c r="D383" s="219"/>
      <c r="E383" s="219"/>
      <c r="F383" s="219"/>
      <c r="G383" s="220"/>
      <c r="H383" s="12">
        <v>10</v>
      </c>
      <c r="I383" s="64" t="str">
        <f t="shared" ref="I383:M383" si="202">I382</f>
        <v>MR.KPBS.P113</v>
      </c>
      <c r="J383" s="64">
        <f t="shared" si="202"/>
        <v>0.70718221739999998</v>
      </c>
      <c r="K383" s="64">
        <f t="shared" si="202"/>
        <v>124.32489509600001</v>
      </c>
      <c r="L383" s="64" t="str">
        <f t="shared" si="202"/>
        <v>JL. RAYA POYOWA BESAR</v>
      </c>
      <c r="M383" s="64" t="str">
        <f t="shared" si="202"/>
        <v>SULAWESI UTARA</v>
      </c>
      <c r="N383" s="65" t="s">
        <v>105</v>
      </c>
      <c r="O383" s="66" t="s">
        <v>118</v>
      </c>
      <c r="P383" s="65" t="s">
        <v>119</v>
      </c>
      <c r="Q383" s="66">
        <v>95717</v>
      </c>
      <c r="R383" s="98"/>
      <c r="S383" s="99"/>
      <c r="T383" s="100"/>
      <c r="U383" s="99"/>
      <c r="V383" s="100"/>
      <c r="W383" s="97" t="s">
        <v>105</v>
      </c>
      <c r="X383" s="101"/>
      <c r="Y383" s="64" t="s">
        <v>106</v>
      </c>
      <c r="Z383" s="64" t="str">
        <f t="shared" si="150"/>
        <v>KELURAHAN POYOWA BESAR SATU KOTAMOBAGU</v>
      </c>
      <c r="AA383" s="102"/>
      <c r="AB383" s="102"/>
      <c r="AC383" s="102" t="s">
        <v>70</v>
      </c>
      <c r="AD383" s="64" t="str">
        <f t="shared" si="199"/>
        <v>POYOWA BESAR</v>
      </c>
      <c r="AE383" s="103"/>
      <c r="AF383" s="103"/>
      <c r="AG383" s="103"/>
      <c r="AH383" s="103"/>
      <c r="AI383" s="104"/>
      <c r="AJ383" s="11" t="s">
        <v>938</v>
      </c>
      <c r="AK383" s="102" t="s">
        <v>96</v>
      </c>
      <c r="AL383" s="106"/>
      <c r="AM383" s="192"/>
      <c r="AN383" s="192"/>
      <c r="AO383" s="192"/>
      <c r="AP383" s="192"/>
      <c r="AQ383" s="180" t="s">
        <v>97</v>
      </c>
      <c r="AR383" s="70" t="str">
        <f t="shared" si="146"/>
        <v>KTG.100.0101</v>
      </c>
      <c r="AS383" s="71" t="str">
        <f t="shared" si="200"/>
        <v>KPBS-2.020</v>
      </c>
      <c r="AT383" s="71" t="str">
        <f t="shared" si="201"/>
        <v>C04</v>
      </c>
      <c r="AU383" s="105"/>
      <c r="AV383" s="202">
        <v>0.707134727255748</v>
      </c>
      <c r="AW383" s="202">
        <v>124.324293951169</v>
      </c>
      <c r="AX383" s="106" t="s">
        <v>98</v>
      </c>
      <c r="AY383" s="106" t="s">
        <v>94</v>
      </c>
      <c r="AZ383" s="106" t="s">
        <v>94</v>
      </c>
      <c r="BA383" s="73" t="s">
        <v>77</v>
      </c>
      <c r="BB383" s="106" t="s">
        <v>98</v>
      </c>
      <c r="BC383" s="106">
        <v>31</v>
      </c>
      <c r="BD383" s="106" t="s">
        <v>98</v>
      </c>
      <c r="BE383" s="211" t="str">
        <f t="shared" si="184"/>
        <v>736A, POYOWA BESAR,</v>
      </c>
    </row>
    <row r="384" spans="1:57" s="211" customFormat="1" ht="15.75" customHeight="1">
      <c r="A384" s="209"/>
      <c r="B384" s="210"/>
      <c r="C384" s="210"/>
      <c r="D384" s="210"/>
      <c r="E384" s="210"/>
      <c r="F384" s="210"/>
      <c r="G384" s="210"/>
      <c r="H384" s="12">
        <v>11</v>
      </c>
      <c r="I384" s="64" t="str">
        <f t="shared" ref="I384:M384" si="203">I383</f>
        <v>MR.KPBS.P113</v>
      </c>
      <c r="J384" s="64">
        <f t="shared" si="203"/>
        <v>0.70718221739999998</v>
      </c>
      <c r="K384" s="64">
        <f t="shared" si="203"/>
        <v>124.32489509600001</v>
      </c>
      <c r="L384" s="64" t="str">
        <f t="shared" si="203"/>
        <v>JL. RAYA POYOWA BESAR</v>
      </c>
      <c r="M384" s="64" t="str">
        <f t="shared" si="203"/>
        <v>SULAWESI UTARA</v>
      </c>
      <c r="N384" s="65" t="s">
        <v>105</v>
      </c>
      <c r="O384" s="66" t="s">
        <v>118</v>
      </c>
      <c r="P384" s="65" t="s">
        <v>119</v>
      </c>
      <c r="Q384" s="66">
        <v>95717</v>
      </c>
      <c r="R384" s="98"/>
      <c r="S384" s="99"/>
      <c r="T384" s="100"/>
      <c r="U384" s="99"/>
      <c r="V384" s="100"/>
      <c r="W384" s="97" t="s">
        <v>105</v>
      </c>
      <c r="X384" s="101"/>
      <c r="Y384" s="64" t="s">
        <v>106</v>
      </c>
      <c r="Z384" s="64" t="str">
        <f t="shared" si="150"/>
        <v>KELURAHAN POYOWA BESAR SATU KOTAMOBAGU</v>
      </c>
      <c r="AA384" s="102"/>
      <c r="AB384" s="102"/>
      <c r="AC384" s="102" t="s">
        <v>70</v>
      </c>
      <c r="AD384" s="64" t="str">
        <f t="shared" si="199"/>
        <v>POYOWA BESAR</v>
      </c>
      <c r="AE384" s="103"/>
      <c r="AF384" s="103"/>
      <c r="AG384" s="103"/>
      <c r="AH384" s="103"/>
      <c r="AI384" s="104"/>
      <c r="AJ384" s="11" t="s">
        <v>939</v>
      </c>
      <c r="AK384" s="102" t="s">
        <v>96</v>
      </c>
      <c r="AL384" s="106"/>
      <c r="AM384" s="192"/>
      <c r="AN384" s="192"/>
      <c r="AO384" s="192"/>
      <c r="AP384" s="192"/>
      <c r="AQ384" s="180" t="s">
        <v>97</v>
      </c>
      <c r="AR384" s="70" t="str">
        <f t="shared" si="146"/>
        <v>KTG.100.0101</v>
      </c>
      <c r="AS384" s="71" t="str">
        <f t="shared" si="200"/>
        <v>KPBS-2.020</v>
      </c>
      <c r="AT384" s="71" t="str">
        <f t="shared" si="201"/>
        <v>C04</v>
      </c>
      <c r="AU384" s="105"/>
      <c r="AV384" s="202">
        <v>0.70691320960000004</v>
      </c>
      <c r="AW384" s="202">
        <v>124.32432383859999</v>
      </c>
      <c r="AX384" s="106" t="s">
        <v>98</v>
      </c>
      <c r="AY384" s="106" t="s">
        <v>94</v>
      </c>
      <c r="AZ384" s="106" t="s">
        <v>94</v>
      </c>
      <c r="BA384" s="73" t="s">
        <v>77</v>
      </c>
      <c r="BB384" s="106" t="s">
        <v>98</v>
      </c>
      <c r="BC384" s="106">
        <v>31</v>
      </c>
      <c r="BD384" s="106" t="s">
        <v>98</v>
      </c>
      <c r="BE384" s="211" t="str">
        <f t="shared" ref="BE384:BE388" si="204">AJ384&amp;", "&amp;AD384&amp;","&amp;AI384</f>
        <v>735, POYOWA BESAR,</v>
      </c>
    </row>
    <row r="385" spans="1:57" s="211" customFormat="1" ht="15.75" customHeight="1">
      <c r="A385" s="209"/>
      <c r="B385" s="210"/>
      <c r="C385" s="210"/>
      <c r="D385" s="210"/>
      <c r="E385" s="210"/>
      <c r="F385" s="210"/>
      <c r="G385" s="210"/>
      <c r="H385" s="12">
        <v>12</v>
      </c>
      <c r="I385" s="64" t="str">
        <f t="shared" ref="I385:M385" si="205">I384</f>
        <v>MR.KPBS.P113</v>
      </c>
      <c r="J385" s="64">
        <f t="shared" si="205"/>
        <v>0.70718221739999998</v>
      </c>
      <c r="K385" s="64">
        <f t="shared" si="205"/>
        <v>124.32489509600001</v>
      </c>
      <c r="L385" s="64" t="str">
        <f t="shared" si="205"/>
        <v>JL. RAYA POYOWA BESAR</v>
      </c>
      <c r="M385" s="64" t="str">
        <f t="shared" si="205"/>
        <v>SULAWESI UTARA</v>
      </c>
      <c r="N385" s="65" t="s">
        <v>105</v>
      </c>
      <c r="O385" s="66" t="s">
        <v>118</v>
      </c>
      <c r="P385" s="65" t="s">
        <v>119</v>
      </c>
      <c r="Q385" s="66">
        <v>95717</v>
      </c>
      <c r="R385" s="98"/>
      <c r="S385" s="99"/>
      <c r="T385" s="100"/>
      <c r="U385" s="99"/>
      <c r="V385" s="100"/>
      <c r="W385" s="97" t="s">
        <v>105</v>
      </c>
      <c r="X385" s="101"/>
      <c r="Y385" s="64" t="s">
        <v>106</v>
      </c>
      <c r="Z385" s="64" t="str">
        <f t="shared" si="150"/>
        <v>KELURAHAN POYOWA BESAR SATU KOTAMOBAGU</v>
      </c>
      <c r="AA385" s="102"/>
      <c r="AB385" s="102"/>
      <c r="AC385" s="102" t="s">
        <v>70</v>
      </c>
      <c r="AD385" s="64" t="str">
        <f t="shared" si="199"/>
        <v>POYOWA BESAR</v>
      </c>
      <c r="AE385" s="103"/>
      <c r="AF385" s="103"/>
      <c r="AG385" s="103"/>
      <c r="AH385" s="103"/>
      <c r="AI385" s="104"/>
      <c r="AJ385" s="11" t="s">
        <v>940</v>
      </c>
      <c r="AK385" s="102" t="s">
        <v>96</v>
      </c>
      <c r="AL385" s="106"/>
      <c r="AM385" s="192"/>
      <c r="AN385" s="192"/>
      <c r="AO385" s="192"/>
      <c r="AP385" s="192"/>
      <c r="AQ385" s="180" t="s">
        <v>97</v>
      </c>
      <c r="AR385" s="70" t="str">
        <f t="shared" si="146"/>
        <v>KTG.100.0101</v>
      </c>
      <c r="AS385" s="71" t="str">
        <f t="shared" si="200"/>
        <v>KPBS-2.020</v>
      </c>
      <c r="AT385" s="71" t="str">
        <f t="shared" si="201"/>
        <v>C04</v>
      </c>
      <c r="AU385" s="105"/>
      <c r="AV385" s="202">
        <v>0.70732813887439605</v>
      </c>
      <c r="AW385" s="202">
        <v>124.32441787481601</v>
      </c>
      <c r="AX385" s="106" t="s">
        <v>98</v>
      </c>
      <c r="AY385" s="106" t="s">
        <v>94</v>
      </c>
      <c r="AZ385" s="106" t="s">
        <v>94</v>
      </c>
      <c r="BA385" s="73" t="s">
        <v>77</v>
      </c>
      <c r="BB385" s="106" t="s">
        <v>98</v>
      </c>
      <c r="BC385" s="106">
        <v>31</v>
      </c>
      <c r="BD385" s="106" t="s">
        <v>98</v>
      </c>
      <c r="BE385" s="211" t="str">
        <f t="shared" si="204"/>
        <v>735A, POYOWA BESAR,</v>
      </c>
    </row>
    <row r="386" spans="1:57" s="211" customFormat="1" ht="15.75" customHeight="1">
      <c r="A386" s="209"/>
      <c r="B386" s="210"/>
      <c r="C386" s="210"/>
      <c r="D386" s="210"/>
      <c r="E386" s="210"/>
      <c r="F386" s="210"/>
      <c r="G386" s="210"/>
      <c r="H386" s="12">
        <v>13</v>
      </c>
      <c r="I386" s="64" t="str">
        <f t="shared" ref="I386:M386" si="206">I385</f>
        <v>MR.KPBS.P113</v>
      </c>
      <c r="J386" s="64">
        <f t="shared" si="206"/>
        <v>0.70718221739999998</v>
      </c>
      <c r="K386" s="64">
        <f t="shared" si="206"/>
        <v>124.32489509600001</v>
      </c>
      <c r="L386" s="64" t="str">
        <f t="shared" si="206"/>
        <v>JL. RAYA POYOWA BESAR</v>
      </c>
      <c r="M386" s="64" t="str">
        <f t="shared" si="206"/>
        <v>SULAWESI UTARA</v>
      </c>
      <c r="N386" s="65" t="s">
        <v>105</v>
      </c>
      <c r="O386" s="66" t="s">
        <v>118</v>
      </c>
      <c r="P386" s="65" t="s">
        <v>119</v>
      </c>
      <c r="Q386" s="66">
        <v>95717</v>
      </c>
      <c r="R386" s="98"/>
      <c r="S386" s="99"/>
      <c r="T386" s="100"/>
      <c r="U386" s="99"/>
      <c r="V386" s="100"/>
      <c r="W386" s="97" t="s">
        <v>105</v>
      </c>
      <c r="X386" s="101"/>
      <c r="Y386" s="64" t="s">
        <v>106</v>
      </c>
      <c r="Z386" s="64" t="str">
        <f t="shared" si="150"/>
        <v>KELURAHAN POYOWA BESAR SATU KOTAMOBAGU</v>
      </c>
      <c r="AA386" s="102"/>
      <c r="AB386" s="102"/>
      <c r="AC386" s="102" t="s">
        <v>70</v>
      </c>
      <c r="AD386" s="64" t="str">
        <f t="shared" si="199"/>
        <v>POYOWA BESAR</v>
      </c>
      <c r="AE386" s="103"/>
      <c r="AF386" s="103"/>
      <c r="AG386" s="103"/>
      <c r="AH386" s="103"/>
      <c r="AI386" s="104"/>
      <c r="AJ386" s="11" t="s">
        <v>941</v>
      </c>
      <c r="AK386" s="102" t="s">
        <v>96</v>
      </c>
      <c r="AL386" s="106"/>
      <c r="AM386" s="192"/>
      <c r="AN386" s="192"/>
      <c r="AO386" s="192"/>
      <c r="AP386" s="192"/>
      <c r="AQ386" s="180" t="s">
        <v>97</v>
      </c>
      <c r="AR386" s="70" t="str">
        <f t="shared" si="146"/>
        <v>KTG.100.0101</v>
      </c>
      <c r="AS386" s="71" t="str">
        <f t="shared" si="200"/>
        <v>KPBS-2.020</v>
      </c>
      <c r="AT386" s="71" t="str">
        <f t="shared" si="201"/>
        <v>C04</v>
      </c>
      <c r="AU386" s="105"/>
      <c r="AV386" s="202">
        <v>0.70684186520000003</v>
      </c>
      <c r="AW386" s="202">
        <v>124.3243268679</v>
      </c>
      <c r="AX386" s="106" t="s">
        <v>98</v>
      </c>
      <c r="AY386" s="106" t="s">
        <v>94</v>
      </c>
      <c r="AZ386" s="106" t="s">
        <v>94</v>
      </c>
      <c r="BA386" s="73" t="s">
        <v>77</v>
      </c>
      <c r="BB386" s="106" t="s">
        <v>98</v>
      </c>
      <c r="BC386" s="106">
        <v>31</v>
      </c>
      <c r="BD386" s="106" t="s">
        <v>98</v>
      </c>
      <c r="BE386" s="211" t="str">
        <f t="shared" si="204"/>
        <v>734, POYOWA BESAR,</v>
      </c>
    </row>
    <row r="387" spans="1:57" s="211" customFormat="1" ht="15.75" customHeight="1">
      <c r="A387" s="209"/>
      <c r="B387" s="210"/>
      <c r="C387" s="210"/>
      <c r="D387" s="210"/>
      <c r="E387" s="210"/>
      <c r="F387" s="210"/>
      <c r="G387" s="210"/>
      <c r="H387" s="12">
        <v>14</v>
      </c>
      <c r="I387" s="64" t="str">
        <f t="shared" ref="I387:M387" si="207">I386</f>
        <v>MR.KPBS.P113</v>
      </c>
      <c r="J387" s="64">
        <f t="shared" si="207"/>
        <v>0.70718221739999998</v>
      </c>
      <c r="K387" s="64">
        <f t="shared" si="207"/>
        <v>124.32489509600001</v>
      </c>
      <c r="L387" s="64" t="str">
        <f t="shared" si="207"/>
        <v>JL. RAYA POYOWA BESAR</v>
      </c>
      <c r="M387" s="64" t="str">
        <f t="shared" si="207"/>
        <v>SULAWESI UTARA</v>
      </c>
      <c r="N387" s="65" t="s">
        <v>105</v>
      </c>
      <c r="O387" s="66" t="s">
        <v>118</v>
      </c>
      <c r="P387" s="65" t="s">
        <v>119</v>
      </c>
      <c r="Q387" s="66">
        <v>95717</v>
      </c>
      <c r="R387" s="98"/>
      <c r="S387" s="99"/>
      <c r="T387" s="100"/>
      <c r="U387" s="99"/>
      <c r="V387" s="100"/>
      <c r="W387" s="97" t="s">
        <v>105</v>
      </c>
      <c r="X387" s="101"/>
      <c r="Y387" s="64" t="s">
        <v>106</v>
      </c>
      <c r="Z387" s="64" t="str">
        <f t="shared" si="150"/>
        <v>KELURAHAN POYOWA BESAR SATU KOTAMOBAGU</v>
      </c>
      <c r="AA387" s="102"/>
      <c r="AB387" s="102"/>
      <c r="AC387" s="102" t="s">
        <v>70</v>
      </c>
      <c r="AD387" s="64" t="str">
        <f t="shared" si="199"/>
        <v>POYOWA BESAR</v>
      </c>
      <c r="AE387" s="103"/>
      <c r="AF387" s="103"/>
      <c r="AG387" s="103"/>
      <c r="AH387" s="103"/>
      <c r="AI387" s="104"/>
      <c r="AJ387" s="11" t="s">
        <v>942</v>
      </c>
      <c r="AK387" s="102" t="s">
        <v>96</v>
      </c>
      <c r="AL387" s="106"/>
      <c r="AM387" s="192"/>
      <c r="AN387" s="192"/>
      <c r="AO387" s="192"/>
      <c r="AP387" s="192"/>
      <c r="AQ387" s="180" t="s">
        <v>97</v>
      </c>
      <c r="AR387" s="70" t="str">
        <f t="shared" si="146"/>
        <v>KTG.100.0101</v>
      </c>
      <c r="AS387" s="71" t="str">
        <f t="shared" si="200"/>
        <v>KPBS-2.020</v>
      </c>
      <c r="AT387" s="71" t="str">
        <f t="shared" si="201"/>
        <v>C04</v>
      </c>
      <c r="AU387" s="105"/>
      <c r="AV387" s="202">
        <v>0.70723395789999999</v>
      </c>
      <c r="AW387" s="202">
        <v>124.32510436210001</v>
      </c>
      <c r="AX387" s="106" t="s">
        <v>98</v>
      </c>
      <c r="AY387" s="106" t="s">
        <v>94</v>
      </c>
      <c r="AZ387" s="106" t="s">
        <v>94</v>
      </c>
      <c r="BA387" s="73" t="s">
        <v>77</v>
      </c>
      <c r="BB387" s="106" t="s">
        <v>98</v>
      </c>
      <c r="BC387" s="106">
        <v>31</v>
      </c>
      <c r="BD387" s="106" t="s">
        <v>98</v>
      </c>
      <c r="BE387" s="211" t="str">
        <f t="shared" si="204"/>
        <v>739, POYOWA BESAR,</v>
      </c>
    </row>
    <row r="388" spans="1:57" s="211" customFormat="1" ht="15.75" customHeight="1">
      <c r="A388" s="209"/>
      <c r="B388" s="210"/>
      <c r="C388" s="210"/>
      <c r="D388" s="210"/>
      <c r="E388" s="210"/>
      <c r="F388" s="210"/>
      <c r="G388" s="210"/>
      <c r="H388" s="12">
        <v>15</v>
      </c>
      <c r="I388" s="64" t="str">
        <f t="shared" ref="I388:M388" si="208">I387</f>
        <v>MR.KPBS.P113</v>
      </c>
      <c r="J388" s="64">
        <f t="shared" si="208"/>
        <v>0.70718221739999998</v>
      </c>
      <c r="K388" s="64">
        <f t="shared" si="208"/>
        <v>124.32489509600001</v>
      </c>
      <c r="L388" s="64" t="str">
        <f t="shared" si="208"/>
        <v>JL. RAYA POYOWA BESAR</v>
      </c>
      <c r="M388" s="64" t="str">
        <f t="shared" si="208"/>
        <v>SULAWESI UTARA</v>
      </c>
      <c r="N388" s="65" t="s">
        <v>105</v>
      </c>
      <c r="O388" s="66" t="s">
        <v>118</v>
      </c>
      <c r="P388" s="65" t="s">
        <v>119</v>
      </c>
      <c r="Q388" s="66">
        <v>95717</v>
      </c>
      <c r="R388" s="98"/>
      <c r="S388" s="99"/>
      <c r="T388" s="100"/>
      <c r="U388" s="99"/>
      <c r="V388" s="100"/>
      <c r="W388" s="97" t="s">
        <v>105</v>
      </c>
      <c r="X388" s="101"/>
      <c r="Y388" s="64" t="s">
        <v>106</v>
      </c>
      <c r="Z388" s="64" t="str">
        <f t="shared" si="150"/>
        <v>KELURAHAN POYOWA BESAR SATU KOTAMOBAGU</v>
      </c>
      <c r="AA388" s="102"/>
      <c r="AB388" s="102"/>
      <c r="AC388" s="102" t="s">
        <v>70</v>
      </c>
      <c r="AD388" s="64" t="str">
        <f t="shared" si="199"/>
        <v>POYOWA BESAR</v>
      </c>
      <c r="AE388" s="103"/>
      <c r="AF388" s="103"/>
      <c r="AG388" s="103"/>
      <c r="AH388" s="103"/>
      <c r="AI388" s="104"/>
      <c r="AJ388" s="11" t="s">
        <v>943</v>
      </c>
      <c r="AK388" s="102" t="s">
        <v>96</v>
      </c>
      <c r="AL388" s="106"/>
      <c r="AM388" s="192"/>
      <c r="AN388" s="192"/>
      <c r="AO388" s="192"/>
      <c r="AP388" s="192"/>
      <c r="AQ388" s="180" t="s">
        <v>97</v>
      </c>
      <c r="AR388" s="70" t="str">
        <f t="shared" si="146"/>
        <v>KTG.100.0101</v>
      </c>
      <c r="AS388" s="71" t="str">
        <f t="shared" si="200"/>
        <v>KPBS-2.020</v>
      </c>
      <c r="AT388" s="71" t="str">
        <f t="shared" si="201"/>
        <v>C04</v>
      </c>
      <c r="AU388" s="105"/>
      <c r="AV388" s="202">
        <v>0.70730530840000005</v>
      </c>
      <c r="AW388" s="202">
        <v>124.32519675970001</v>
      </c>
      <c r="AX388" s="106" t="s">
        <v>98</v>
      </c>
      <c r="AY388" s="106" t="s">
        <v>94</v>
      </c>
      <c r="AZ388" s="106" t="s">
        <v>94</v>
      </c>
      <c r="BA388" s="73" t="s">
        <v>77</v>
      </c>
      <c r="BB388" s="106" t="s">
        <v>98</v>
      </c>
      <c r="BC388" s="106">
        <v>31</v>
      </c>
      <c r="BD388" s="106" t="s">
        <v>98</v>
      </c>
      <c r="BE388" s="211" t="str">
        <f t="shared" si="204"/>
        <v>740, POYOWA BESAR,</v>
      </c>
    </row>
    <row r="389" spans="1:57" s="211" customFormat="1" ht="15.75" customHeight="1">
      <c r="A389" s="34" t="s">
        <v>104</v>
      </c>
      <c r="B389" s="34">
        <f>B374+1</f>
        <v>29</v>
      </c>
      <c r="C389" s="33" t="s">
        <v>350</v>
      </c>
      <c r="D389" s="33" t="s">
        <v>348</v>
      </c>
      <c r="E389" s="33">
        <v>1</v>
      </c>
      <c r="F389" s="9">
        <f>F375+1</f>
        <v>9</v>
      </c>
      <c r="G389" s="213" t="s">
        <v>259</v>
      </c>
      <c r="H389" s="35">
        <v>1</v>
      </c>
      <c r="I389" s="48" t="s">
        <v>343</v>
      </c>
      <c r="J389" s="54">
        <v>0.70718420069999999</v>
      </c>
      <c r="K389" s="54">
        <v>124.3255460676</v>
      </c>
      <c r="L389" s="112" t="s">
        <v>116</v>
      </c>
      <c r="M389" s="56" t="str">
        <f t="shared" ref="M389" si="209">M383</f>
        <v>SULAWESI UTARA</v>
      </c>
      <c r="N389" s="76" t="s">
        <v>105</v>
      </c>
      <c r="O389" s="49" t="s">
        <v>118</v>
      </c>
      <c r="P389" s="76" t="s">
        <v>119</v>
      </c>
      <c r="Q389" s="49">
        <v>95717</v>
      </c>
      <c r="R389" s="51"/>
      <c r="S389" s="52"/>
      <c r="T389" s="53"/>
      <c r="U389" s="52"/>
      <c r="V389" s="53"/>
      <c r="W389" s="50" t="s">
        <v>105</v>
      </c>
      <c r="X389" s="54"/>
      <c r="Y389" s="56" t="s">
        <v>106</v>
      </c>
      <c r="Z389" s="56" t="str">
        <f>Z383</f>
        <v>KELURAHAN POYOWA BESAR SATU KOTAMOBAGU</v>
      </c>
      <c r="AA389" s="55"/>
      <c r="AB389" s="55"/>
      <c r="AC389" s="55" t="s">
        <v>70</v>
      </c>
      <c r="AD389" s="112" t="s">
        <v>119</v>
      </c>
      <c r="AE389" s="57"/>
      <c r="AF389" s="57"/>
      <c r="AG389" s="57"/>
      <c r="AH389" s="57"/>
      <c r="AI389" s="58"/>
      <c r="AJ389" s="114" t="s">
        <v>944</v>
      </c>
      <c r="AK389" s="55" t="s">
        <v>96</v>
      </c>
      <c r="AL389" s="62"/>
      <c r="AM389" s="184"/>
      <c r="AN389" s="184"/>
      <c r="AO389" s="184"/>
      <c r="AP389" s="184"/>
      <c r="AQ389" s="185" t="s">
        <v>97</v>
      </c>
      <c r="AR389" s="59" t="str">
        <f>AR383</f>
        <v>KTG.100.0101</v>
      </c>
      <c r="AS389" s="60" t="str">
        <f>AS374</f>
        <v>KPBS-2.020</v>
      </c>
      <c r="AT389" s="60" t="str">
        <f>G389</f>
        <v>C05</v>
      </c>
      <c r="AU389" s="61"/>
      <c r="AV389" s="201">
        <v>0.70727651290000004</v>
      </c>
      <c r="AW389" s="201">
        <v>124.3255967428</v>
      </c>
      <c r="AX389" s="62" t="s">
        <v>98</v>
      </c>
      <c r="AY389" s="62" t="s">
        <v>94</v>
      </c>
      <c r="AZ389" s="62" t="s">
        <v>94</v>
      </c>
      <c r="BA389" s="63" t="s">
        <v>77</v>
      </c>
      <c r="BB389" s="62" t="s">
        <v>98</v>
      </c>
      <c r="BC389" s="62">
        <v>31</v>
      </c>
      <c r="BD389" s="62" t="s">
        <v>98</v>
      </c>
      <c r="BE389" s="211" t="str">
        <f t="shared" si="184"/>
        <v>752, POYOWA BESAR,</v>
      </c>
    </row>
    <row r="390" spans="1:57" s="211" customFormat="1" ht="15.75" customHeight="1">
      <c r="A390" s="21"/>
      <c r="B390" s="21"/>
      <c r="C390" s="22" t="s">
        <v>350</v>
      </c>
      <c r="D390" s="22" t="s">
        <v>348</v>
      </c>
      <c r="E390" s="33">
        <v>1</v>
      </c>
      <c r="F390" s="6">
        <f>F389+1</f>
        <v>10</v>
      </c>
      <c r="G390" s="213"/>
      <c r="H390" s="12">
        <v>2</v>
      </c>
      <c r="I390" s="64" t="str">
        <f t="shared" ref="I390:M390" si="210">I389</f>
        <v>MR.KPBS.P115</v>
      </c>
      <c r="J390" s="64">
        <f t="shared" si="210"/>
        <v>0.70718420069999999</v>
      </c>
      <c r="K390" s="64">
        <f t="shared" si="210"/>
        <v>124.3255460676</v>
      </c>
      <c r="L390" s="64" t="str">
        <f t="shared" si="210"/>
        <v>JL. RAYA POYOWA BESAR</v>
      </c>
      <c r="M390" s="64" t="str">
        <f t="shared" si="210"/>
        <v>SULAWESI UTARA</v>
      </c>
      <c r="N390" s="65" t="s">
        <v>105</v>
      </c>
      <c r="O390" s="66" t="s">
        <v>118</v>
      </c>
      <c r="P390" s="65" t="s">
        <v>119</v>
      </c>
      <c r="Q390" s="66">
        <v>95717</v>
      </c>
      <c r="R390" s="98"/>
      <c r="S390" s="99"/>
      <c r="T390" s="100"/>
      <c r="U390" s="99"/>
      <c r="V390" s="100"/>
      <c r="W390" s="97" t="s">
        <v>105</v>
      </c>
      <c r="X390" s="101"/>
      <c r="Y390" s="64" t="s">
        <v>106</v>
      </c>
      <c r="Z390" s="64" t="str">
        <f t="shared" si="150"/>
        <v>KELURAHAN POYOWA BESAR SATU KOTAMOBAGU</v>
      </c>
      <c r="AA390" s="102"/>
      <c r="AB390" s="102"/>
      <c r="AC390" s="102" t="s">
        <v>70</v>
      </c>
      <c r="AD390" s="64" t="str">
        <f t="shared" ref="AD390:AD395" si="211">AD389</f>
        <v>POYOWA BESAR</v>
      </c>
      <c r="AE390" s="103"/>
      <c r="AF390" s="103"/>
      <c r="AG390" s="103"/>
      <c r="AH390" s="103"/>
      <c r="AI390" s="104"/>
      <c r="AJ390" s="11" t="s">
        <v>945</v>
      </c>
      <c r="AK390" s="102" t="s">
        <v>96</v>
      </c>
      <c r="AL390" s="106"/>
      <c r="AM390" s="192"/>
      <c r="AN390" s="192"/>
      <c r="AO390" s="192"/>
      <c r="AP390" s="192"/>
      <c r="AQ390" s="180" t="s">
        <v>97</v>
      </c>
      <c r="AR390" s="70" t="str">
        <f t="shared" si="146"/>
        <v>KTG.100.0101</v>
      </c>
      <c r="AS390" s="71" t="str">
        <f t="shared" ref="AS390:AS395" si="212">AS389</f>
        <v>KPBS-2.020</v>
      </c>
      <c r="AT390" s="71" t="str">
        <f t="shared" ref="AT390:AT395" si="213">AT389</f>
        <v>C05</v>
      </c>
      <c r="AU390" s="105"/>
      <c r="AV390" s="202">
        <v>0.70694839970000001</v>
      </c>
      <c r="AW390" s="202">
        <v>124.3259876952</v>
      </c>
      <c r="AX390" s="106" t="s">
        <v>98</v>
      </c>
      <c r="AY390" s="106" t="s">
        <v>94</v>
      </c>
      <c r="AZ390" s="106" t="s">
        <v>94</v>
      </c>
      <c r="BA390" s="73" t="s">
        <v>77</v>
      </c>
      <c r="BB390" s="106" t="s">
        <v>98</v>
      </c>
      <c r="BC390" s="106">
        <v>31</v>
      </c>
      <c r="BD390" s="106" t="s">
        <v>98</v>
      </c>
      <c r="BE390" s="211" t="str">
        <f t="shared" si="184"/>
        <v>754, POYOWA BESAR,</v>
      </c>
    </row>
    <row r="391" spans="1:57" s="211" customFormat="1" ht="15.75" customHeight="1">
      <c r="A391" s="215"/>
      <c r="B391" s="216"/>
      <c r="C391" s="216"/>
      <c r="D391" s="216"/>
      <c r="E391" s="216"/>
      <c r="F391" s="216"/>
      <c r="G391" s="217"/>
      <c r="H391" s="12">
        <v>3</v>
      </c>
      <c r="I391" s="64" t="str">
        <f t="shared" ref="I391:M391" si="214">I390</f>
        <v>MR.KPBS.P115</v>
      </c>
      <c r="J391" s="64">
        <f t="shared" si="214"/>
        <v>0.70718420069999999</v>
      </c>
      <c r="K391" s="64">
        <f t="shared" si="214"/>
        <v>124.3255460676</v>
      </c>
      <c r="L391" s="64" t="str">
        <f t="shared" si="214"/>
        <v>JL. RAYA POYOWA BESAR</v>
      </c>
      <c r="M391" s="64" t="str">
        <f t="shared" si="214"/>
        <v>SULAWESI UTARA</v>
      </c>
      <c r="N391" s="65" t="s">
        <v>105</v>
      </c>
      <c r="O391" s="66" t="s">
        <v>118</v>
      </c>
      <c r="P391" s="65" t="s">
        <v>119</v>
      </c>
      <c r="Q391" s="66">
        <v>95717</v>
      </c>
      <c r="R391" s="98"/>
      <c r="S391" s="99"/>
      <c r="T391" s="100"/>
      <c r="U391" s="99"/>
      <c r="V391" s="100"/>
      <c r="W391" s="97" t="s">
        <v>105</v>
      </c>
      <c r="X391" s="101"/>
      <c r="Y391" s="64" t="s">
        <v>106</v>
      </c>
      <c r="Z391" s="64" t="str">
        <f t="shared" si="150"/>
        <v>KELURAHAN POYOWA BESAR SATU KOTAMOBAGU</v>
      </c>
      <c r="AA391" s="102"/>
      <c r="AB391" s="102"/>
      <c r="AC391" s="102" t="s">
        <v>70</v>
      </c>
      <c r="AD391" s="64" t="str">
        <f t="shared" si="211"/>
        <v>POYOWA BESAR</v>
      </c>
      <c r="AE391" s="103"/>
      <c r="AF391" s="103"/>
      <c r="AG391" s="103"/>
      <c r="AH391" s="103"/>
      <c r="AI391" s="104"/>
      <c r="AJ391" s="11" t="s">
        <v>946</v>
      </c>
      <c r="AK391" s="102" t="s">
        <v>96</v>
      </c>
      <c r="AL391" s="106"/>
      <c r="AM391" s="192"/>
      <c r="AN391" s="192"/>
      <c r="AO391" s="192"/>
      <c r="AP391" s="192"/>
      <c r="AQ391" s="180" t="s">
        <v>97</v>
      </c>
      <c r="AR391" s="70" t="str">
        <f t="shared" si="146"/>
        <v>KTG.100.0101</v>
      </c>
      <c r="AS391" s="71" t="str">
        <f t="shared" si="212"/>
        <v>KPBS-2.020</v>
      </c>
      <c r="AT391" s="71" t="str">
        <f t="shared" si="213"/>
        <v>C05</v>
      </c>
      <c r="AU391" s="105"/>
      <c r="AV391" s="202">
        <v>0.70733399969999999</v>
      </c>
      <c r="AW391" s="202">
        <v>124.32606191630001</v>
      </c>
      <c r="AX391" s="106" t="s">
        <v>98</v>
      </c>
      <c r="AY391" s="106" t="s">
        <v>94</v>
      </c>
      <c r="AZ391" s="106" t="s">
        <v>94</v>
      </c>
      <c r="BA391" s="73" t="s">
        <v>77</v>
      </c>
      <c r="BB391" s="106" t="s">
        <v>98</v>
      </c>
      <c r="BC391" s="106">
        <v>31</v>
      </c>
      <c r="BD391" s="106" t="s">
        <v>98</v>
      </c>
      <c r="BE391" s="211" t="str">
        <f t="shared" si="184"/>
        <v>756, POYOWA BESAR,</v>
      </c>
    </row>
    <row r="392" spans="1:57" s="211" customFormat="1" ht="15.75" customHeight="1">
      <c r="A392" s="218"/>
      <c r="B392" s="219"/>
      <c r="C392" s="219"/>
      <c r="D392" s="219"/>
      <c r="E392" s="219"/>
      <c r="F392" s="219"/>
      <c r="G392" s="220"/>
      <c r="H392" s="12">
        <v>4</v>
      </c>
      <c r="I392" s="64" t="str">
        <f t="shared" ref="I392:M392" si="215">I391</f>
        <v>MR.KPBS.P115</v>
      </c>
      <c r="J392" s="64">
        <f t="shared" si="215"/>
        <v>0.70718420069999999</v>
      </c>
      <c r="K392" s="64">
        <f t="shared" si="215"/>
        <v>124.3255460676</v>
      </c>
      <c r="L392" s="64" t="str">
        <f t="shared" si="215"/>
        <v>JL. RAYA POYOWA BESAR</v>
      </c>
      <c r="M392" s="64" t="str">
        <f t="shared" si="215"/>
        <v>SULAWESI UTARA</v>
      </c>
      <c r="N392" s="65" t="s">
        <v>105</v>
      </c>
      <c r="O392" s="66" t="s">
        <v>118</v>
      </c>
      <c r="P392" s="65" t="s">
        <v>119</v>
      </c>
      <c r="Q392" s="66">
        <v>95717</v>
      </c>
      <c r="R392" s="98"/>
      <c r="S392" s="99"/>
      <c r="T392" s="100"/>
      <c r="U392" s="99"/>
      <c r="V392" s="100"/>
      <c r="W392" s="97" t="s">
        <v>105</v>
      </c>
      <c r="X392" s="101"/>
      <c r="Y392" s="64" t="s">
        <v>106</v>
      </c>
      <c r="Z392" s="64" t="str">
        <f t="shared" si="150"/>
        <v>KELURAHAN POYOWA BESAR SATU KOTAMOBAGU</v>
      </c>
      <c r="AA392" s="102"/>
      <c r="AB392" s="102"/>
      <c r="AC392" s="102" t="s">
        <v>70</v>
      </c>
      <c r="AD392" s="64" t="str">
        <f t="shared" si="211"/>
        <v>POYOWA BESAR</v>
      </c>
      <c r="AE392" s="103"/>
      <c r="AF392" s="103"/>
      <c r="AG392" s="103"/>
      <c r="AH392" s="103"/>
      <c r="AI392" s="104"/>
      <c r="AJ392" s="11" t="s">
        <v>947</v>
      </c>
      <c r="AK392" s="102" t="s">
        <v>96</v>
      </c>
      <c r="AL392" s="106"/>
      <c r="AM392" s="192"/>
      <c r="AN392" s="192"/>
      <c r="AO392" s="192"/>
      <c r="AP392" s="192"/>
      <c r="AQ392" s="180" t="s">
        <v>97</v>
      </c>
      <c r="AR392" s="70" t="str">
        <f t="shared" ref="AR392:AR412" si="216">AR391</f>
        <v>KTG.100.0101</v>
      </c>
      <c r="AS392" s="71" t="str">
        <f t="shared" si="212"/>
        <v>KPBS-2.020</v>
      </c>
      <c r="AT392" s="71" t="str">
        <f t="shared" si="213"/>
        <v>C05</v>
      </c>
      <c r="AU392" s="105"/>
      <c r="AV392" s="202">
        <v>0.70730500470000002</v>
      </c>
      <c r="AW392" s="202">
        <v>124.3259725482</v>
      </c>
      <c r="AX392" s="106" t="s">
        <v>98</v>
      </c>
      <c r="AY392" s="106" t="s">
        <v>94</v>
      </c>
      <c r="AZ392" s="106" t="s">
        <v>94</v>
      </c>
      <c r="BA392" s="73" t="s">
        <v>77</v>
      </c>
      <c r="BB392" s="106" t="s">
        <v>98</v>
      </c>
      <c r="BC392" s="106">
        <v>31</v>
      </c>
      <c r="BD392" s="106" t="s">
        <v>98</v>
      </c>
      <c r="BE392" s="211" t="str">
        <f t="shared" si="184"/>
        <v>755, POYOWA BESAR,</v>
      </c>
    </row>
    <row r="393" spans="1:57" s="211" customFormat="1" ht="15.75" customHeight="1">
      <c r="A393" s="218"/>
      <c r="B393" s="219"/>
      <c r="C393" s="219"/>
      <c r="D393" s="219"/>
      <c r="E393" s="219"/>
      <c r="F393" s="219"/>
      <c r="G393" s="220"/>
      <c r="H393" s="12">
        <v>5</v>
      </c>
      <c r="I393" s="64" t="str">
        <f t="shared" ref="I393:M393" si="217">I392</f>
        <v>MR.KPBS.P115</v>
      </c>
      <c r="J393" s="64">
        <f t="shared" si="217"/>
        <v>0.70718420069999999</v>
      </c>
      <c r="K393" s="64">
        <f t="shared" si="217"/>
        <v>124.3255460676</v>
      </c>
      <c r="L393" s="64" t="str">
        <f t="shared" si="217"/>
        <v>JL. RAYA POYOWA BESAR</v>
      </c>
      <c r="M393" s="64" t="str">
        <f t="shared" si="217"/>
        <v>SULAWESI UTARA</v>
      </c>
      <c r="N393" s="65" t="s">
        <v>105</v>
      </c>
      <c r="O393" s="66" t="s">
        <v>118</v>
      </c>
      <c r="P393" s="65" t="s">
        <v>119</v>
      </c>
      <c r="Q393" s="66">
        <v>95717</v>
      </c>
      <c r="R393" s="98"/>
      <c r="S393" s="99"/>
      <c r="T393" s="100"/>
      <c r="U393" s="99"/>
      <c r="V393" s="100"/>
      <c r="W393" s="97" t="s">
        <v>105</v>
      </c>
      <c r="X393" s="101"/>
      <c r="Y393" s="64" t="s">
        <v>106</v>
      </c>
      <c r="Z393" s="64" t="str">
        <f t="shared" ref="Z393:Z412" si="218">Z392</f>
        <v>KELURAHAN POYOWA BESAR SATU KOTAMOBAGU</v>
      </c>
      <c r="AA393" s="102"/>
      <c r="AB393" s="102"/>
      <c r="AC393" s="102" t="s">
        <v>70</v>
      </c>
      <c r="AD393" s="64" t="str">
        <f t="shared" si="211"/>
        <v>POYOWA BESAR</v>
      </c>
      <c r="AE393" s="103"/>
      <c r="AF393" s="103"/>
      <c r="AG393" s="103"/>
      <c r="AH393" s="103"/>
      <c r="AI393" s="104"/>
      <c r="AJ393" s="11" t="s">
        <v>948</v>
      </c>
      <c r="AK393" s="102" t="s">
        <v>96</v>
      </c>
      <c r="AL393" s="106"/>
      <c r="AM393" s="192"/>
      <c r="AN393" s="192"/>
      <c r="AO393" s="192"/>
      <c r="AP393" s="192"/>
      <c r="AQ393" s="180" t="s">
        <v>97</v>
      </c>
      <c r="AR393" s="70" t="str">
        <f t="shared" si="216"/>
        <v>KTG.100.0101</v>
      </c>
      <c r="AS393" s="71" t="str">
        <f t="shared" si="212"/>
        <v>KPBS-2.020</v>
      </c>
      <c r="AT393" s="71" t="str">
        <f t="shared" si="213"/>
        <v>C05</v>
      </c>
      <c r="AU393" s="105"/>
      <c r="AV393" s="202">
        <v>0.70728713249999997</v>
      </c>
      <c r="AW393" s="202">
        <v>124.32566187560001</v>
      </c>
      <c r="AX393" s="106" t="s">
        <v>98</v>
      </c>
      <c r="AY393" s="106" t="s">
        <v>94</v>
      </c>
      <c r="AZ393" s="106" t="s">
        <v>94</v>
      </c>
      <c r="BA393" s="73" t="s">
        <v>77</v>
      </c>
      <c r="BB393" s="106" t="s">
        <v>98</v>
      </c>
      <c r="BC393" s="106">
        <v>31</v>
      </c>
      <c r="BD393" s="106" t="s">
        <v>98</v>
      </c>
      <c r="BE393" s="211" t="str">
        <f t="shared" si="184"/>
        <v>753, POYOWA BESAR,</v>
      </c>
    </row>
    <row r="394" spans="1:57" s="211" customFormat="1" ht="15.75" customHeight="1">
      <c r="A394" s="218"/>
      <c r="B394" s="219"/>
      <c r="C394" s="219"/>
      <c r="D394" s="219"/>
      <c r="E394" s="219"/>
      <c r="F394" s="219"/>
      <c r="G394" s="220"/>
      <c r="H394" s="12">
        <v>6</v>
      </c>
      <c r="I394" s="64" t="str">
        <f t="shared" ref="I394:M394" si="219">I393</f>
        <v>MR.KPBS.P115</v>
      </c>
      <c r="J394" s="64">
        <f t="shared" si="219"/>
        <v>0.70718420069999999</v>
      </c>
      <c r="K394" s="64">
        <f t="shared" si="219"/>
        <v>124.3255460676</v>
      </c>
      <c r="L394" s="64" t="str">
        <f t="shared" si="219"/>
        <v>JL. RAYA POYOWA BESAR</v>
      </c>
      <c r="M394" s="64" t="str">
        <f t="shared" si="219"/>
        <v>SULAWESI UTARA</v>
      </c>
      <c r="N394" s="65" t="s">
        <v>105</v>
      </c>
      <c r="O394" s="66" t="s">
        <v>118</v>
      </c>
      <c r="P394" s="65" t="s">
        <v>119</v>
      </c>
      <c r="Q394" s="66">
        <v>95717</v>
      </c>
      <c r="R394" s="98"/>
      <c r="S394" s="99"/>
      <c r="T394" s="100"/>
      <c r="U394" s="99"/>
      <c r="V394" s="100"/>
      <c r="W394" s="97" t="s">
        <v>105</v>
      </c>
      <c r="X394" s="101"/>
      <c r="Y394" s="64" t="s">
        <v>106</v>
      </c>
      <c r="Z394" s="64" t="str">
        <f t="shared" si="218"/>
        <v>KELURAHAN POYOWA BESAR SATU KOTAMOBAGU</v>
      </c>
      <c r="AA394" s="102"/>
      <c r="AB394" s="102"/>
      <c r="AC394" s="102" t="s">
        <v>70</v>
      </c>
      <c r="AD394" s="64" t="str">
        <f t="shared" si="211"/>
        <v>POYOWA BESAR</v>
      </c>
      <c r="AE394" s="103"/>
      <c r="AF394" s="103"/>
      <c r="AG394" s="103"/>
      <c r="AH394" s="103"/>
      <c r="AI394" s="104"/>
      <c r="AJ394" s="11" t="s">
        <v>949</v>
      </c>
      <c r="AK394" s="102" t="s">
        <v>96</v>
      </c>
      <c r="AL394" s="106"/>
      <c r="AM394" s="192"/>
      <c r="AN394" s="192"/>
      <c r="AO394" s="192"/>
      <c r="AP394" s="192"/>
      <c r="AQ394" s="180" t="s">
        <v>97</v>
      </c>
      <c r="AR394" s="70" t="str">
        <f t="shared" si="216"/>
        <v>KTG.100.0101</v>
      </c>
      <c r="AS394" s="71" t="str">
        <f t="shared" si="212"/>
        <v>KPBS-2.020</v>
      </c>
      <c r="AT394" s="71" t="str">
        <f t="shared" si="213"/>
        <v>C05</v>
      </c>
      <c r="AU394" s="105"/>
      <c r="AV394" s="202">
        <v>0.70722642010000003</v>
      </c>
      <c r="AW394" s="202">
        <v>124.32550737459999</v>
      </c>
      <c r="AX394" s="106" t="s">
        <v>98</v>
      </c>
      <c r="AY394" s="106" t="s">
        <v>94</v>
      </c>
      <c r="AZ394" s="106" t="s">
        <v>94</v>
      </c>
      <c r="BA394" s="73" t="s">
        <v>77</v>
      </c>
      <c r="BB394" s="106" t="s">
        <v>98</v>
      </c>
      <c r="BC394" s="106">
        <v>31</v>
      </c>
      <c r="BD394" s="106" t="s">
        <v>98</v>
      </c>
      <c r="BE394" s="211" t="str">
        <f t="shared" si="184"/>
        <v>751, POYOWA BESAR,</v>
      </c>
    </row>
    <row r="395" spans="1:57" s="211" customFormat="1" ht="15.75" customHeight="1">
      <c r="A395" s="218"/>
      <c r="B395" s="219"/>
      <c r="C395" s="219"/>
      <c r="D395" s="219"/>
      <c r="E395" s="219"/>
      <c r="F395" s="219"/>
      <c r="G395" s="220"/>
      <c r="H395" s="12">
        <v>7</v>
      </c>
      <c r="I395" s="64" t="str">
        <f t="shared" ref="I395:M395" si="220">I394</f>
        <v>MR.KPBS.P115</v>
      </c>
      <c r="J395" s="64">
        <f t="shared" si="220"/>
        <v>0.70718420069999999</v>
      </c>
      <c r="K395" s="64">
        <f t="shared" si="220"/>
        <v>124.3255460676</v>
      </c>
      <c r="L395" s="64" t="str">
        <f t="shared" si="220"/>
        <v>JL. RAYA POYOWA BESAR</v>
      </c>
      <c r="M395" s="64" t="str">
        <f t="shared" si="220"/>
        <v>SULAWESI UTARA</v>
      </c>
      <c r="N395" s="65" t="s">
        <v>105</v>
      </c>
      <c r="O395" s="66" t="s">
        <v>118</v>
      </c>
      <c r="P395" s="65" t="s">
        <v>119</v>
      </c>
      <c r="Q395" s="66">
        <v>95717</v>
      </c>
      <c r="R395" s="98"/>
      <c r="S395" s="99"/>
      <c r="T395" s="100"/>
      <c r="U395" s="99"/>
      <c r="V395" s="100"/>
      <c r="W395" s="97" t="s">
        <v>105</v>
      </c>
      <c r="X395" s="101"/>
      <c r="Y395" s="64" t="s">
        <v>106</v>
      </c>
      <c r="Z395" s="64" t="str">
        <f t="shared" si="218"/>
        <v>KELURAHAN POYOWA BESAR SATU KOTAMOBAGU</v>
      </c>
      <c r="AA395" s="102"/>
      <c r="AB395" s="102"/>
      <c r="AC395" s="102" t="s">
        <v>70</v>
      </c>
      <c r="AD395" s="64" t="str">
        <f t="shared" si="211"/>
        <v>POYOWA BESAR</v>
      </c>
      <c r="AE395" s="103"/>
      <c r="AF395" s="103"/>
      <c r="AG395" s="103"/>
      <c r="AH395" s="103"/>
      <c r="AI395" s="104"/>
      <c r="AJ395" s="11" t="s">
        <v>950</v>
      </c>
      <c r="AK395" s="102" t="s">
        <v>96</v>
      </c>
      <c r="AL395" s="106"/>
      <c r="AM395" s="192"/>
      <c r="AN395" s="192"/>
      <c r="AO395" s="192"/>
      <c r="AP395" s="192"/>
      <c r="AQ395" s="180" t="s">
        <v>97</v>
      </c>
      <c r="AR395" s="70" t="str">
        <f t="shared" si="216"/>
        <v>KTG.100.0101</v>
      </c>
      <c r="AS395" s="71" t="str">
        <f t="shared" si="212"/>
        <v>KPBS-2.020</v>
      </c>
      <c r="AT395" s="71" t="str">
        <f t="shared" si="213"/>
        <v>C05</v>
      </c>
      <c r="AU395" s="105"/>
      <c r="AV395" s="202">
        <v>0.70701397590000004</v>
      </c>
      <c r="AW395" s="202">
        <v>124.3255299967</v>
      </c>
      <c r="AX395" s="106" t="s">
        <v>98</v>
      </c>
      <c r="AY395" s="106" t="s">
        <v>94</v>
      </c>
      <c r="AZ395" s="106" t="s">
        <v>94</v>
      </c>
      <c r="BA395" s="73" t="s">
        <v>77</v>
      </c>
      <c r="BB395" s="106" t="s">
        <v>98</v>
      </c>
      <c r="BC395" s="106">
        <v>31</v>
      </c>
      <c r="BD395" s="106" t="s">
        <v>98</v>
      </c>
      <c r="BE395" s="211" t="str">
        <f t="shared" si="184"/>
        <v>747, POYOWA BESAR,</v>
      </c>
    </row>
    <row r="396" spans="1:57" s="211" customFormat="1" ht="15.75" customHeight="1">
      <c r="A396" s="218"/>
      <c r="B396" s="219"/>
      <c r="C396" s="219"/>
      <c r="D396" s="219"/>
      <c r="E396" s="219"/>
      <c r="F396" s="219"/>
      <c r="G396" s="220"/>
      <c r="H396" s="12">
        <v>8</v>
      </c>
      <c r="I396" s="64" t="str">
        <f t="shared" ref="I396:L396" si="221">I392</f>
        <v>MR.KPBS.P115</v>
      </c>
      <c r="J396" s="64">
        <f t="shared" si="221"/>
        <v>0.70718420069999999</v>
      </c>
      <c r="K396" s="64">
        <f t="shared" si="221"/>
        <v>124.3255460676</v>
      </c>
      <c r="L396" s="64" t="str">
        <f t="shared" si="221"/>
        <v>JL. RAYA POYOWA BESAR</v>
      </c>
      <c r="M396" s="64" t="str">
        <f t="shared" ref="M396" si="222">M395</f>
        <v>SULAWESI UTARA</v>
      </c>
      <c r="N396" s="65" t="s">
        <v>105</v>
      </c>
      <c r="O396" s="66" t="s">
        <v>118</v>
      </c>
      <c r="P396" s="65" t="s">
        <v>119</v>
      </c>
      <c r="Q396" s="66">
        <v>95717</v>
      </c>
      <c r="R396" s="98"/>
      <c r="S396" s="99"/>
      <c r="T396" s="100"/>
      <c r="U396" s="99"/>
      <c r="V396" s="100"/>
      <c r="W396" s="97" t="s">
        <v>105</v>
      </c>
      <c r="X396" s="101"/>
      <c r="Y396" s="64" t="s">
        <v>106</v>
      </c>
      <c r="Z396" s="64" t="str">
        <f t="shared" si="218"/>
        <v>KELURAHAN POYOWA BESAR SATU KOTAMOBAGU</v>
      </c>
      <c r="AA396" s="102"/>
      <c r="AB396" s="102"/>
      <c r="AC396" s="102" t="s">
        <v>70</v>
      </c>
      <c r="AD396" s="64" t="str">
        <f t="shared" ref="AD396" si="223">AD392</f>
        <v>POYOWA BESAR</v>
      </c>
      <c r="AE396" s="103"/>
      <c r="AF396" s="103"/>
      <c r="AG396" s="103"/>
      <c r="AH396" s="103"/>
      <c r="AI396" s="104"/>
      <c r="AJ396" s="11" t="s">
        <v>951</v>
      </c>
      <c r="AK396" s="102" t="s">
        <v>96</v>
      </c>
      <c r="AL396" s="106"/>
      <c r="AM396" s="192"/>
      <c r="AN396" s="192"/>
      <c r="AO396" s="192"/>
      <c r="AP396" s="192"/>
      <c r="AQ396" s="180" t="s">
        <v>97</v>
      </c>
      <c r="AR396" s="70" t="str">
        <f t="shared" si="216"/>
        <v>KTG.100.0101</v>
      </c>
      <c r="AS396" s="71" t="str">
        <f t="shared" ref="AS396:AT396" si="224">AS392</f>
        <v>KPBS-2.020</v>
      </c>
      <c r="AT396" s="71" t="str">
        <f t="shared" si="224"/>
        <v>C05</v>
      </c>
      <c r="AU396" s="105"/>
      <c r="AV396" s="202">
        <v>0.70694582565166697</v>
      </c>
      <c r="AW396" s="202">
        <v>124.32566515942101</v>
      </c>
      <c r="AX396" s="106" t="s">
        <v>98</v>
      </c>
      <c r="AY396" s="106" t="s">
        <v>94</v>
      </c>
      <c r="AZ396" s="106" t="s">
        <v>94</v>
      </c>
      <c r="BA396" s="73" t="s">
        <v>77</v>
      </c>
      <c r="BB396" s="106" t="s">
        <v>98</v>
      </c>
      <c r="BC396" s="106">
        <v>31</v>
      </c>
      <c r="BD396" s="106" t="s">
        <v>98</v>
      </c>
      <c r="BE396" s="211" t="str">
        <f t="shared" si="184"/>
        <v>747A, POYOWA BESAR,</v>
      </c>
    </row>
    <row r="397" spans="1:57" s="211" customFormat="1" ht="15.75" customHeight="1">
      <c r="A397" s="218"/>
      <c r="B397" s="219"/>
      <c r="C397" s="219"/>
      <c r="D397" s="219"/>
      <c r="E397" s="219"/>
      <c r="F397" s="219"/>
      <c r="G397" s="220"/>
      <c r="H397" s="12">
        <v>9</v>
      </c>
      <c r="I397" s="64" t="str">
        <f t="shared" ref="I397:M397" si="225">I396</f>
        <v>MR.KPBS.P115</v>
      </c>
      <c r="J397" s="64">
        <f t="shared" si="225"/>
        <v>0.70718420069999999</v>
      </c>
      <c r="K397" s="64">
        <f t="shared" si="225"/>
        <v>124.3255460676</v>
      </c>
      <c r="L397" s="64" t="str">
        <f t="shared" si="225"/>
        <v>JL. RAYA POYOWA BESAR</v>
      </c>
      <c r="M397" s="64" t="str">
        <f t="shared" si="225"/>
        <v>SULAWESI UTARA</v>
      </c>
      <c r="N397" s="65" t="s">
        <v>105</v>
      </c>
      <c r="O397" s="66" t="s">
        <v>118</v>
      </c>
      <c r="P397" s="65" t="s">
        <v>119</v>
      </c>
      <c r="Q397" s="66">
        <v>95717</v>
      </c>
      <c r="R397" s="98"/>
      <c r="S397" s="99"/>
      <c r="T397" s="100"/>
      <c r="U397" s="99"/>
      <c r="V397" s="100"/>
      <c r="W397" s="97" t="s">
        <v>105</v>
      </c>
      <c r="X397" s="101"/>
      <c r="Y397" s="64" t="s">
        <v>106</v>
      </c>
      <c r="Z397" s="64" t="str">
        <f t="shared" si="218"/>
        <v>KELURAHAN POYOWA BESAR SATU KOTAMOBAGU</v>
      </c>
      <c r="AA397" s="102"/>
      <c r="AB397" s="102"/>
      <c r="AC397" s="102" t="s">
        <v>70</v>
      </c>
      <c r="AD397" s="64" t="str">
        <f t="shared" ref="AD397:AD404" si="226">AD396</f>
        <v>POYOWA BESAR</v>
      </c>
      <c r="AE397" s="103"/>
      <c r="AF397" s="103"/>
      <c r="AG397" s="103"/>
      <c r="AH397" s="103"/>
      <c r="AI397" s="104"/>
      <c r="AJ397" s="11" t="s">
        <v>952</v>
      </c>
      <c r="AK397" s="102" t="s">
        <v>96</v>
      </c>
      <c r="AL397" s="106"/>
      <c r="AM397" s="192"/>
      <c r="AN397" s="192"/>
      <c r="AO397" s="192"/>
      <c r="AP397" s="192"/>
      <c r="AQ397" s="180" t="s">
        <v>97</v>
      </c>
      <c r="AR397" s="70" t="str">
        <f t="shared" si="216"/>
        <v>KTG.100.0101</v>
      </c>
      <c r="AS397" s="71" t="str">
        <f t="shared" ref="AS397:AS404" si="227">AS396</f>
        <v>KPBS-2.020</v>
      </c>
      <c r="AT397" s="71" t="str">
        <f t="shared" ref="AT397:AT404" si="228">AT396</f>
        <v>C05</v>
      </c>
      <c r="AU397" s="105"/>
      <c r="AV397" s="202">
        <v>0.70697590999999904</v>
      </c>
      <c r="AW397" s="202">
        <v>124.3254315403</v>
      </c>
      <c r="AX397" s="106" t="s">
        <v>98</v>
      </c>
      <c r="AY397" s="106" t="s">
        <v>94</v>
      </c>
      <c r="AZ397" s="106" t="s">
        <v>94</v>
      </c>
      <c r="BA397" s="73" t="s">
        <v>77</v>
      </c>
      <c r="BB397" s="106" t="s">
        <v>98</v>
      </c>
      <c r="BC397" s="106">
        <v>31</v>
      </c>
      <c r="BD397" s="106" t="s">
        <v>98</v>
      </c>
      <c r="BE397" s="211" t="str">
        <f t="shared" si="184"/>
        <v>746, POYOWA BESAR,</v>
      </c>
    </row>
    <row r="398" spans="1:57" s="211" customFormat="1" ht="15.75" customHeight="1">
      <c r="A398" s="218"/>
      <c r="B398" s="219"/>
      <c r="C398" s="219"/>
      <c r="D398" s="219"/>
      <c r="E398" s="219"/>
      <c r="F398" s="219"/>
      <c r="G398" s="220"/>
      <c r="H398" s="12">
        <v>10</v>
      </c>
      <c r="I398" s="64" t="str">
        <f t="shared" ref="I398:M398" si="229">I397</f>
        <v>MR.KPBS.P115</v>
      </c>
      <c r="J398" s="64">
        <f t="shared" si="229"/>
        <v>0.70718420069999999</v>
      </c>
      <c r="K398" s="64">
        <f t="shared" si="229"/>
        <v>124.3255460676</v>
      </c>
      <c r="L398" s="64" t="str">
        <f t="shared" si="229"/>
        <v>JL. RAYA POYOWA BESAR</v>
      </c>
      <c r="M398" s="64" t="str">
        <f t="shared" si="229"/>
        <v>SULAWESI UTARA</v>
      </c>
      <c r="N398" s="65" t="s">
        <v>105</v>
      </c>
      <c r="O398" s="66" t="s">
        <v>118</v>
      </c>
      <c r="P398" s="65" t="s">
        <v>119</v>
      </c>
      <c r="Q398" s="66">
        <v>95717</v>
      </c>
      <c r="R398" s="98"/>
      <c r="S398" s="99"/>
      <c r="T398" s="100"/>
      <c r="U398" s="99"/>
      <c r="V398" s="100"/>
      <c r="W398" s="97" t="s">
        <v>105</v>
      </c>
      <c r="X398" s="101"/>
      <c r="Y398" s="64" t="s">
        <v>106</v>
      </c>
      <c r="Z398" s="64" t="str">
        <f t="shared" si="218"/>
        <v>KELURAHAN POYOWA BESAR SATU KOTAMOBAGU</v>
      </c>
      <c r="AA398" s="102"/>
      <c r="AB398" s="102"/>
      <c r="AC398" s="102" t="s">
        <v>70</v>
      </c>
      <c r="AD398" s="64" t="str">
        <f t="shared" si="226"/>
        <v>POYOWA BESAR</v>
      </c>
      <c r="AE398" s="103"/>
      <c r="AF398" s="103"/>
      <c r="AG398" s="103"/>
      <c r="AH398" s="103"/>
      <c r="AI398" s="104"/>
      <c r="AJ398" s="11" t="s">
        <v>953</v>
      </c>
      <c r="AK398" s="102" t="s">
        <v>96</v>
      </c>
      <c r="AL398" s="106"/>
      <c r="AM398" s="192"/>
      <c r="AN398" s="192"/>
      <c r="AO398" s="192"/>
      <c r="AP398" s="192"/>
      <c r="AQ398" s="180" t="s">
        <v>97</v>
      </c>
      <c r="AR398" s="70" t="str">
        <f t="shared" si="216"/>
        <v>KTG.100.0101</v>
      </c>
      <c r="AS398" s="71" t="str">
        <f t="shared" si="227"/>
        <v>KPBS-2.020</v>
      </c>
      <c r="AT398" s="71" t="str">
        <f t="shared" si="228"/>
        <v>C05</v>
      </c>
      <c r="AU398" s="105"/>
      <c r="AV398" s="202">
        <v>0.70701852979999902</v>
      </c>
      <c r="AW398" s="202">
        <v>124.3253436868</v>
      </c>
      <c r="AX398" s="106" t="s">
        <v>98</v>
      </c>
      <c r="AY398" s="106" t="s">
        <v>94</v>
      </c>
      <c r="AZ398" s="106" t="s">
        <v>94</v>
      </c>
      <c r="BA398" s="73" t="s">
        <v>77</v>
      </c>
      <c r="BB398" s="106" t="s">
        <v>98</v>
      </c>
      <c r="BC398" s="106">
        <v>31</v>
      </c>
      <c r="BD398" s="106" t="s">
        <v>98</v>
      </c>
      <c r="BE398" s="211" t="str">
        <f t="shared" si="184"/>
        <v>744, POYOWA BESAR,</v>
      </c>
    </row>
    <row r="399" spans="1:57" s="211" customFormat="1" ht="15.75" customHeight="1">
      <c r="A399" s="218"/>
      <c r="B399" s="219"/>
      <c r="C399" s="219"/>
      <c r="D399" s="219"/>
      <c r="E399" s="219"/>
      <c r="F399" s="219"/>
      <c r="G399" s="220"/>
      <c r="H399" s="12">
        <v>11</v>
      </c>
      <c r="I399" s="64" t="str">
        <f t="shared" ref="I399:M399" si="230">I398</f>
        <v>MR.KPBS.P115</v>
      </c>
      <c r="J399" s="64">
        <f t="shared" si="230"/>
        <v>0.70718420069999999</v>
      </c>
      <c r="K399" s="64">
        <f t="shared" si="230"/>
        <v>124.3255460676</v>
      </c>
      <c r="L399" s="64" t="str">
        <f t="shared" si="230"/>
        <v>JL. RAYA POYOWA BESAR</v>
      </c>
      <c r="M399" s="64" t="str">
        <f t="shared" si="230"/>
        <v>SULAWESI UTARA</v>
      </c>
      <c r="N399" s="65" t="s">
        <v>105</v>
      </c>
      <c r="O399" s="66" t="s">
        <v>118</v>
      </c>
      <c r="P399" s="65" t="s">
        <v>119</v>
      </c>
      <c r="Q399" s="66">
        <v>95717</v>
      </c>
      <c r="R399" s="98"/>
      <c r="S399" s="99"/>
      <c r="T399" s="100"/>
      <c r="U399" s="99"/>
      <c r="V399" s="100"/>
      <c r="W399" s="97" t="s">
        <v>105</v>
      </c>
      <c r="X399" s="101"/>
      <c r="Y399" s="64" t="s">
        <v>106</v>
      </c>
      <c r="Z399" s="64" t="str">
        <f t="shared" si="218"/>
        <v>KELURAHAN POYOWA BESAR SATU KOTAMOBAGU</v>
      </c>
      <c r="AA399" s="102"/>
      <c r="AB399" s="102"/>
      <c r="AC399" s="102" t="s">
        <v>70</v>
      </c>
      <c r="AD399" s="64" t="str">
        <f t="shared" si="226"/>
        <v>POYOWA BESAR</v>
      </c>
      <c r="AE399" s="103"/>
      <c r="AF399" s="103"/>
      <c r="AG399" s="103"/>
      <c r="AH399" s="103"/>
      <c r="AI399" s="104"/>
      <c r="AJ399" s="11" t="s">
        <v>954</v>
      </c>
      <c r="AK399" s="102" t="s">
        <v>96</v>
      </c>
      <c r="AL399" s="106"/>
      <c r="AM399" s="192"/>
      <c r="AN399" s="192"/>
      <c r="AO399" s="192"/>
      <c r="AP399" s="192"/>
      <c r="AQ399" s="193" t="s">
        <v>97</v>
      </c>
      <c r="AR399" s="70" t="str">
        <f t="shared" si="216"/>
        <v>KTG.100.0101</v>
      </c>
      <c r="AS399" s="71" t="str">
        <f t="shared" si="227"/>
        <v>KPBS-2.020</v>
      </c>
      <c r="AT399" s="71" t="str">
        <f t="shared" si="228"/>
        <v>C05</v>
      </c>
      <c r="AU399" s="105"/>
      <c r="AV399" s="202">
        <v>0.7069167032</v>
      </c>
      <c r="AW399" s="202">
        <v>124.3252618922</v>
      </c>
      <c r="AX399" s="106" t="s">
        <v>98</v>
      </c>
      <c r="AY399" s="106" t="s">
        <v>94</v>
      </c>
      <c r="AZ399" s="106" t="s">
        <v>94</v>
      </c>
      <c r="BA399" s="73" t="s">
        <v>77</v>
      </c>
      <c r="BB399" s="106" t="s">
        <v>98</v>
      </c>
      <c r="BC399" s="106">
        <v>31</v>
      </c>
      <c r="BD399" s="106" t="s">
        <v>98</v>
      </c>
      <c r="BE399" s="211" t="str">
        <f t="shared" si="184"/>
        <v>743, POYOWA BESAR,</v>
      </c>
    </row>
    <row r="400" spans="1:57" s="211" customFormat="1" ht="15.75" customHeight="1">
      <c r="A400" s="218"/>
      <c r="B400" s="219"/>
      <c r="C400" s="219"/>
      <c r="D400" s="219"/>
      <c r="E400" s="219"/>
      <c r="F400" s="219"/>
      <c r="G400" s="220"/>
      <c r="H400" s="12">
        <v>12</v>
      </c>
      <c r="I400" s="64" t="str">
        <f t="shared" ref="I400:M400" si="231">I399</f>
        <v>MR.KPBS.P115</v>
      </c>
      <c r="J400" s="64">
        <f t="shared" si="231"/>
        <v>0.70718420069999999</v>
      </c>
      <c r="K400" s="64">
        <f t="shared" si="231"/>
        <v>124.3255460676</v>
      </c>
      <c r="L400" s="64" t="str">
        <f t="shared" si="231"/>
        <v>JL. RAYA POYOWA BESAR</v>
      </c>
      <c r="M400" s="64" t="str">
        <f t="shared" si="231"/>
        <v>SULAWESI UTARA</v>
      </c>
      <c r="N400" s="65" t="s">
        <v>105</v>
      </c>
      <c r="O400" s="66" t="s">
        <v>118</v>
      </c>
      <c r="P400" s="65" t="s">
        <v>119</v>
      </c>
      <c r="Q400" s="66">
        <v>95717</v>
      </c>
      <c r="R400" s="98"/>
      <c r="S400" s="99"/>
      <c r="T400" s="100"/>
      <c r="U400" s="99"/>
      <c r="V400" s="100"/>
      <c r="W400" s="97" t="s">
        <v>105</v>
      </c>
      <c r="X400" s="101"/>
      <c r="Y400" s="64" t="s">
        <v>106</v>
      </c>
      <c r="Z400" s="64" t="str">
        <f t="shared" si="218"/>
        <v>KELURAHAN POYOWA BESAR SATU KOTAMOBAGU</v>
      </c>
      <c r="AA400" s="102"/>
      <c r="AB400" s="102"/>
      <c r="AC400" s="102" t="s">
        <v>70</v>
      </c>
      <c r="AD400" s="64" t="str">
        <f t="shared" si="226"/>
        <v>POYOWA BESAR</v>
      </c>
      <c r="AE400" s="103"/>
      <c r="AF400" s="103"/>
      <c r="AG400" s="103"/>
      <c r="AH400" s="103"/>
      <c r="AI400" s="104"/>
      <c r="AJ400" s="11" t="s">
        <v>955</v>
      </c>
      <c r="AK400" s="102" t="s">
        <v>96</v>
      </c>
      <c r="AL400" s="106"/>
      <c r="AM400" s="106"/>
      <c r="AN400" s="106"/>
      <c r="AO400" s="106"/>
      <c r="AP400" s="106"/>
      <c r="AQ400" s="180" t="s">
        <v>97</v>
      </c>
      <c r="AR400" s="70" t="str">
        <f t="shared" si="216"/>
        <v>KTG.100.0101</v>
      </c>
      <c r="AS400" s="71" t="str">
        <f t="shared" si="227"/>
        <v>KPBS-2.020</v>
      </c>
      <c r="AT400" s="71" t="str">
        <f t="shared" si="228"/>
        <v>C05</v>
      </c>
      <c r="AU400" s="105"/>
      <c r="AV400" s="202">
        <v>0.70740402189999996</v>
      </c>
      <c r="AW400" s="202">
        <v>124.3255967428</v>
      </c>
      <c r="AX400" s="106" t="s">
        <v>98</v>
      </c>
      <c r="AY400" s="106" t="s">
        <v>94</v>
      </c>
      <c r="AZ400" s="106" t="s">
        <v>94</v>
      </c>
      <c r="BA400" s="73" t="s">
        <v>77</v>
      </c>
      <c r="BB400" s="106" t="s">
        <v>98</v>
      </c>
      <c r="BC400" s="106">
        <v>31</v>
      </c>
      <c r="BD400" s="106" t="s">
        <v>98</v>
      </c>
      <c r="BE400" s="211" t="str">
        <f t="shared" si="184"/>
        <v>750, POYOWA BESAR,</v>
      </c>
    </row>
    <row r="401" spans="1:57" s="211" customFormat="1" ht="15.75" customHeight="1">
      <c r="A401" s="218"/>
      <c r="B401" s="219"/>
      <c r="C401" s="219"/>
      <c r="D401" s="219"/>
      <c r="E401" s="219"/>
      <c r="F401" s="219"/>
      <c r="G401" s="220"/>
      <c r="H401" s="12">
        <v>13</v>
      </c>
      <c r="I401" s="64" t="str">
        <f t="shared" ref="I401:M401" si="232">I400</f>
        <v>MR.KPBS.P115</v>
      </c>
      <c r="J401" s="64">
        <f t="shared" si="232"/>
        <v>0.70718420069999999</v>
      </c>
      <c r="K401" s="64">
        <f t="shared" si="232"/>
        <v>124.3255460676</v>
      </c>
      <c r="L401" s="64" t="str">
        <f t="shared" si="232"/>
        <v>JL. RAYA POYOWA BESAR</v>
      </c>
      <c r="M401" s="64" t="str">
        <f t="shared" si="232"/>
        <v>SULAWESI UTARA</v>
      </c>
      <c r="N401" s="65" t="s">
        <v>105</v>
      </c>
      <c r="O401" s="66" t="s">
        <v>118</v>
      </c>
      <c r="P401" s="65" t="s">
        <v>119</v>
      </c>
      <c r="Q401" s="66">
        <v>95717</v>
      </c>
      <c r="R401" s="98"/>
      <c r="S401" s="99"/>
      <c r="T401" s="100"/>
      <c r="U401" s="99"/>
      <c r="V401" s="100"/>
      <c r="W401" s="97" t="s">
        <v>105</v>
      </c>
      <c r="X401" s="101"/>
      <c r="Y401" s="64" t="s">
        <v>106</v>
      </c>
      <c r="Z401" s="64" t="str">
        <f t="shared" si="218"/>
        <v>KELURAHAN POYOWA BESAR SATU KOTAMOBAGU</v>
      </c>
      <c r="AA401" s="102"/>
      <c r="AB401" s="102"/>
      <c r="AC401" s="102" t="s">
        <v>70</v>
      </c>
      <c r="AD401" s="64" t="str">
        <f t="shared" si="226"/>
        <v>POYOWA BESAR</v>
      </c>
      <c r="AE401" s="103"/>
      <c r="AF401" s="103"/>
      <c r="AG401" s="103"/>
      <c r="AH401" s="103"/>
      <c r="AI401" s="104"/>
      <c r="AJ401" s="11" t="s">
        <v>956</v>
      </c>
      <c r="AK401" s="102" t="s">
        <v>96</v>
      </c>
      <c r="AL401" s="106"/>
      <c r="AM401" s="106"/>
      <c r="AN401" s="106"/>
      <c r="AO401" s="106"/>
      <c r="AP401" s="106"/>
      <c r="AQ401" s="180" t="s">
        <v>97</v>
      </c>
      <c r="AR401" s="70" t="str">
        <f t="shared" si="216"/>
        <v>KTG.100.0101</v>
      </c>
      <c r="AS401" s="71" t="str">
        <f t="shared" si="227"/>
        <v>KPBS-2.020</v>
      </c>
      <c r="AT401" s="71" t="str">
        <f t="shared" si="228"/>
        <v>C05</v>
      </c>
      <c r="AU401" s="105"/>
      <c r="AV401" s="202">
        <v>0.7074662585</v>
      </c>
      <c r="AW401" s="202">
        <v>124.3255725073</v>
      </c>
      <c r="AX401" s="106" t="s">
        <v>98</v>
      </c>
      <c r="AY401" s="106" t="s">
        <v>94</v>
      </c>
      <c r="AZ401" s="106" t="s">
        <v>94</v>
      </c>
      <c r="BA401" s="73" t="s">
        <v>77</v>
      </c>
      <c r="BB401" s="106" t="s">
        <v>98</v>
      </c>
      <c r="BC401" s="106">
        <v>31</v>
      </c>
      <c r="BD401" s="106" t="s">
        <v>98</v>
      </c>
      <c r="BE401" s="211" t="str">
        <f t="shared" si="184"/>
        <v>749, POYOWA BESAR,</v>
      </c>
    </row>
    <row r="402" spans="1:57" s="211" customFormat="1" ht="15.75" customHeight="1">
      <c r="A402" s="218"/>
      <c r="B402" s="219"/>
      <c r="C402" s="219"/>
      <c r="D402" s="219"/>
      <c r="E402" s="219"/>
      <c r="F402" s="219"/>
      <c r="G402" s="220"/>
      <c r="H402" s="12">
        <v>14</v>
      </c>
      <c r="I402" s="64" t="str">
        <f t="shared" ref="I402:M402" si="233">I401</f>
        <v>MR.KPBS.P115</v>
      </c>
      <c r="J402" s="64">
        <f t="shared" si="233"/>
        <v>0.70718420069999999</v>
      </c>
      <c r="K402" s="64">
        <f t="shared" si="233"/>
        <v>124.3255460676</v>
      </c>
      <c r="L402" s="64" t="str">
        <f t="shared" si="233"/>
        <v>JL. RAYA POYOWA BESAR</v>
      </c>
      <c r="M402" s="64" t="str">
        <f t="shared" si="233"/>
        <v>SULAWESI UTARA</v>
      </c>
      <c r="N402" s="65" t="s">
        <v>105</v>
      </c>
      <c r="O402" s="66" t="s">
        <v>118</v>
      </c>
      <c r="P402" s="65" t="s">
        <v>119</v>
      </c>
      <c r="Q402" s="66">
        <v>95717</v>
      </c>
      <c r="R402" s="98"/>
      <c r="S402" s="99"/>
      <c r="T402" s="100"/>
      <c r="U402" s="99"/>
      <c r="V402" s="100"/>
      <c r="W402" s="97" t="s">
        <v>105</v>
      </c>
      <c r="X402" s="101"/>
      <c r="Y402" s="64" t="s">
        <v>106</v>
      </c>
      <c r="Z402" s="64" t="str">
        <f t="shared" si="218"/>
        <v>KELURAHAN POYOWA BESAR SATU KOTAMOBAGU</v>
      </c>
      <c r="AA402" s="102"/>
      <c r="AB402" s="102"/>
      <c r="AC402" s="102" t="s">
        <v>70</v>
      </c>
      <c r="AD402" s="64" t="str">
        <f t="shared" si="226"/>
        <v>POYOWA BESAR</v>
      </c>
      <c r="AE402" s="103"/>
      <c r="AF402" s="103"/>
      <c r="AG402" s="103"/>
      <c r="AH402" s="103"/>
      <c r="AI402" s="104"/>
      <c r="AJ402" s="11" t="s">
        <v>957</v>
      </c>
      <c r="AK402" s="102" t="s">
        <v>96</v>
      </c>
      <c r="AL402" s="106"/>
      <c r="AM402" s="106"/>
      <c r="AN402" s="106"/>
      <c r="AO402" s="106"/>
      <c r="AP402" s="106"/>
      <c r="AQ402" s="180" t="s">
        <v>97</v>
      </c>
      <c r="AR402" s="70" t="str">
        <f t="shared" si="216"/>
        <v>KTG.100.0101</v>
      </c>
      <c r="AS402" s="71" t="str">
        <f t="shared" si="227"/>
        <v>KPBS-2.020</v>
      </c>
      <c r="AT402" s="71" t="str">
        <f t="shared" si="228"/>
        <v>C05</v>
      </c>
      <c r="AU402" s="105"/>
      <c r="AV402" s="202">
        <v>0.70741464769999995</v>
      </c>
      <c r="AW402" s="202">
        <v>124.3254725363</v>
      </c>
      <c r="AX402" s="106" t="s">
        <v>98</v>
      </c>
      <c r="AY402" s="106" t="s">
        <v>94</v>
      </c>
      <c r="AZ402" s="106" t="s">
        <v>94</v>
      </c>
      <c r="BA402" s="73" t="s">
        <v>77</v>
      </c>
      <c r="BB402" s="106" t="s">
        <v>98</v>
      </c>
      <c r="BC402" s="106">
        <v>31</v>
      </c>
      <c r="BD402" s="106" t="s">
        <v>98</v>
      </c>
      <c r="BE402" s="211" t="str">
        <f t="shared" si="184"/>
        <v>748, POYOWA BESAR,</v>
      </c>
    </row>
    <row r="403" spans="1:57" s="211" customFormat="1" ht="15.75" customHeight="1">
      <c r="A403" s="218"/>
      <c r="B403" s="219"/>
      <c r="C403" s="219"/>
      <c r="D403" s="219"/>
      <c r="E403" s="219"/>
      <c r="F403" s="219"/>
      <c r="G403" s="220"/>
      <c r="H403" s="12">
        <v>15</v>
      </c>
      <c r="I403" s="64" t="str">
        <f t="shared" ref="I403:M403" si="234">I402</f>
        <v>MR.KPBS.P115</v>
      </c>
      <c r="J403" s="64">
        <f t="shared" si="234"/>
        <v>0.70718420069999999</v>
      </c>
      <c r="K403" s="64">
        <f t="shared" si="234"/>
        <v>124.3255460676</v>
      </c>
      <c r="L403" s="64" t="str">
        <f t="shared" si="234"/>
        <v>JL. RAYA POYOWA BESAR</v>
      </c>
      <c r="M403" s="64" t="str">
        <f t="shared" si="234"/>
        <v>SULAWESI UTARA</v>
      </c>
      <c r="N403" s="65" t="s">
        <v>105</v>
      </c>
      <c r="O403" s="66" t="s">
        <v>118</v>
      </c>
      <c r="P403" s="65" t="s">
        <v>119</v>
      </c>
      <c r="Q403" s="66">
        <v>95717</v>
      </c>
      <c r="R403" s="98"/>
      <c r="S403" s="99"/>
      <c r="T403" s="100"/>
      <c r="U403" s="99"/>
      <c r="V403" s="100"/>
      <c r="W403" s="97" t="s">
        <v>105</v>
      </c>
      <c r="X403" s="101"/>
      <c r="Y403" s="64" t="s">
        <v>106</v>
      </c>
      <c r="Z403" s="64" t="str">
        <f t="shared" si="218"/>
        <v>KELURAHAN POYOWA BESAR SATU KOTAMOBAGU</v>
      </c>
      <c r="AA403" s="102"/>
      <c r="AB403" s="102"/>
      <c r="AC403" s="102" t="s">
        <v>70</v>
      </c>
      <c r="AD403" s="64" t="str">
        <f t="shared" si="226"/>
        <v>POYOWA BESAR</v>
      </c>
      <c r="AE403" s="103"/>
      <c r="AF403" s="103"/>
      <c r="AG403" s="103"/>
      <c r="AH403" s="103"/>
      <c r="AI403" s="104"/>
      <c r="AJ403" s="11" t="s">
        <v>958</v>
      </c>
      <c r="AK403" s="102" t="s">
        <v>96</v>
      </c>
      <c r="AL403" s="106"/>
      <c r="AM403" s="106"/>
      <c r="AN403" s="106"/>
      <c r="AO403" s="106"/>
      <c r="AP403" s="106"/>
      <c r="AQ403" s="180" t="s">
        <v>97</v>
      </c>
      <c r="AR403" s="70" t="str">
        <f t="shared" si="216"/>
        <v>KTG.100.0101</v>
      </c>
      <c r="AS403" s="71" t="str">
        <f t="shared" si="227"/>
        <v>KPBS-2.020</v>
      </c>
      <c r="AT403" s="71" t="str">
        <f t="shared" si="228"/>
        <v>C05</v>
      </c>
      <c r="AU403" s="105"/>
      <c r="AV403" s="202">
        <v>0.70730527160000001</v>
      </c>
      <c r="AW403" s="202">
        <v>124.3254073049</v>
      </c>
      <c r="AX403" s="106" t="s">
        <v>98</v>
      </c>
      <c r="AY403" s="106" t="s">
        <v>94</v>
      </c>
      <c r="AZ403" s="106" t="s">
        <v>94</v>
      </c>
      <c r="BA403" s="73" t="s">
        <v>77</v>
      </c>
      <c r="BB403" s="106" t="s">
        <v>98</v>
      </c>
      <c r="BC403" s="106">
        <v>31</v>
      </c>
      <c r="BD403" s="106" t="s">
        <v>98</v>
      </c>
      <c r="BE403" s="211" t="str">
        <f t="shared" si="184"/>
        <v>745, POYOWA BESAR,</v>
      </c>
    </row>
    <row r="404" spans="1:57" s="211" customFormat="1" ht="15.75" customHeight="1">
      <c r="A404" s="218"/>
      <c r="B404" s="219"/>
      <c r="C404" s="219"/>
      <c r="D404" s="219"/>
      <c r="E404" s="219"/>
      <c r="F404" s="219"/>
      <c r="G404" s="220"/>
      <c r="H404" s="12">
        <v>16</v>
      </c>
      <c r="I404" s="64" t="str">
        <f t="shared" ref="I404:M404" si="235">I403</f>
        <v>MR.KPBS.P115</v>
      </c>
      <c r="J404" s="64">
        <f t="shared" si="235"/>
        <v>0.70718420069999999</v>
      </c>
      <c r="K404" s="64">
        <f t="shared" si="235"/>
        <v>124.3255460676</v>
      </c>
      <c r="L404" s="64" t="str">
        <f t="shared" si="235"/>
        <v>JL. RAYA POYOWA BESAR</v>
      </c>
      <c r="M404" s="64" t="str">
        <f t="shared" si="235"/>
        <v>SULAWESI UTARA</v>
      </c>
      <c r="N404" s="65" t="s">
        <v>105</v>
      </c>
      <c r="O404" s="66" t="s">
        <v>118</v>
      </c>
      <c r="P404" s="65" t="s">
        <v>119</v>
      </c>
      <c r="Q404" s="66">
        <v>95717</v>
      </c>
      <c r="R404" s="98"/>
      <c r="S404" s="99"/>
      <c r="T404" s="100"/>
      <c r="U404" s="99"/>
      <c r="V404" s="100"/>
      <c r="W404" s="97" t="s">
        <v>105</v>
      </c>
      <c r="X404" s="101"/>
      <c r="Y404" s="64" t="s">
        <v>106</v>
      </c>
      <c r="Z404" s="64" t="str">
        <f t="shared" si="218"/>
        <v>KELURAHAN POYOWA BESAR SATU KOTAMOBAGU</v>
      </c>
      <c r="AA404" s="102"/>
      <c r="AB404" s="102"/>
      <c r="AC404" s="102" t="s">
        <v>70</v>
      </c>
      <c r="AD404" s="64" t="str">
        <f t="shared" si="226"/>
        <v>POYOWA BESAR</v>
      </c>
      <c r="AE404" s="103"/>
      <c r="AF404" s="103"/>
      <c r="AG404" s="103"/>
      <c r="AH404" s="103"/>
      <c r="AI404" s="104"/>
      <c r="AJ404" s="11" t="s">
        <v>959</v>
      </c>
      <c r="AK404" s="102" t="s">
        <v>96</v>
      </c>
      <c r="AL404" s="106"/>
      <c r="AM404" s="106"/>
      <c r="AN404" s="106"/>
      <c r="AO404" s="106"/>
      <c r="AP404" s="106"/>
      <c r="AQ404" s="180" t="s">
        <v>97</v>
      </c>
      <c r="AR404" s="70" t="str">
        <f t="shared" si="216"/>
        <v>KTG.100.0101</v>
      </c>
      <c r="AS404" s="71" t="str">
        <f t="shared" si="227"/>
        <v>KPBS-2.020</v>
      </c>
      <c r="AT404" s="71" t="str">
        <f t="shared" si="228"/>
        <v>C05</v>
      </c>
      <c r="AU404" s="105"/>
      <c r="AV404" s="202">
        <v>0.70731608779999999</v>
      </c>
      <c r="AW404" s="202">
        <v>124.325301275</v>
      </c>
      <c r="AX404" s="106" t="s">
        <v>98</v>
      </c>
      <c r="AY404" s="106" t="s">
        <v>94</v>
      </c>
      <c r="AZ404" s="106" t="s">
        <v>94</v>
      </c>
      <c r="BA404" s="73" t="s">
        <v>77</v>
      </c>
      <c r="BB404" s="106" t="s">
        <v>98</v>
      </c>
      <c r="BC404" s="106">
        <v>31</v>
      </c>
      <c r="BD404" s="106" t="s">
        <v>98</v>
      </c>
      <c r="BE404" s="211" t="str">
        <f t="shared" si="184"/>
        <v>742, POYOWA BESAR,</v>
      </c>
    </row>
    <row r="405" spans="1:57" s="211" customFormat="1" ht="15.75" customHeight="1">
      <c r="A405" s="41" t="s">
        <v>104</v>
      </c>
      <c r="B405" s="41">
        <f>B389+1</f>
        <v>30</v>
      </c>
      <c r="C405" s="32" t="s">
        <v>350</v>
      </c>
      <c r="D405" s="32" t="s">
        <v>348</v>
      </c>
      <c r="E405" s="32">
        <v>2</v>
      </c>
      <c r="F405" s="10">
        <f>F390+3</f>
        <v>13</v>
      </c>
      <c r="G405" s="213" t="s">
        <v>260</v>
      </c>
      <c r="H405" s="42">
        <v>1</v>
      </c>
      <c r="I405" s="82" t="s">
        <v>972</v>
      </c>
      <c r="J405" s="83">
        <v>0.70623360310000005</v>
      </c>
      <c r="K405" s="83">
        <v>124.32440049</v>
      </c>
      <c r="L405" s="113" t="s">
        <v>116</v>
      </c>
      <c r="M405" s="119" t="str">
        <f>M404</f>
        <v>SULAWESI UTARA</v>
      </c>
      <c r="N405" s="14" t="s">
        <v>105</v>
      </c>
      <c r="O405" s="84" t="s">
        <v>118</v>
      </c>
      <c r="P405" s="14" t="s">
        <v>119</v>
      </c>
      <c r="Q405" s="84">
        <v>95717</v>
      </c>
      <c r="R405" s="86"/>
      <c r="S405" s="87"/>
      <c r="T405" s="88"/>
      <c r="U405" s="87"/>
      <c r="V405" s="88"/>
      <c r="W405" s="85" t="s">
        <v>105</v>
      </c>
      <c r="X405" s="83"/>
      <c r="Y405" s="119" t="s">
        <v>106</v>
      </c>
      <c r="Z405" s="119" t="str">
        <f>Z404</f>
        <v>KELURAHAN POYOWA BESAR SATU KOTAMOBAGU</v>
      </c>
      <c r="AA405" s="89"/>
      <c r="AB405" s="89"/>
      <c r="AC405" s="89" t="s">
        <v>70</v>
      </c>
      <c r="AD405" s="113" t="s">
        <v>119</v>
      </c>
      <c r="AE405" s="90"/>
      <c r="AF405" s="90"/>
      <c r="AG405" s="90"/>
      <c r="AH405" s="90"/>
      <c r="AI405" s="91"/>
      <c r="AJ405" s="115" t="s">
        <v>310</v>
      </c>
      <c r="AK405" s="89" t="s">
        <v>96</v>
      </c>
      <c r="AL405" s="95"/>
      <c r="AM405" s="187"/>
      <c r="AN405" s="187"/>
      <c r="AO405" s="187"/>
      <c r="AP405" s="187"/>
      <c r="AQ405" s="188" t="s">
        <v>97</v>
      </c>
      <c r="AR405" s="92" t="str">
        <f>AR404</f>
        <v>KTG.100.0101</v>
      </c>
      <c r="AS405" s="93" t="str">
        <f>AS389</f>
        <v>KPBS-2.020</v>
      </c>
      <c r="AT405" s="93" t="str">
        <f>G405</f>
        <v>C06</v>
      </c>
      <c r="AU405" s="94"/>
      <c r="AV405" s="203">
        <v>0.70628917589999995</v>
      </c>
      <c r="AW405" s="203">
        <v>124.3246154397</v>
      </c>
      <c r="AX405" s="95" t="s">
        <v>98</v>
      </c>
      <c r="AY405" s="95" t="s">
        <v>94</v>
      </c>
      <c r="AZ405" s="95" t="s">
        <v>94</v>
      </c>
      <c r="BA405" s="96" t="s">
        <v>77</v>
      </c>
      <c r="BB405" s="95" t="s">
        <v>98</v>
      </c>
      <c r="BC405" s="95">
        <v>31</v>
      </c>
      <c r="BD405" s="95" t="s">
        <v>98</v>
      </c>
      <c r="BE405" s="211" t="str">
        <f t="shared" si="184"/>
        <v>732, POYOWA BESAR,</v>
      </c>
    </row>
    <row r="406" spans="1:57" s="211" customFormat="1" ht="15.75" customHeight="1">
      <c r="A406" s="21"/>
      <c r="B406" s="21"/>
      <c r="C406" s="22" t="s">
        <v>350</v>
      </c>
      <c r="D406" s="22" t="s">
        <v>348</v>
      </c>
      <c r="E406" s="32">
        <v>2</v>
      </c>
      <c r="F406" s="6">
        <f>F405+1</f>
        <v>14</v>
      </c>
      <c r="G406" s="213"/>
      <c r="H406" s="12">
        <v>2</v>
      </c>
      <c r="I406" s="64" t="str">
        <f t="shared" ref="I406:M406" si="236">I405</f>
        <v>MR.KPBS.P120</v>
      </c>
      <c r="J406" s="64">
        <f t="shared" si="236"/>
        <v>0.70623360310000005</v>
      </c>
      <c r="K406" s="64">
        <f t="shared" si="236"/>
        <v>124.32440049</v>
      </c>
      <c r="L406" s="64" t="str">
        <f t="shared" si="236"/>
        <v>JL. RAYA POYOWA BESAR</v>
      </c>
      <c r="M406" s="64" t="str">
        <f t="shared" si="236"/>
        <v>SULAWESI UTARA</v>
      </c>
      <c r="N406" s="65" t="s">
        <v>105</v>
      </c>
      <c r="O406" s="66" t="s">
        <v>118</v>
      </c>
      <c r="P406" s="65" t="s">
        <v>119</v>
      </c>
      <c r="Q406" s="66">
        <v>95717</v>
      </c>
      <c r="R406" s="98"/>
      <c r="S406" s="99"/>
      <c r="T406" s="100"/>
      <c r="U406" s="99"/>
      <c r="V406" s="100"/>
      <c r="W406" s="97" t="s">
        <v>105</v>
      </c>
      <c r="X406" s="101"/>
      <c r="Y406" s="64" t="s">
        <v>106</v>
      </c>
      <c r="Z406" s="64" t="str">
        <f t="shared" si="218"/>
        <v>KELURAHAN POYOWA BESAR SATU KOTAMOBAGU</v>
      </c>
      <c r="AA406" s="102"/>
      <c r="AB406" s="102"/>
      <c r="AC406" s="102" t="s">
        <v>70</v>
      </c>
      <c r="AD406" s="64" t="str">
        <f t="shared" ref="AD406:AD411" si="237">AD405</f>
        <v>POYOWA BESAR</v>
      </c>
      <c r="AE406" s="103"/>
      <c r="AF406" s="103"/>
      <c r="AG406" s="103"/>
      <c r="AH406" s="103"/>
      <c r="AI406" s="104"/>
      <c r="AJ406" s="11" t="s">
        <v>311</v>
      </c>
      <c r="AK406" s="102" t="s">
        <v>96</v>
      </c>
      <c r="AL406" s="106"/>
      <c r="AM406" s="192"/>
      <c r="AN406" s="192"/>
      <c r="AO406" s="192"/>
      <c r="AP406" s="192"/>
      <c r="AQ406" s="180" t="s">
        <v>97</v>
      </c>
      <c r="AR406" s="70" t="str">
        <f t="shared" si="216"/>
        <v>KTG.100.0101</v>
      </c>
      <c r="AS406" s="71" t="str">
        <f t="shared" ref="AS406:AS411" si="238">AS405</f>
        <v>KPBS-2.020</v>
      </c>
      <c r="AT406" s="71" t="str">
        <f t="shared" ref="AT406:AT411" si="239">AT405</f>
        <v>C06</v>
      </c>
      <c r="AU406" s="105"/>
      <c r="AV406" s="202">
        <v>0.70632185020000005</v>
      </c>
      <c r="AW406" s="202">
        <v>124.32435995580001</v>
      </c>
      <c r="AX406" s="106" t="s">
        <v>98</v>
      </c>
      <c r="AY406" s="106" t="s">
        <v>94</v>
      </c>
      <c r="AZ406" s="106" t="s">
        <v>94</v>
      </c>
      <c r="BA406" s="73" t="s">
        <v>77</v>
      </c>
      <c r="BB406" s="106" t="s">
        <v>98</v>
      </c>
      <c r="BC406" s="106">
        <v>31</v>
      </c>
      <c r="BD406" s="106" t="s">
        <v>98</v>
      </c>
      <c r="BE406" s="211" t="str">
        <f t="shared" si="184"/>
        <v>733, POYOWA BESAR,</v>
      </c>
    </row>
    <row r="407" spans="1:57" s="211" customFormat="1" ht="15.75" customHeight="1">
      <c r="A407" s="215"/>
      <c r="B407" s="216"/>
      <c r="C407" s="216"/>
      <c r="D407" s="216"/>
      <c r="E407" s="216"/>
      <c r="F407" s="216"/>
      <c r="G407" s="217"/>
      <c r="H407" s="12">
        <v>3</v>
      </c>
      <c r="I407" s="64" t="str">
        <f t="shared" ref="I407:M407" si="240">I406</f>
        <v>MR.KPBS.P120</v>
      </c>
      <c r="J407" s="64">
        <f t="shared" si="240"/>
        <v>0.70623360310000005</v>
      </c>
      <c r="K407" s="64">
        <f t="shared" si="240"/>
        <v>124.32440049</v>
      </c>
      <c r="L407" s="64" t="str">
        <f t="shared" si="240"/>
        <v>JL. RAYA POYOWA BESAR</v>
      </c>
      <c r="M407" s="64" t="str">
        <f t="shared" si="240"/>
        <v>SULAWESI UTARA</v>
      </c>
      <c r="N407" s="65" t="s">
        <v>105</v>
      </c>
      <c r="O407" s="66" t="s">
        <v>118</v>
      </c>
      <c r="P407" s="65" t="s">
        <v>119</v>
      </c>
      <c r="Q407" s="66">
        <v>95717</v>
      </c>
      <c r="R407" s="98"/>
      <c r="S407" s="99"/>
      <c r="T407" s="100"/>
      <c r="U407" s="99"/>
      <c r="V407" s="100"/>
      <c r="W407" s="97" t="s">
        <v>105</v>
      </c>
      <c r="X407" s="101"/>
      <c r="Y407" s="64" t="s">
        <v>106</v>
      </c>
      <c r="Z407" s="64" t="str">
        <f t="shared" si="218"/>
        <v>KELURAHAN POYOWA BESAR SATU KOTAMOBAGU</v>
      </c>
      <c r="AA407" s="102"/>
      <c r="AB407" s="102"/>
      <c r="AC407" s="102" t="s">
        <v>70</v>
      </c>
      <c r="AD407" s="64" t="str">
        <f t="shared" si="237"/>
        <v>POYOWA BESAR</v>
      </c>
      <c r="AE407" s="103"/>
      <c r="AF407" s="103"/>
      <c r="AG407" s="103"/>
      <c r="AH407" s="103"/>
      <c r="AI407" s="104"/>
      <c r="AJ407" s="11" t="s">
        <v>312</v>
      </c>
      <c r="AK407" s="102" t="s">
        <v>96</v>
      </c>
      <c r="AL407" s="106"/>
      <c r="AM407" s="192"/>
      <c r="AN407" s="192"/>
      <c r="AO407" s="192"/>
      <c r="AP407" s="192"/>
      <c r="AQ407" s="180" t="s">
        <v>97</v>
      </c>
      <c r="AR407" s="70" t="str">
        <f t="shared" si="216"/>
        <v>KTG.100.0101</v>
      </c>
      <c r="AS407" s="71" t="str">
        <f t="shared" si="238"/>
        <v>KPBS-2.020</v>
      </c>
      <c r="AT407" s="71" t="str">
        <f t="shared" si="239"/>
        <v>C06</v>
      </c>
      <c r="AU407" s="105"/>
      <c r="AV407" s="202">
        <v>0.70613454129999897</v>
      </c>
      <c r="AW407" s="202">
        <v>124.3245810846</v>
      </c>
      <c r="AX407" s="106" t="s">
        <v>98</v>
      </c>
      <c r="AY407" s="106" t="s">
        <v>94</v>
      </c>
      <c r="AZ407" s="106" t="s">
        <v>94</v>
      </c>
      <c r="BA407" s="73" t="s">
        <v>77</v>
      </c>
      <c r="BB407" s="106" t="s">
        <v>98</v>
      </c>
      <c r="BC407" s="106">
        <v>31</v>
      </c>
      <c r="BD407" s="106" t="s">
        <v>98</v>
      </c>
      <c r="BE407" s="211" t="str">
        <f t="shared" si="184"/>
        <v>731, POYOWA BESAR,</v>
      </c>
    </row>
    <row r="408" spans="1:57" s="211" customFormat="1" ht="15.75" customHeight="1">
      <c r="A408" s="218"/>
      <c r="B408" s="219"/>
      <c r="C408" s="219"/>
      <c r="D408" s="219"/>
      <c r="E408" s="219"/>
      <c r="F408" s="219"/>
      <c r="G408" s="220"/>
      <c r="H408" s="12">
        <v>4</v>
      </c>
      <c r="I408" s="64" t="str">
        <f t="shared" ref="I408:M408" si="241">I407</f>
        <v>MR.KPBS.P120</v>
      </c>
      <c r="J408" s="64">
        <f t="shared" si="241"/>
        <v>0.70623360310000005</v>
      </c>
      <c r="K408" s="64">
        <f t="shared" si="241"/>
        <v>124.32440049</v>
      </c>
      <c r="L408" s="64" t="str">
        <f t="shared" si="241"/>
        <v>JL. RAYA POYOWA BESAR</v>
      </c>
      <c r="M408" s="64" t="str">
        <f t="shared" si="241"/>
        <v>SULAWESI UTARA</v>
      </c>
      <c r="N408" s="65" t="s">
        <v>105</v>
      </c>
      <c r="O408" s="66" t="s">
        <v>118</v>
      </c>
      <c r="P408" s="65" t="s">
        <v>119</v>
      </c>
      <c r="Q408" s="66">
        <v>95717</v>
      </c>
      <c r="R408" s="98"/>
      <c r="S408" s="99"/>
      <c r="T408" s="100"/>
      <c r="U408" s="99"/>
      <c r="V408" s="100"/>
      <c r="W408" s="97" t="s">
        <v>105</v>
      </c>
      <c r="X408" s="101"/>
      <c r="Y408" s="64" t="s">
        <v>106</v>
      </c>
      <c r="Z408" s="64" t="str">
        <f t="shared" si="218"/>
        <v>KELURAHAN POYOWA BESAR SATU KOTAMOBAGU</v>
      </c>
      <c r="AA408" s="102"/>
      <c r="AB408" s="102"/>
      <c r="AC408" s="102" t="s">
        <v>70</v>
      </c>
      <c r="AD408" s="64" t="str">
        <f t="shared" si="237"/>
        <v>POYOWA BESAR</v>
      </c>
      <c r="AE408" s="103"/>
      <c r="AF408" s="103"/>
      <c r="AG408" s="103"/>
      <c r="AH408" s="103"/>
      <c r="AI408" s="104"/>
      <c r="AJ408" s="11" t="s">
        <v>313</v>
      </c>
      <c r="AK408" s="102" t="s">
        <v>96</v>
      </c>
      <c r="AL408" s="106"/>
      <c r="AM408" s="192"/>
      <c r="AN408" s="192"/>
      <c r="AO408" s="192"/>
      <c r="AP408" s="192"/>
      <c r="AQ408" s="180" t="s">
        <v>97</v>
      </c>
      <c r="AR408" s="70" t="str">
        <f t="shared" si="216"/>
        <v>KTG.100.0101</v>
      </c>
      <c r="AS408" s="71" t="str">
        <f t="shared" si="238"/>
        <v>KPBS-2.020</v>
      </c>
      <c r="AT408" s="71" t="str">
        <f t="shared" si="239"/>
        <v>C06</v>
      </c>
      <c r="AU408" s="105"/>
      <c r="AV408" s="202">
        <v>0.70602830549999995</v>
      </c>
      <c r="AW408" s="202">
        <v>124.3245692401</v>
      </c>
      <c r="AX408" s="106" t="s">
        <v>98</v>
      </c>
      <c r="AY408" s="106" t="s">
        <v>94</v>
      </c>
      <c r="AZ408" s="106" t="s">
        <v>94</v>
      </c>
      <c r="BA408" s="73" t="s">
        <v>77</v>
      </c>
      <c r="BB408" s="106" t="s">
        <v>98</v>
      </c>
      <c r="BC408" s="106">
        <v>31</v>
      </c>
      <c r="BD408" s="106" t="s">
        <v>98</v>
      </c>
      <c r="BE408" s="211" t="str">
        <f t="shared" si="184"/>
        <v>730, POYOWA BESAR,</v>
      </c>
    </row>
    <row r="409" spans="1:57" s="211" customFormat="1" ht="15.75" customHeight="1">
      <c r="A409" s="218"/>
      <c r="B409" s="219"/>
      <c r="C409" s="219"/>
      <c r="D409" s="219"/>
      <c r="E409" s="219"/>
      <c r="F409" s="219"/>
      <c r="G409" s="220"/>
      <c r="H409" s="12">
        <v>5</v>
      </c>
      <c r="I409" s="64" t="str">
        <f t="shared" ref="I409:M409" si="242">I408</f>
        <v>MR.KPBS.P120</v>
      </c>
      <c r="J409" s="64">
        <f t="shared" si="242"/>
        <v>0.70623360310000005</v>
      </c>
      <c r="K409" s="64">
        <f t="shared" si="242"/>
        <v>124.32440049</v>
      </c>
      <c r="L409" s="64" t="str">
        <f t="shared" si="242"/>
        <v>JL. RAYA POYOWA BESAR</v>
      </c>
      <c r="M409" s="64" t="str">
        <f t="shared" si="242"/>
        <v>SULAWESI UTARA</v>
      </c>
      <c r="N409" s="65" t="s">
        <v>105</v>
      </c>
      <c r="O409" s="66" t="s">
        <v>118</v>
      </c>
      <c r="P409" s="65" t="s">
        <v>119</v>
      </c>
      <c r="Q409" s="66">
        <v>95717</v>
      </c>
      <c r="R409" s="98"/>
      <c r="S409" s="99"/>
      <c r="T409" s="100"/>
      <c r="U409" s="99"/>
      <c r="V409" s="100"/>
      <c r="W409" s="97" t="s">
        <v>105</v>
      </c>
      <c r="X409" s="101"/>
      <c r="Y409" s="64" t="s">
        <v>106</v>
      </c>
      <c r="Z409" s="64" t="str">
        <f t="shared" si="218"/>
        <v>KELURAHAN POYOWA BESAR SATU KOTAMOBAGU</v>
      </c>
      <c r="AA409" s="102"/>
      <c r="AB409" s="102"/>
      <c r="AC409" s="102" t="s">
        <v>70</v>
      </c>
      <c r="AD409" s="64" t="str">
        <f t="shared" si="237"/>
        <v>POYOWA BESAR</v>
      </c>
      <c r="AE409" s="103"/>
      <c r="AF409" s="103"/>
      <c r="AG409" s="103"/>
      <c r="AH409" s="103"/>
      <c r="AI409" s="104"/>
      <c r="AJ409" s="11" t="s">
        <v>314</v>
      </c>
      <c r="AK409" s="102" t="s">
        <v>96</v>
      </c>
      <c r="AL409" s="106"/>
      <c r="AM409" s="192"/>
      <c r="AN409" s="192"/>
      <c r="AO409" s="192"/>
      <c r="AP409" s="192"/>
      <c r="AQ409" s="180" t="s">
        <v>97</v>
      </c>
      <c r="AR409" s="70" t="str">
        <f t="shared" si="216"/>
        <v>KTG.100.0101</v>
      </c>
      <c r="AS409" s="71" t="str">
        <f t="shared" si="238"/>
        <v>KPBS-2.020</v>
      </c>
      <c r="AT409" s="71" t="str">
        <f t="shared" si="239"/>
        <v>C06</v>
      </c>
      <c r="AU409" s="105"/>
      <c r="AV409" s="202">
        <v>0.70603830940000001</v>
      </c>
      <c r="AW409" s="202">
        <v>124.32431153749999</v>
      </c>
      <c r="AX409" s="106" t="s">
        <v>98</v>
      </c>
      <c r="AY409" s="106" t="s">
        <v>94</v>
      </c>
      <c r="AZ409" s="106" t="s">
        <v>94</v>
      </c>
      <c r="BA409" s="73" t="s">
        <v>77</v>
      </c>
      <c r="BB409" s="106" t="s">
        <v>98</v>
      </c>
      <c r="BC409" s="106">
        <v>31</v>
      </c>
      <c r="BD409" s="106" t="s">
        <v>98</v>
      </c>
      <c r="BE409" s="211" t="str">
        <f t="shared" si="184"/>
        <v>729, POYOWA BESAR,</v>
      </c>
    </row>
    <row r="410" spans="1:57" s="211" customFormat="1" ht="15.75" customHeight="1">
      <c r="A410" s="218"/>
      <c r="B410" s="219"/>
      <c r="C410" s="219"/>
      <c r="D410" s="219"/>
      <c r="E410" s="219"/>
      <c r="F410" s="219"/>
      <c r="G410" s="220"/>
      <c r="H410" s="12">
        <v>6</v>
      </c>
      <c r="I410" s="64" t="str">
        <f t="shared" ref="I410:M410" si="243">I409</f>
        <v>MR.KPBS.P120</v>
      </c>
      <c r="J410" s="64">
        <f t="shared" si="243"/>
        <v>0.70623360310000005</v>
      </c>
      <c r="K410" s="64">
        <f t="shared" si="243"/>
        <v>124.32440049</v>
      </c>
      <c r="L410" s="64" t="str">
        <f t="shared" si="243"/>
        <v>JL. RAYA POYOWA BESAR</v>
      </c>
      <c r="M410" s="64" t="str">
        <f t="shared" si="243"/>
        <v>SULAWESI UTARA</v>
      </c>
      <c r="N410" s="65" t="s">
        <v>105</v>
      </c>
      <c r="O410" s="66" t="s">
        <v>118</v>
      </c>
      <c r="P410" s="65" t="s">
        <v>119</v>
      </c>
      <c r="Q410" s="66">
        <v>95717</v>
      </c>
      <c r="R410" s="98"/>
      <c r="S410" s="99"/>
      <c r="T410" s="100"/>
      <c r="U410" s="99"/>
      <c r="V410" s="100"/>
      <c r="W410" s="97" t="s">
        <v>105</v>
      </c>
      <c r="X410" s="101"/>
      <c r="Y410" s="64" t="s">
        <v>106</v>
      </c>
      <c r="Z410" s="64" t="str">
        <f t="shared" si="218"/>
        <v>KELURAHAN POYOWA BESAR SATU KOTAMOBAGU</v>
      </c>
      <c r="AA410" s="102"/>
      <c r="AB410" s="102"/>
      <c r="AC410" s="102" t="s">
        <v>70</v>
      </c>
      <c r="AD410" s="64" t="str">
        <f t="shared" si="237"/>
        <v>POYOWA BESAR</v>
      </c>
      <c r="AE410" s="103"/>
      <c r="AF410" s="103"/>
      <c r="AG410" s="103"/>
      <c r="AH410" s="103"/>
      <c r="AI410" s="104"/>
      <c r="AJ410" s="11" t="s">
        <v>315</v>
      </c>
      <c r="AK410" s="102" t="s">
        <v>96</v>
      </c>
      <c r="AL410" s="106"/>
      <c r="AM410" s="192"/>
      <c r="AN410" s="192"/>
      <c r="AO410" s="192"/>
      <c r="AP410" s="192"/>
      <c r="AQ410" s="180" t="s">
        <v>97</v>
      </c>
      <c r="AR410" s="70" t="str">
        <f t="shared" si="216"/>
        <v>KTG.100.0101</v>
      </c>
      <c r="AS410" s="71" t="str">
        <f t="shared" si="238"/>
        <v>KPBS-2.020</v>
      </c>
      <c r="AT410" s="71" t="str">
        <f t="shared" si="239"/>
        <v>C06</v>
      </c>
      <c r="AU410" s="105"/>
      <c r="AV410" s="202">
        <v>0.70589756999999997</v>
      </c>
      <c r="AW410" s="202">
        <v>124.3241386163</v>
      </c>
      <c r="AX410" s="106" t="s">
        <v>98</v>
      </c>
      <c r="AY410" s="106" t="s">
        <v>94</v>
      </c>
      <c r="AZ410" s="106" t="s">
        <v>94</v>
      </c>
      <c r="BA410" s="73" t="s">
        <v>77</v>
      </c>
      <c r="BB410" s="106" t="s">
        <v>98</v>
      </c>
      <c r="BC410" s="106">
        <v>31</v>
      </c>
      <c r="BD410" s="106" t="s">
        <v>98</v>
      </c>
      <c r="BE410" s="211" t="str">
        <f t="shared" si="184"/>
        <v>728, POYOWA BESAR,</v>
      </c>
    </row>
    <row r="411" spans="1:57" s="211" customFormat="1" ht="15.75" customHeight="1">
      <c r="A411" s="218"/>
      <c r="B411" s="219"/>
      <c r="C411" s="219"/>
      <c r="D411" s="219"/>
      <c r="E411" s="219"/>
      <c r="F411" s="219"/>
      <c r="G411" s="220"/>
      <c r="H411" s="12">
        <v>7</v>
      </c>
      <c r="I411" s="64" t="str">
        <f t="shared" ref="I411:M411" si="244">I410</f>
        <v>MR.KPBS.P120</v>
      </c>
      <c r="J411" s="64">
        <f t="shared" si="244"/>
        <v>0.70623360310000005</v>
      </c>
      <c r="K411" s="64">
        <f t="shared" si="244"/>
        <v>124.32440049</v>
      </c>
      <c r="L411" s="64" t="str">
        <f t="shared" si="244"/>
        <v>JL. RAYA POYOWA BESAR</v>
      </c>
      <c r="M411" s="64" t="str">
        <f t="shared" si="244"/>
        <v>SULAWESI UTARA</v>
      </c>
      <c r="N411" s="65" t="s">
        <v>105</v>
      </c>
      <c r="O411" s="66" t="s">
        <v>118</v>
      </c>
      <c r="P411" s="65" t="s">
        <v>119</v>
      </c>
      <c r="Q411" s="66">
        <v>95717</v>
      </c>
      <c r="R411" s="98"/>
      <c r="S411" s="99"/>
      <c r="T411" s="100"/>
      <c r="U411" s="99"/>
      <c r="V411" s="100"/>
      <c r="W411" s="97" t="s">
        <v>105</v>
      </c>
      <c r="X411" s="101"/>
      <c r="Y411" s="64" t="s">
        <v>106</v>
      </c>
      <c r="Z411" s="64" t="str">
        <f t="shared" si="218"/>
        <v>KELURAHAN POYOWA BESAR SATU KOTAMOBAGU</v>
      </c>
      <c r="AA411" s="102"/>
      <c r="AB411" s="102"/>
      <c r="AC411" s="102" t="s">
        <v>70</v>
      </c>
      <c r="AD411" s="64" t="str">
        <f t="shared" si="237"/>
        <v>POYOWA BESAR</v>
      </c>
      <c r="AE411" s="103"/>
      <c r="AF411" s="103"/>
      <c r="AG411" s="103"/>
      <c r="AH411" s="103"/>
      <c r="AI411" s="104"/>
      <c r="AJ411" s="11" t="s">
        <v>316</v>
      </c>
      <c r="AK411" s="102" t="s">
        <v>96</v>
      </c>
      <c r="AL411" s="106"/>
      <c r="AM411" s="192"/>
      <c r="AN411" s="192"/>
      <c r="AO411" s="192"/>
      <c r="AP411" s="192"/>
      <c r="AQ411" s="180" t="s">
        <v>97</v>
      </c>
      <c r="AR411" s="70" t="str">
        <f t="shared" si="216"/>
        <v>KTG.100.0101</v>
      </c>
      <c r="AS411" s="71" t="str">
        <f t="shared" si="238"/>
        <v>KPBS-2.020</v>
      </c>
      <c r="AT411" s="71" t="str">
        <f t="shared" si="239"/>
        <v>C06</v>
      </c>
      <c r="AU411" s="105"/>
      <c r="AV411" s="202">
        <v>0.70576167840000004</v>
      </c>
      <c r="AW411" s="202">
        <v>124.3241818334</v>
      </c>
      <c r="AX411" s="106" t="s">
        <v>98</v>
      </c>
      <c r="AY411" s="106" t="s">
        <v>94</v>
      </c>
      <c r="AZ411" s="106" t="s">
        <v>94</v>
      </c>
      <c r="BA411" s="73" t="s">
        <v>77</v>
      </c>
      <c r="BB411" s="106" t="s">
        <v>98</v>
      </c>
      <c r="BC411" s="106">
        <v>31</v>
      </c>
      <c r="BD411" s="106" t="s">
        <v>98</v>
      </c>
      <c r="BE411" s="211" t="str">
        <f t="shared" si="184"/>
        <v>727, POYOWA BESAR,</v>
      </c>
    </row>
    <row r="412" spans="1:57" s="211" customFormat="1" ht="15.75" customHeight="1">
      <c r="A412" s="218"/>
      <c r="B412" s="219"/>
      <c r="C412" s="219"/>
      <c r="D412" s="219"/>
      <c r="E412" s="219"/>
      <c r="F412" s="219"/>
      <c r="G412" s="220"/>
      <c r="H412" s="12">
        <v>8</v>
      </c>
      <c r="I412" s="64" t="str">
        <f t="shared" ref="I412:L412" si="245">I408</f>
        <v>MR.KPBS.P120</v>
      </c>
      <c r="J412" s="64">
        <f t="shared" si="245"/>
        <v>0.70623360310000005</v>
      </c>
      <c r="K412" s="64">
        <f t="shared" si="245"/>
        <v>124.32440049</v>
      </c>
      <c r="L412" s="64" t="str">
        <f t="shared" si="245"/>
        <v>JL. RAYA POYOWA BESAR</v>
      </c>
      <c r="M412" s="64" t="str">
        <f t="shared" ref="M412" si="246">M411</f>
        <v>SULAWESI UTARA</v>
      </c>
      <c r="N412" s="65" t="s">
        <v>105</v>
      </c>
      <c r="O412" s="66" t="s">
        <v>118</v>
      </c>
      <c r="P412" s="65" t="s">
        <v>119</v>
      </c>
      <c r="Q412" s="66">
        <v>95717</v>
      </c>
      <c r="R412" s="98"/>
      <c r="S412" s="99"/>
      <c r="T412" s="100"/>
      <c r="U412" s="99"/>
      <c r="V412" s="100"/>
      <c r="W412" s="97" t="s">
        <v>105</v>
      </c>
      <c r="X412" s="101"/>
      <c r="Y412" s="64" t="s">
        <v>106</v>
      </c>
      <c r="Z412" s="64" t="str">
        <f t="shared" si="218"/>
        <v>KELURAHAN POYOWA BESAR SATU KOTAMOBAGU</v>
      </c>
      <c r="AA412" s="102"/>
      <c r="AB412" s="102"/>
      <c r="AC412" s="102" t="s">
        <v>70</v>
      </c>
      <c r="AD412" s="64" t="str">
        <f t="shared" ref="AD412" si="247">AD408</f>
        <v>POYOWA BESAR</v>
      </c>
      <c r="AE412" s="103"/>
      <c r="AF412" s="103"/>
      <c r="AG412" s="103"/>
      <c r="AH412" s="103"/>
      <c r="AI412" s="104"/>
      <c r="AJ412" s="11" t="s">
        <v>317</v>
      </c>
      <c r="AK412" s="102" t="s">
        <v>96</v>
      </c>
      <c r="AL412" s="106"/>
      <c r="AM412" s="192"/>
      <c r="AN412" s="192"/>
      <c r="AO412" s="192"/>
      <c r="AP412" s="192"/>
      <c r="AQ412" s="180" t="s">
        <v>97</v>
      </c>
      <c r="AR412" s="70" t="str">
        <f t="shared" si="216"/>
        <v>KTG.100.0101</v>
      </c>
      <c r="AS412" s="71" t="str">
        <f t="shared" ref="AS412:AT412" si="248">AS408</f>
        <v>KPBS-2.020</v>
      </c>
      <c r="AT412" s="71" t="str">
        <f t="shared" si="248"/>
        <v>C06</v>
      </c>
      <c r="AU412" s="105"/>
      <c r="AV412" s="202">
        <v>0.70566834590000005</v>
      </c>
      <c r="AW412" s="202">
        <v>124.3243257442</v>
      </c>
      <c r="AX412" s="106" t="s">
        <v>98</v>
      </c>
      <c r="AY412" s="106" t="s">
        <v>94</v>
      </c>
      <c r="AZ412" s="106" t="s">
        <v>94</v>
      </c>
      <c r="BA412" s="73" t="s">
        <v>77</v>
      </c>
      <c r="BB412" s="106" t="s">
        <v>98</v>
      </c>
      <c r="BC412" s="106">
        <v>31</v>
      </c>
      <c r="BD412" s="106" t="s">
        <v>98</v>
      </c>
      <c r="BE412" s="211" t="str">
        <f t="shared" si="184"/>
        <v>726, POYOWA BESAR,</v>
      </c>
    </row>
  </sheetData>
  <autoFilter ref="A8:BE8" xr:uid="{8FE9C4E9-A023-449D-82EB-098CE265BB65}"/>
  <mergeCells count="60">
    <mergeCell ref="A84:G92"/>
    <mergeCell ref="G9:G10"/>
    <mergeCell ref="A11:G23"/>
    <mergeCell ref="G24:G25"/>
    <mergeCell ref="A26:G34"/>
    <mergeCell ref="G35:G36"/>
    <mergeCell ref="A37:G50"/>
    <mergeCell ref="G51:G52"/>
    <mergeCell ref="A53:G63"/>
    <mergeCell ref="G67:G68"/>
    <mergeCell ref="A69:G81"/>
    <mergeCell ref="G82:G83"/>
    <mergeCell ref="A167:G175"/>
    <mergeCell ref="G93:G94"/>
    <mergeCell ref="A95:G108"/>
    <mergeCell ref="G109:G110"/>
    <mergeCell ref="A111:G124"/>
    <mergeCell ref="G125:G126"/>
    <mergeCell ref="A127:G140"/>
    <mergeCell ref="G141:G142"/>
    <mergeCell ref="A143:G154"/>
    <mergeCell ref="G155:G156"/>
    <mergeCell ref="A157:G164"/>
    <mergeCell ref="G165:G166"/>
    <mergeCell ref="A245:G253"/>
    <mergeCell ref="G176:G177"/>
    <mergeCell ref="A178:G191"/>
    <mergeCell ref="G192:G193"/>
    <mergeCell ref="A194:G202"/>
    <mergeCell ref="G203:G204"/>
    <mergeCell ref="A205:G213"/>
    <mergeCell ref="G215:G216"/>
    <mergeCell ref="A217:G230"/>
    <mergeCell ref="G231:G232"/>
    <mergeCell ref="A233:G242"/>
    <mergeCell ref="G243:G244"/>
    <mergeCell ref="A324:G332"/>
    <mergeCell ref="G254:G255"/>
    <mergeCell ref="A256:G263"/>
    <mergeCell ref="G264:G265"/>
    <mergeCell ref="A266:G274"/>
    <mergeCell ref="G275:G276"/>
    <mergeCell ref="A277:G290"/>
    <mergeCell ref="G291:G292"/>
    <mergeCell ref="A293:G306"/>
    <mergeCell ref="G307:G308"/>
    <mergeCell ref="A309:G320"/>
    <mergeCell ref="G322:G323"/>
    <mergeCell ref="A407:G412"/>
    <mergeCell ref="G334:G335"/>
    <mergeCell ref="A336:G347"/>
    <mergeCell ref="G349:G350"/>
    <mergeCell ref="A351:G361"/>
    <mergeCell ref="G362:G363"/>
    <mergeCell ref="A364:G373"/>
    <mergeCell ref="G374:G375"/>
    <mergeCell ref="A376:G383"/>
    <mergeCell ref="G389:G390"/>
    <mergeCell ref="A391:G404"/>
    <mergeCell ref="G405:G406"/>
  </mergeCells>
  <conditionalFormatting sqref="AJ413:AJ65318 AJ1:AJ8">
    <cfRule type="duplicateValues" dxfId="2" priority="3" stopIfTrue="1"/>
  </conditionalFormatting>
  <conditionalFormatting sqref="BE1:BE1048576">
    <cfRule type="duplicateValues" dxfId="1" priority="1" stopIfTrue="1"/>
    <cfRule type="duplicateValues" dxfId="0" priority="2" stopIfTrue="1"/>
  </conditionalFormatting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FDT 1</vt:lpstr>
      <vt:lpstr>FDT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Rhidss .</cp:lastModifiedBy>
  <cp:lastPrinted>2025-10-23T11:23:14Z</cp:lastPrinted>
  <dcterms:created xsi:type="dcterms:W3CDTF">2021-10-25T03:25:19Z</dcterms:created>
  <dcterms:modified xsi:type="dcterms:W3CDTF">2026-07-02T00:30:03Z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DE62587F6CEA4B39BCFF44385B3DC72F</vt:lpwstr>
  </property>
  <property fmtid="{D5CDD505-2E9C-101B-9397-08002B2CF9AE}" pid="4" name="KSOProductBuildVer">
    <vt:lpwstr>2052-11.1.0.11365</vt:lpwstr>
  </property>
</Properties>
</file>